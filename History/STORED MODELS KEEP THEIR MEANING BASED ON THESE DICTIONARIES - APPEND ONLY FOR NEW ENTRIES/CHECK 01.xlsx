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source\History\"/>
    </mc:Choice>
  </mc:AlternateContent>
  <xr:revisionPtr revIDLastSave="0" documentId="13_ncr:1_{9942DB7C-A555-4AAC-9F8D-571D679F9060}" xr6:coauthVersionLast="45" xr6:coauthVersionMax="45" xr10:uidLastSave="{00000000-0000-0000-0000-000000000000}"/>
  <bookViews>
    <workbookView xWindow="-120" yWindow="-120" windowWidth="29040" windowHeight="15840" xr2:uid="{CC2B4AAA-CF56-43AF-8820-B011DEA0318B}"/>
  </bookViews>
  <sheets>
    <sheet name="Sheet1" sheetId="1" r:id="rId1"/>
    <sheet name="Sheet2" sheetId="2" r:id="rId2"/>
    <sheet name="Sheet3" sheetId="3" r:id="rId3"/>
  </sheets>
  <definedNames>
    <definedName name="_xlchart.v1.0" hidden="1">Sheet1!$BM$6:$BM$40</definedName>
    <definedName name="happened_pred" localSheetId="0">Sheet1!$AG$6:$AS$40</definedName>
    <definedName name="odds" localSheetId="1">Sheet2!$K$2:$X$36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6" i="1"/>
  <c r="BN7" i="1"/>
  <c r="BN8" i="1" s="1"/>
  <c r="BN9" i="1" s="1"/>
  <c r="BN10" i="1" s="1"/>
  <c r="BN11" i="1" s="1"/>
  <c r="BN12" i="1" s="1"/>
  <c r="BN13" i="1" s="1"/>
  <c r="BN14" i="1" s="1"/>
  <c r="BN15" i="1" s="1"/>
  <c r="BN16" i="1" s="1"/>
  <c r="BN17" i="1" s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AW7" i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Y5" i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S5" i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Y2" i="1"/>
  <c r="AZ2" i="1"/>
  <c r="BA2" i="1"/>
  <c r="BB2" i="1"/>
  <c r="BC2" i="1"/>
  <c r="BD2" i="1"/>
  <c r="BE2" i="1"/>
  <c r="BF2" i="1"/>
  <c r="BG2" i="1"/>
  <c r="BI2" i="1"/>
  <c r="AX2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6" i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X7" i="1"/>
  <c r="Z7" i="1"/>
  <c r="BE7" i="1" s="1"/>
  <c r="AB7" i="1"/>
  <c r="BG7" i="1" s="1"/>
  <c r="BH7" i="1"/>
  <c r="AD7" i="1"/>
  <c r="BI7" i="1" s="1"/>
  <c r="X8" i="1"/>
  <c r="Z8" i="1"/>
  <c r="BE8" i="1" s="1"/>
  <c r="AB8" i="1"/>
  <c r="BG8" i="1" s="1"/>
  <c r="BH8" i="1"/>
  <c r="AD8" i="1"/>
  <c r="BI8" i="1" s="1"/>
  <c r="X9" i="1"/>
  <c r="Z9" i="1"/>
  <c r="AB9" i="1"/>
  <c r="BG9" i="1" s="1"/>
  <c r="BH9" i="1"/>
  <c r="AD9" i="1"/>
  <c r="BI9" i="1" s="1"/>
  <c r="X10" i="1"/>
  <c r="Z10" i="1"/>
  <c r="BE10" i="1" s="1"/>
  <c r="AB10" i="1"/>
  <c r="BG10" i="1" s="1"/>
  <c r="BH10" i="1"/>
  <c r="AD10" i="1"/>
  <c r="BI10" i="1" s="1"/>
  <c r="X11" i="1"/>
  <c r="Z11" i="1"/>
  <c r="BE11" i="1" s="1"/>
  <c r="AB11" i="1"/>
  <c r="BG11" i="1" s="1"/>
  <c r="BH11" i="1"/>
  <c r="AD11" i="1"/>
  <c r="BI11" i="1" s="1"/>
  <c r="X12" i="1"/>
  <c r="BC12" i="1" s="1"/>
  <c r="Z12" i="1"/>
  <c r="BE12" i="1" s="1"/>
  <c r="AB12" i="1"/>
  <c r="BG12" i="1" s="1"/>
  <c r="BH12" i="1"/>
  <c r="AD12" i="1"/>
  <c r="BI12" i="1" s="1"/>
  <c r="X13" i="1"/>
  <c r="BC13" i="1" s="1"/>
  <c r="Z13" i="1"/>
  <c r="BE13" i="1" s="1"/>
  <c r="AB13" i="1"/>
  <c r="BG13" i="1" s="1"/>
  <c r="BH13" i="1"/>
  <c r="AD13" i="1"/>
  <c r="BI13" i="1" s="1"/>
  <c r="X14" i="1"/>
  <c r="BC14" i="1" s="1"/>
  <c r="Z14" i="1"/>
  <c r="AB14" i="1"/>
  <c r="BG14" i="1" s="1"/>
  <c r="BH14" i="1"/>
  <c r="AD14" i="1"/>
  <c r="BI14" i="1" s="1"/>
  <c r="X15" i="1"/>
  <c r="Z15" i="1"/>
  <c r="BE15" i="1" s="1"/>
  <c r="AB15" i="1"/>
  <c r="BG15" i="1" s="1"/>
  <c r="BH15" i="1"/>
  <c r="AD15" i="1"/>
  <c r="BI15" i="1" s="1"/>
  <c r="X16" i="1"/>
  <c r="Z16" i="1"/>
  <c r="BE16" i="1" s="1"/>
  <c r="AB16" i="1"/>
  <c r="BG16" i="1" s="1"/>
  <c r="BH16" i="1"/>
  <c r="AD16" i="1"/>
  <c r="BI16" i="1" s="1"/>
  <c r="X17" i="1"/>
  <c r="Z17" i="1"/>
  <c r="BE17" i="1" s="1"/>
  <c r="AB17" i="1"/>
  <c r="BG17" i="1" s="1"/>
  <c r="BH17" i="1"/>
  <c r="AD17" i="1"/>
  <c r="BI17" i="1" s="1"/>
  <c r="X18" i="1"/>
  <c r="Z18" i="1"/>
  <c r="AB18" i="1"/>
  <c r="BG18" i="1" s="1"/>
  <c r="BH18" i="1"/>
  <c r="AD18" i="1"/>
  <c r="BI18" i="1" s="1"/>
  <c r="X19" i="1"/>
  <c r="Z19" i="1"/>
  <c r="AB19" i="1"/>
  <c r="BG19" i="1" s="1"/>
  <c r="BH19" i="1"/>
  <c r="AD19" i="1"/>
  <c r="BI19" i="1" s="1"/>
  <c r="X20" i="1"/>
  <c r="BC20" i="1" s="1"/>
  <c r="Z20" i="1"/>
  <c r="AB20" i="1"/>
  <c r="BG20" i="1" s="1"/>
  <c r="BH20" i="1"/>
  <c r="AD20" i="1"/>
  <c r="BI20" i="1" s="1"/>
  <c r="X21" i="1"/>
  <c r="BC21" i="1" s="1"/>
  <c r="Z21" i="1"/>
  <c r="BE21" i="1" s="1"/>
  <c r="AB21" i="1"/>
  <c r="BG21" i="1" s="1"/>
  <c r="BH21" i="1"/>
  <c r="AD21" i="1"/>
  <c r="BI21" i="1" s="1"/>
  <c r="X22" i="1"/>
  <c r="BC22" i="1" s="1"/>
  <c r="Z22" i="1"/>
  <c r="BE22" i="1" s="1"/>
  <c r="AB22" i="1"/>
  <c r="BG22" i="1" s="1"/>
  <c r="BH22" i="1"/>
  <c r="AD22" i="1"/>
  <c r="BI22" i="1" s="1"/>
  <c r="X23" i="1"/>
  <c r="Z23" i="1"/>
  <c r="BE23" i="1" s="1"/>
  <c r="AB23" i="1"/>
  <c r="BG23" i="1" s="1"/>
  <c r="BH23" i="1"/>
  <c r="AD23" i="1"/>
  <c r="BI23" i="1" s="1"/>
  <c r="X24" i="1"/>
  <c r="Z24" i="1"/>
  <c r="BE24" i="1" s="1"/>
  <c r="AB24" i="1"/>
  <c r="BG24" i="1" s="1"/>
  <c r="BH24" i="1"/>
  <c r="AD24" i="1"/>
  <c r="BI24" i="1" s="1"/>
  <c r="X25" i="1"/>
  <c r="Z25" i="1"/>
  <c r="AB25" i="1"/>
  <c r="BG25" i="1" s="1"/>
  <c r="BH25" i="1"/>
  <c r="AD25" i="1"/>
  <c r="BI25" i="1" s="1"/>
  <c r="X26" i="1"/>
  <c r="Z26" i="1"/>
  <c r="BE26" i="1" s="1"/>
  <c r="AB26" i="1"/>
  <c r="BG26" i="1" s="1"/>
  <c r="BH26" i="1"/>
  <c r="AD26" i="1"/>
  <c r="BI26" i="1" s="1"/>
  <c r="X27" i="1"/>
  <c r="Z27" i="1"/>
  <c r="BE27" i="1" s="1"/>
  <c r="AB27" i="1"/>
  <c r="BG27" i="1" s="1"/>
  <c r="BH27" i="1"/>
  <c r="AD27" i="1"/>
  <c r="BI27" i="1" s="1"/>
  <c r="X28" i="1"/>
  <c r="BC28" i="1" s="1"/>
  <c r="Z28" i="1"/>
  <c r="BE28" i="1" s="1"/>
  <c r="AB28" i="1"/>
  <c r="BG28" i="1" s="1"/>
  <c r="BH28" i="1"/>
  <c r="AD28" i="1"/>
  <c r="BI28" i="1" s="1"/>
  <c r="X29" i="1"/>
  <c r="BC29" i="1" s="1"/>
  <c r="Z29" i="1"/>
  <c r="BE29" i="1" s="1"/>
  <c r="AB29" i="1"/>
  <c r="BG29" i="1" s="1"/>
  <c r="BH29" i="1"/>
  <c r="AD29" i="1"/>
  <c r="BI29" i="1" s="1"/>
  <c r="X30" i="1"/>
  <c r="BC30" i="1" s="1"/>
  <c r="Z30" i="1"/>
  <c r="BE30" i="1" s="1"/>
  <c r="AB30" i="1"/>
  <c r="BG30" i="1" s="1"/>
  <c r="BH30" i="1"/>
  <c r="AD30" i="1"/>
  <c r="BI30" i="1" s="1"/>
  <c r="X31" i="1"/>
  <c r="Z31" i="1"/>
  <c r="BE31" i="1" s="1"/>
  <c r="AB31" i="1"/>
  <c r="BG31" i="1" s="1"/>
  <c r="BH31" i="1"/>
  <c r="AD31" i="1"/>
  <c r="BI31" i="1" s="1"/>
  <c r="X32" i="1"/>
  <c r="Z32" i="1"/>
  <c r="BE32" i="1" s="1"/>
  <c r="AB32" i="1"/>
  <c r="BG32" i="1" s="1"/>
  <c r="BH32" i="1"/>
  <c r="AD32" i="1"/>
  <c r="BI32" i="1" s="1"/>
  <c r="X33" i="1"/>
  <c r="Z33" i="1"/>
  <c r="AB33" i="1"/>
  <c r="BG33" i="1" s="1"/>
  <c r="BH33" i="1"/>
  <c r="AD33" i="1"/>
  <c r="BI33" i="1" s="1"/>
  <c r="X34" i="1"/>
  <c r="Z34" i="1"/>
  <c r="AB34" i="1"/>
  <c r="BG34" i="1" s="1"/>
  <c r="BH34" i="1"/>
  <c r="AD34" i="1"/>
  <c r="BI34" i="1" s="1"/>
  <c r="X35" i="1"/>
  <c r="Z35" i="1"/>
  <c r="BE35" i="1" s="1"/>
  <c r="AB35" i="1"/>
  <c r="BG35" i="1" s="1"/>
  <c r="BH35" i="1"/>
  <c r="AD35" i="1"/>
  <c r="BI35" i="1" s="1"/>
  <c r="X36" i="1"/>
  <c r="BC36" i="1" s="1"/>
  <c r="Z36" i="1"/>
  <c r="BE36" i="1" s="1"/>
  <c r="AB36" i="1"/>
  <c r="BG36" i="1" s="1"/>
  <c r="BH36" i="1"/>
  <c r="AD36" i="1"/>
  <c r="BI36" i="1" s="1"/>
  <c r="X37" i="1"/>
  <c r="BC37" i="1" s="1"/>
  <c r="Z37" i="1"/>
  <c r="BE37" i="1" s="1"/>
  <c r="AB37" i="1"/>
  <c r="BG37" i="1" s="1"/>
  <c r="BH37" i="1"/>
  <c r="AD37" i="1"/>
  <c r="BI37" i="1" s="1"/>
  <c r="X38" i="1"/>
  <c r="BC38" i="1" s="1"/>
  <c r="Z38" i="1"/>
  <c r="BE38" i="1" s="1"/>
  <c r="AB38" i="1"/>
  <c r="BG38" i="1" s="1"/>
  <c r="BH38" i="1"/>
  <c r="AD38" i="1"/>
  <c r="BI38" i="1" s="1"/>
  <c r="X39" i="1"/>
  <c r="Z39" i="1"/>
  <c r="BE39" i="1" s="1"/>
  <c r="AB39" i="1"/>
  <c r="BG39" i="1" s="1"/>
  <c r="BH39" i="1"/>
  <c r="AD39" i="1"/>
  <c r="BI39" i="1" s="1"/>
  <c r="X40" i="1"/>
  <c r="Z40" i="1"/>
  <c r="BE40" i="1" s="1"/>
  <c r="AB40" i="1"/>
  <c r="BG40" i="1" s="1"/>
  <c r="BH40" i="1"/>
  <c r="AD40" i="1"/>
  <c r="BI40" i="1" s="1"/>
  <c r="AD6" i="1"/>
  <c r="BI6" i="1" s="1"/>
  <c r="BH6" i="1"/>
  <c r="AB6" i="1"/>
  <c r="BG6" i="1" s="1"/>
  <c r="Z6" i="1"/>
  <c r="BE6" i="1" s="1"/>
  <c r="X6" i="1"/>
  <c r="V7" i="1"/>
  <c r="BA7" i="1" s="1"/>
  <c r="V8" i="1"/>
  <c r="BA8" i="1" s="1"/>
  <c r="V9" i="1"/>
  <c r="BA9" i="1" s="1"/>
  <c r="V10" i="1"/>
  <c r="BA10" i="1" s="1"/>
  <c r="V11" i="1"/>
  <c r="BA11" i="1" s="1"/>
  <c r="V12" i="1"/>
  <c r="BA12" i="1" s="1"/>
  <c r="V13" i="1"/>
  <c r="V14" i="1"/>
  <c r="BA14" i="1" s="1"/>
  <c r="V15" i="1"/>
  <c r="BA15" i="1" s="1"/>
  <c r="V16" i="1"/>
  <c r="BA16" i="1" s="1"/>
  <c r="V17" i="1"/>
  <c r="BA17" i="1" s="1"/>
  <c r="V18" i="1"/>
  <c r="BA18" i="1" s="1"/>
  <c r="V19" i="1"/>
  <c r="BA19" i="1" s="1"/>
  <c r="V20" i="1"/>
  <c r="BA20" i="1" s="1"/>
  <c r="V21" i="1"/>
  <c r="BA21" i="1" s="1"/>
  <c r="V22" i="1"/>
  <c r="V23" i="1"/>
  <c r="BA23" i="1" s="1"/>
  <c r="V24" i="1"/>
  <c r="BA24" i="1" s="1"/>
  <c r="V25" i="1"/>
  <c r="BA25" i="1" s="1"/>
  <c r="V26" i="1"/>
  <c r="BA26" i="1" s="1"/>
  <c r="V27" i="1"/>
  <c r="BA27" i="1" s="1"/>
  <c r="V28" i="1"/>
  <c r="BA28" i="1" s="1"/>
  <c r="V29" i="1"/>
  <c r="V30" i="1"/>
  <c r="BA30" i="1" s="1"/>
  <c r="V31" i="1"/>
  <c r="BA31" i="1" s="1"/>
  <c r="V32" i="1"/>
  <c r="V33" i="1"/>
  <c r="BA33" i="1" s="1"/>
  <c r="V34" i="1"/>
  <c r="BA34" i="1" s="1"/>
  <c r="V35" i="1"/>
  <c r="V36" i="1"/>
  <c r="BA36" i="1" s="1"/>
  <c r="V37" i="1"/>
  <c r="V38" i="1"/>
  <c r="BA38" i="1" s="1"/>
  <c r="V39" i="1"/>
  <c r="BA39" i="1" s="1"/>
  <c r="V40" i="1"/>
  <c r="BA40" i="1" s="1"/>
  <c r="V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6" i="1"/>
  <c r="T7" i="1"/>
  <c r="AY7" i="1" s="1"/>
  <c r="T8" i="1"/>
  <c r="AY8" i="1" s="1"/>
  <c r="T9" i="1"/>
  <c r="AY9" i="1" s="1"/>
  <c r="T10" i="1"/>
  <c r="AY10" i="1" s="1"/>
  <c r="T11" i="1"/>
  <c r="AY11" i="1" s="1"/>
  <c r="T12" i="1"/>
  <c r="AY12" i="1" s="1"/>
  <c r="T13" i="1"/>
  <c r="AY13" i="1" s="1"/>
  <c r="T14" i="1"/>
  <c r="AY14" i="1" s="1"/>
  <c r="T15" i="1"/>
  <c r="AY15" i="1" s="1"/>
  <c r="T16" i="1"/>
  <c r="AY16" i="1" s="1"/>
  <c r="T17" i="1"/>
  <c r="AY17" i="1" s="1"/>
  <c r="T18" i="1"/>
  <c r="AY18" i="1" s="1"/>
  <c r="T19" i="1"/>
  <c r="AY19" i="1" s="1"/>
  <c r="T20" i="1"/>
  <c r="AY20" i="1" s="1"/>
  <c r="T21" i="1"/>
  <c r="AY21" i="1" s="1"/>
  <c r="T22" i="1"/>
  <c r="AY22" i="1" s="1"/>
  <c r="T23" i="1"/>
  <c r="AY23" i="1" s="1"/>
  <c r="T24" i="1"/>
  <c r="AY24" i="1" s="1"/>
  <c r="T25" i="1"/>
  <c r="AY25" i="1" s="1"/>
  <c r="T26" i="1"/>
  <c r="AY26" i="1" s="1"/>
  <c r="T27" i="1"/>
  <c r="AY27" i="1" s="1"/>
  <c r="T28" i="1"/>
  <c r="AY28" i="1" s="1"/>
  <c r="T29" i="1"/>
  <c r="AY29" i="1" s="1"/>
  <c r="T30" i="1"/>
  <c r="AY30" i="1" s="1"/>
  <c r="T31" i="1"/>
  <c r="AY31" i="1" s="1"/>
  <c r="T32" i="1"/>
  <c r="AY32" i="1" s="1"/>
  <c r="T33" i="1"/>
  <c r="AY33" i="1" s="1"/>
  <c r="T34" i="1"/>
  <c r="AY34" i="1" s="1"/>
  <c r="T35" i="1"/>
  <c r="AY35" i="1" s="1"/>
  <c r="T36" i="1"/>
  <c r="AY36" i="1" s="1"/>
  <c r="T37" i="1"/>
  <c r="AY37" i="1" s="1"/>
  <c r="T38" i="1"/>
  <c r="AY38" i="1" s="1"/>
  <c r="T39" i="1"/>
  <c r="AY39" i="1" s="1"/>
  <c r="T40" i="1"/>
  <c r="AY40" i="1" s="1"/>
  <c r="T6" i="1"/>
  <c r="AY6" i="1" s="1"/>
  <c r="S7" i="1"/>
  <c r="AX7" i="1" s="1"/>
  <c r="S8" i="1"/>
  <c r="AX8" i="1" s="1"/>
  <c r="S9" i="1"/>
  <c r="AX9" i="1" s="1"/>
  <c r="S10" i="1"/>
  <c r="AX10" i="1" s="1"/>
  <c r="S11" i="1"/>
  <c r="AX11" i="1" s="1"/>
  <c r="S12" i="1"/>
  <c r="AX12" i="1" s="1"/>
  <c r="S13" i="1"/>
  <c r="AX13" i="1" s="1"/>
  <c r="S14" i="1"/>
  <c r="AX14" i="1" s="1"/>
  <c r="S15" i="1"/>
  <c r="AX15" i="1" s="1"/>
  <c r="S16" i="1"/>
  <c r="AX16" i="1" s="1"/>
  <c r="S17" i="1"/>
  <c r="AX17" i="1" s="1"/>
  <c r="S18" i="1"/>
  <c r="AX18" i="1" s="1"/>
  <c r="S19" i="1"/>
  <c r="AX19" i="1" s="1"/>
  <c r="S20" i="1"/>
  <c r="AX20" i="1" s="1"/>
  <c r="S21" i="1"/>
  <c r="AX21" i="1" s="1"/>
  <c r="S22" i="1"/>
  <c r="AX22" i="1" s="1"/>
  <c r="S23" i="1"/>
  <c r="AX23" i="1" s="1"/>
  <c r="S24" i="1"/>
  <c r="S25" i="1"/>
  <c r="AX25" i="1" s="1"/>
  <c r="S26" i="1"/>
  <c r="AX26" i="1" s="1"/>
  <c r="S27" i="1"/>
  <c r="AX27" i="1" s="1"/>
  <c r="S28" i="1"/>
  <c r="AX28" i="1" s="1"/>
  <c r="S29" i="1"/>
  <c r="AX29" i="1" s="1"/>
  <c r="S30" i="1"/>
  <c r="AX30" i="1" s="1"/>
  <c r="S31" i="1"/>
  <c r="AX31" i="1" s="1"/>
  <c r="S32" i="1"/>
  <c r="AX32" i="1" s="1"/>
  <c r="S33" i="1"/>
  <c r="AX33" i="1" s="1"/>
  <c r="S34" i="1"/>
  <c r="AX34" i="1" s="1"/>
  <c r="S35" i="1"/>
  <c r="AX35" i="1" s="1"/>
  <c r="S36" i="1"/>
  <c r="AX36" i="1" s="1"/>
  <c r="S37" i="1"/>
  <c r="AX37" i="1" s="1"/>
  <c r="S38" i="1"/>
  <c r="AX38" i="1" s="1"/>
  <c r="S39" i="1"/>
  <c r="AX39" i="1" s="1"/>
  <c r="S40" i="1"/>
  <c r="AX40" i="1" s="1"/>
  <c r="S6" i="1"/>
  <c r="AH5" i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F7" i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BH2" i="1" l="1"/>
  <c r="AZ19" i="1"/>
  <c r="AZ11" i="1"/>
  <c r="Y6" i="1"/>
  <c r="BD6" i="1" s="1"/>
  <c r="BC6" i="1"/>
  <c r="AZ34" i="1"/>
  <c r="AZ26" i="1"/>
  <c r="AZ18" i="1"/>
  <c r="AZ10" i="1"/>
  <c r="W37" i="1"/>
  <c r="BB37" i="1" s="1"/>
  <c r="BA37" i="1"/>
  <c r="W29" i="1"/>
  <c r="BB29" i="1" s="1"/>
  <c r="BA29" i="1"/>
  <c r="W13" i="1"/>
  <c r="BB13" i="1" s="1"/>
  <c r="BA13" i="1"/>
  <c r="Y40" i="1"/>
  <c r="BD40" i="1" s="1"/>
  <c r="BC40" i="1"/>
  <c r="Y32" i="1"/>
  <c r="BD32" i="1" s="1"/>
  <c r="BC32" i="1"/>
  <c r="Y24" i="1"/>
  <c r="BD24" i="1" s="1"/>
  <c r="BC24" i="1"/>
  <c r="AA19" i="1"/>
  <c r="BF19" i="1" s="1"/>
  <c r="BE19" i="1"/>
  <c r="Y16" i="1"/>
  <c r="BD16" i="1" s="1"/>
  <c r="BC16" i="1"/>
  <c r="Y8" i="1"/>
  <c r="BD8" i="1" s="1"/>
  <c r="BC8" i="1"/>
  <c r="AZ6" i="1"/>
  <c r="AZ33" i="1"/>
  <c r="AZ25" i="1"/>
  <c r="AZ17" i="1"/>
  <c r="AZ9" i="1"/>
  <c r="Y35" i="1"/>
  <c r="BD35" i="1" s="1"/>
  <c r="BC35" i="1"/>
  <c r="Y27" i="1"/>
  <c r="BD27" i="1" s="1"/>
  <c r="BC27" i="1"/>
  <c r="Y19" i="1"/>
  <c r="BD19" i="1" s="1"/>
  <c r="BC19" i="1"/>
  <c r="AA14" i="1"/>
  <c r="BF14" i="1" s="1"/>
  <c r="BE14" i="1"/>
  <c r="Y11" i="1"/>
  <c r="BD11" i="1" s="1"/>
  <c r="BC11" i="1"/>
  <c r="W22" i="1"/>
  <c r="BB22" i="1" s="1"/>
  <c r="BA22" i="1"/>
  <c r="AZ40" i="1"/>
  <c r="AZ32" i="1"/>
  <c r="AZ16" i="1"/>
  <c r="AZ8" i="1"/>
  <c r="W35" i="1"/>
  <c r="BB35" i="1" s="1"/>
  <c r="BA35" i="1"/>
  <c r="AA33" i="1"/>
  <c r="BF33" i="1" s="1"/>
  <c r="BE33" i="1"/>
  <c r="AA25" i="1"/>
  <c r="BF25" i="1" s="1"/>
  <c r="BE25" i="1"/>
  <c r="AA9" i="1"/>
  <c r="BF9" i="1" s="1"/>
  <c r="BE9" i="1"/>
  <c r="AZ24" i="1"/>
  <c r="BK6" i="1"/>
  <c r="AX6" i="1"/>
  <c r="AZ39" i="1"/>
  <c r="AZ31" i="1"/>
  <c r="AZ23" i="1"/>
  <c r="AZ15" i="1"/>
  <c r="AZ7" i="1"/>
  <c r="Y33" i="1"/>
  <c r="BD33" i="1" s="1"/>
  <c r="BC33" i="1"/>
  <c r="Y25" i="1"/>
  <c r="BD25" i="1" s="1"/>
  <c r="BC25" i="1"/>
  <c r="AA20" i="1"/>
  <c r="BF20" i="1" s="1"/>
  <c r="BE20" i="1"/>
  <c r="Y17" i="1"/>
  <c r="BD17" i="1" s="1"/>
  <c r="BC17" i="1"/>
  <c r="Y9" i="1"/>
  <c r="BD9" i="1" s="1"/>
  <c r="BC9" i="1"/>
  <c r="AZ27" i="1"/>
  <c r="BK24" i="1"/>
  <c r="AX24" i="1"/>
  <c r="AZ30" i="1"/>
  <c r="AZ14" i="1"/>
  <c r="AZ35" i="1"/>
  <c r="AZ38" i="1"/>
  <c r="AZ22" i="1"/>
  <c r="W6" i="1"/>
  <c r="BB6" i="1" s="1"/>
  <c r="BA6" i="1"/>
  <c r="AZ37" i="1"/>
  <c r="AZ29" i="1"/>
  <c r="AZ21" i="1"/>
  <c r="AZ13" i="1"/>
  <c r="W32" i="1"/>
  <c r="BB32" i="1" s="1"/>
  <c r="BA32" i="1"/>
  <c r="Y39" i="1"/>
  <c r="BD39" i="1" s="1"/>
  <c r="BC39" i="1"/>
  <c r="AA34" i="1"/>
  <c r="BF34" i="1" s="1"/>
  <c r="BE34" i="1"/>
  <c r="Y31" i="1"/>
  <c r="BD31" i="1" s="1"/>
  <c r="BC31" i="1"/>
  <c r="Y23" i="1"/>
  <c r="BD23" i="1" s="1"/>
  <c r="BC23" i="1"/>
  <c r="AA18" i="1"/>
  <c r="BF18" i="1" s="1"/>
  <c r="BE18" i="1"/>
  <c r="Y15" i="1"/>
  <c r="BD15" i="1" s="1"/>
  <c r="BC15" i="1"/>
  <c r="Y7" i="1"/>
  <c r="BD7" i="1" s="1"/>
  <c r="BC7" i="1"/>
  <c r="AZ36" i="1"/>
  <c r="AZ28" i="1"/>
  <c r="AZ20" i="1"/>
  <c r="AZ12" i="1"/>
  <c r="Y34" i="1"/>
  <c r="BD34" i="1" s="1"/>
  <c r="BC34" i="1"/>
  <c r="Y26" i="1"/>
  <c r="BD26" i="1" s="1"/>
  <c r="BC26" i="1"/>
  <c r="Y18" i="1"/>
  <c r="BD18" i="1" s="1"/>
  <c r="BL18" i="1" s="1"/>
  <c r="BC18" i="1"/>
  <c r="Y10" i="1"/>
  <c r="BD10" i="1" s="1"/>
  <c r="BC10" i="1"/>
  <c r="AA32" i="1"/>
  <c r="BF32" i="1" s="1"/>
  <c r="AE27" i="1"/>
  <c r="BJ27" i="1" s="1"/>
  <c r="W26" i="1"/>
  <c r="BB26" i="1" s="1"/>
  <c r="AA35" i="1"/>
  <c r="BF35" i="1" s="1"/>
  <c r="AA8" i="1"/>
  <c r="BF8" i="1" s="1"/>
  <c r="AA39" i="1"/>
  <c r="BF39" i="1" s="1"/>
  <c r="AE21" i="1"/>
  <c r="BJ21" i="1" s="1"/>
  <c r="W27" i="1"/>
  <c r="BB27" i="1" s="1"/>
  <c r="W19" i="1"/>
  <c r="BB19" i="1" s="1"/>
  <c r="W11" i="1"/>
  <c r="BB11" i="1" s="1"/>
  <c r="AA28" i="1"/>
  <c r="BF28" i="1" s="1"/>
  <c r="AA6" i="1"/>
  <c r="BF6" i="1" s="1"/>
  <c r="AE14" i="1"/>
  <c r="BJ14" i="1" s="1"/>
  <c r="W10" i="1"/>
  <c r="BB10" i="1" s="1"/>
  <c r="W36" i="1"/>
  <c r="BB36" i="1" s="1"/>
  <c r="W20" i="1"/>
  <c r="BB20" i="1" s="1"/>
  <c r="AA40" i="1"/>
  <c r="BF40" i="1" s="1"/>
  <c r="AA36" i="1"/>
  <c r="BF36" i="1" s="1"/>
  <c r="AE30" i="1"/>
  <c r="BJ30" i="1" s="1"/>
  <c r="AA22" i="1"/>
  <c r="BF22" i="1" s="1"/>
  <c r="AE20" i="1"/>
  <c r="BJ20" i="1" s="1"/>
  <c r="AA12" i="1"/>
  <c r="BF12" i="1" s="1"/>
  <c r="W38" i="1"/>
  <c r="BB38" i="1" s="1"/>
  <c r="W34" i="1"/>
  <c r="BB34" i="1" s="1"/>
  <c r="W18" i="1"/>
  <c r="BB18" i="1" s="1"/>
  <c r="AA30" i="1"/>
  <c r="BF30" i="1" s="1"/>
  <c r="AE28" i="1"/>
  <c r="BJ28" i="1" s="1"/>
  <c r="AA23" i="1"/>
  <c r="BF23" i="1" s="1"/>
  <c r="AA16" i="1"/>
  <c r="BF16" i="1" s="1"/>
  <c r="W30" i="1"/>
  <c r="BB30" i="1" s="1"/>
  <c r="W14" i="1"/>
  <c r="BB14" i="1" s="1"/>
  <c r="AE11" i="1"/>
  <c r="BJ11" i="1" s="1"/>
  <c r="W28" i="1"/>
  <c r="BB28" i="1" s="1"/>
  <c r="W12" i="1"/>
  <c r="BB12" i="1" s="1"/>
  <c r="AA38" i="1"/>
  <c r="BF38" i="1" s="1"/>
  <c r="AE36" i="1"/>
  <c r="BJ36" i="1" s="1"/>
  <c r="AA31" i="1"/>
  <c r="BF31" i="1" s="1"/>
  <c r="AA27" i="1"/>
  <c r="BF27" i="1" s="1"/>
  <c r="AA24" i="1"/>
  <c r="BF24" i="1" s="1"/>
  <c r="AE18" i="1"/>
  <c r="BJ18" i="1" s="1"/>
  <c r="AE12" i="1"/>
  <c r="BJ12" i="1" s="1"/>
  <c r="AA7" i="1"/>
  <c r="BF7" i="1" s="1"/>
  <c r="BK15" i="1"/>
  <c r="BK39" i="1"/>
  <c r="BK40" i="1"/>
  <c r="BK16" i="1"/>
  <c r="BK38" i="1"/>
  <c r="W23" i="1"/>
  <c r="BB23" i="1" s="1"/>
  <c r="BK34" i="1"/>
  <c r="BK37" i="1"/>
  <c r="BK29" i="1"/>
  <c r="BK13" i="1"/>
  <c r="AE40" i="1"/>
  <c r="BJ40" i="1" s="1"/>
  <c r="AE32" i="1"/>
  <c r="BJ32" i="1" s="1"/>
  <c r="AE24" i="1"/>
  <c r="BJ24" i="1" s="1"/>
  <c r="W7" i="1"/>
  <c r="BB7" i="1" s="1"/>
  <c r="BK20" i="1"/>
  <c r="BK12" i="1"/>
  <c r="AE10" i="1"/>
  <c r="BJ10" i="1" s="1"/>
  <c r="AE9" i="1"/>
  <c r="BJ9" i="1" s="1"/>
  <c r="BK22" i="1"/>
  <c r="W31" i="1"/>
  <c r="BB31" i="1" s="1"/>
  <c r="BK35" i="1"/>
  <c r="BK11" i="1"/>
  <c r="AE17" i="1"/>
  <c r="BJ17" i="1" s="1"/>
  <c r="AA13" i="1"/>
  <c r="BF13" i="1" s="1"/>
  <c r="Y12" i="1"/>
  <c r="BD12" i="1" s="1"/>
  <c r="Y38" i="1"/>
  <c r="BD38" i="1" s="1"/>
  <c r="AE16" i="1"/>
  <c r="BJ16" i="1" s="1"/>
  <c r="BK28" i="1"/>
  <c r="BK27" i="1"/>
  <c r="BK19" i="1"/>
  <c r="BK26" i="1"/>
  <c r="BK18" i="1"/>
  <c r="BK10" i="1"/>
  <c r="AE6" i="1"/>
  <c r="BJ6" i="1" s="1"/>
  <c r="AA37" i="1"/>
  <c r="BF37" i="1" s="1"/>
  <c r="Y36" i="1"/>
  <c r="BD36" i="1" s="1"/>
  <c r="AE34" i="1"/>
  <c r="BJ34" i="1" s="1"/>
  <c r="AE33" i="1"/>
  <c r="BJ33" i="1" s="1"/>
  <c r="AA29" i="1"/>
  <c r="BF29" i="1" s="1"/>
  <c r="Y28" i="1"/>
  <c r="BD28" i="1" s="1"/>
  <c r="AE26" i="1"/>
  <c r="BJ26" i="1" s="1"/>
  <c r="AE25" i="1"/>
  <c r="BJ25" i="1" s="1"/>
  <c r="AA21" i="1"/>
  <c r="BF21" i="1" s="1"/>
  <c r="Y20" i="1"/>
  <c r="BD20" i="1" s="1"/>
  <c r="Y13" i="1"/>
  <c r="BD13" i="1" s="1"/>
  <c r="BK30" i="1"/>
  <c r="W39" i="1"/>
  <c r="BB39" i="1" s="1"/>
  <c r="BK36" i="1"/>
  <c r="BK33" i="1"/>
  <c r="BK25" i="1"/>
  <c r="BK17" i="1"/>
  <c r="BK9" i="1"/>
  <c r="Y37" i="1"/>
  <c r="BD37" i="1" s="1"/>
  <c r="AE35" i="1"/>
  <c r="BJ35" i="1" s="1"/>
  <c r="Y29" i="1"/>
  <c r="BD29" i="1" s="1"/>
  <c r="Y21" i="1"/>
  <c r="BD21" i="1" s="1"/>
  <c r="AE19" i="1"/>
  <c r="BJ19" i="1" s="1"/>
  <c r="AE7" i="1"/>
  <c r="BJ7" i="1" s="1"/>
  <c r="BK21" i="1"/>
  <c r="BK32" i="1"/>
  <c r="BO6" i="1"/>
  <c r="W33" i="1"/>
  <c r="BB33" i="1" s="1"/>
  <c r="W25" i="1"/>
  <c r="BB25" i="1" s="1"/>
  <c r="W17" i="1"/>
  <c r="BB17" i="1" s="1"/>
  <c r="W9" i="1"/>
  <c r="BB9" i="1" s="1"/>
  <c r="AE15" i="1"/>
  <c r="BJ15" i="1" s="1"/>
  <c r="BK14" i="1"/>
  <c r="W15" i="1"/>
  <c r="BB15" i="1" s="1"/>
  <c r="Y30" i="1"/>
  <c r="BD30" i="1" s="1"/>
  <c r="Y22" i="1"/>
  <c r="BD22" i="1" s="1"/>
  <c r="BK8" i="1"/>
  <c r="BK31" i="1"/>
  <c r="BK23" i="1"/>
  <c r="BK7" i="1"/>
  <c r="W40" i="1"/>
  <c r="BB40" i="1" s="1"/>
  <c r="W24" i="1"/>
  <c r="BB24" i="1" s="1"/>
  <c r="W16" i="1"/>
  <c r="BB16" i="1" s="1"/>
  <c r="W8" i="1"/>
  <c r="BB8" i="1" s="1"/>
  <c r="AE39" i="1"/>
  <c r="BJ39" i="1" s="1"/>
  <c r="AE31" i="1"/>
  <c r="BJ31" i="1" s="1"/>
  <c r="AE23" i="1"/>
  <c r="BJ23" i="1" s="1"/>
  <c r="AA15" i="1"/>
  <c r="BF15" i="1" s="1"/>
  <c r="Y14" i="1"/>
  <c r="BD14" i="1" s="1"/>
  <c r="AE8" i="1"/>
  <c r="BJ8" i="1" s="1"/>
  <c r="AE37" i="1"/>
  <c r="BJ37" i="1" s="1"/>
  <c r="AE29" i="1"/>
  <c r="BJ29" i="1" s="1"/>
  <c r="AA17" i="1"/>
  <c r="BF17" i="1" s="1"/>
  <c r="AE13" i="1"/>
  <c r="BJ13" i="1" s="1"/>
  <c r="AE38" i="1"/>
  <c r="BJ38" i="1" s="1"/>
  <c r="AA26" i="1"/>
  <c r="BF26" i="1" s="1"/>
  <c r="AE22" i="1"/>
  <c r="BJ22" i="1" s="1"/>
  <c r="AA10" i="1"/>
  <c r="BF10" i="1" s="1"/>
  <c r="AA11" i="1"/>
  <c r="BF11" i="1" s="1"/>
  <c r="BL35" i="1"/>
  <c r="W21" i="1"/>
  <c r="BB21" i="1" s="1"/>
  <c r="BJ2" i="1" l="1"/>
  <c r="BL39" i="1"/>
  <c r="BL27" i="1"/>
  <c r="BL34" i="1"/>
  <c r="BL36" i="1"/>
  <c r="BL20" i="1"/>
  <c r="BL37" i="1"/>
  <c r="BL26" i="1"/>
  <c r="BL8" i="1"/>
  <c r="BL12" i="1"/>
  <c r="BL19" i="1"/>
  <c r="BL38" i="1"/>
  <c r="BL10" i="1"/>
  <c r="BL30" i="1"/>
  <c r="BL22" i="1"/>
  <c r="BL23" i="1"/>
  <c r="BL7" i="1"/>
  <c r="BL14" i="1"/>
  <c r="BL32" i="1"/>
  <c r="BL21" i="1"/>
  <c r="BL11" i="1"/>
  <c r="BL28" i="1"/>
  <c r="BL31" i="1"/>
  <c r="BL24" i="1"/>
  <c r="BL16" i="1"/>
  <c r="BL17" i="1"/>
  <c r="BL25" i="1"/>
  <c r="BL40" i="1"/>
  <c r="BL33" i="1"/>
  <c r="BL13" i="1"/>
  <c r="BL9" i="1"/>
  <c r="BL6" i="1"/>
  <c r="BM6" i="1" s="1"/>
  <c r="BL29" i="1"/>
  <c r="BL15" i="1"/>
  <c r="BM7" i="1" l="1"/>
  <c r="BM8" i="1" s="1"/>
  <c r="BM9" i="1" s="1"/>
  <c r="BM10" i="1" s="1"/>
  <c r="BM11" i="1" s="1"/>
  <c r="BM12" i="1" s="1"/>
  <c r="BM13" i="1" s="1"/>
  <c r="BM14" i="1" s="1"/>
  <c r="BM15" i="1" s="1"/>
  <c r="BM16" i="1" s="1"/>
  <c r="BM17" i="1" s="1"/>
  <c r="BM18" i="1" s="1"/>
  <c r="BM19" i="1" s="1"/>
  <c r="BM20" i="1" s="1"/>
  <c r="BM21" i="1" s="1"/>
  <c r="BM22" i="1" s="1"/>
  <c r="BM23" i="1" s="1"/>
  <c r="BM24" i="1" s="1"/>
  <c r="BM25" i="1" s="1"/>
  <c r="BM26" i="1" s="1"/>
  <c r="BM27" i="1" s="1"/>
  <c r="BM28" i="1" s="1"/>
  <c r="BM29" i="1" s="1"/>
  <c r="BM30" i="1" s="1"/>
  <c r="BM31" i="1" s="1"/>
  <c r="BM32" i="1" s="1"/>
  <c r="BM33" i="1" s="1"/>
  <c r="BM34" i="1" s="1"/>
  <c r="BM35" i="1" s="1"/>
  <c r="BM36" i="1" s="1"/>
  <c r="BM37" i="1" s="1"/>
  <c r="BM38" i="1" s="1"/>
  <c r="BM39" i="1" s="1"/>
  <c r="BM40" i="1" s="1"/>
  <c r="BL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53295-7E59-40BA-A0C4-70E16EEF85BA}" name="happened_pred" type="6" refreshedVersion="6" background="1" saveData="1">
    <textPr codePage="437" sourceFile="I:\Clients\Thomas\source\History\happened_pred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A5308CD-04AC-4E35-9691-CFA777C06294}" name="odds" type="6" refreshedVersion="6" background="1" saveData="1">
    <textPr codePage="437" sourceFile="I:\Clients\Thomas\source\History\odds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<sst xmlns="http://schemas.openxmlformats.org/spreadsheetml/2006/main" count="59" uniqueCount="20">
  <si>
    <t>HW</t>
  </si>
  <si>
    <t>DR</t>
  </si>
  <si>
    <t>AW</t>
  </si>
  <si>
    <t>BY</t>
  </si>
  <si>
    <t>BN</t>
  </si>
  <si>
    <t>O15</t>
  </si>
  <si>
    <t>U15</t>
  </si>
  <si>
    <t>O25</t>
  </si>
  <si>
    <t>U25</t>
  </si>
  <si>
    <t>"1:0"</t>
  </si>
  <si>
    <t>"2:1"</t>
  </si>
  <si>
    <t>"1:1"</t>
  </si>
  <si>
    <t>other</t>
  </si>
  <si>
    <t>Happened_True</t>
  </si>
  <si>
    <t>Stake</t>
  </si>
  <si>
    <t>Profit</t>
  </si>
  <si>
    <t>`</t>
  </si>
  <si>
    <t>Odds</t>
  </si>
  <si>
    <t>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</si>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</sst>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;[Red]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9D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" fontId="0" fillId="0" borderId="0" xfId="0" applyNumberFormat="1" applyAlignment="1">
      <alignment horizontal="right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right"/>
    </xf>
    <xf numFmtId="168" fontId="0" fillId="0" borderId="0" xfId="0" applyNumberFormat="1"/>
    <xf numFmtId="168" fontId="0" fillId="2" borderId="0" xfId="0" applyNumberFormat="1" applyFill="1" applyAlignment="1">
      <alignment horizontal="center"/>
    </xf>
    <xf numFmtId="168" fontId="0" fillId="0" borderId="0" xfId="0" applyNumberFormat="1" applyFill="1"/>
    <xf numFmtId="0" fontId="0" fillId="2" borderId="0" xfId="0" applyFill="1" applyAlignment="1">
      <alignment horizontal="center"/>
    </xf>
    <xf numFmtId="168" fontId="0" fillId="3" borderId="0" xfId="0" applyNumberFormat="1" applyFill="1"/>
    <xf numFmtId="168" fontId="0" fillId="3" borderId="1" xfId="0" applyNumberFormat="1" applyFill="1" applyBorder="1"/>
    <xf numFmtId="168" fontId="0" fillId="4" borderId="1" xfId="0" applyNumberFormat="1" applyFill="1" applyBorder="1"/>
    <xf numFmtId="0" fontId="1" fillId="3" borderId="0" xfId="0" applyFont="1" applyFill="1"/>
    <xf numFmtId="0" fontId="0" fillId="3" borderId="0" xfId="0" applyFill="1" applyAlignment="1">
      <alignment horizontal="right"/>
    </xf>
    <xf numFmtId="0" fontId="0" fillId="3" borderId="0" xfId="0" applyFill="1"/>
    <xf numFmtId="0" fontId="0" fillId="5" borderId="0" xfId="0" applyFill="1"/>
    <xf numFmtId="168" fontId="0" fillId="5" borderId="1" xfId="0" applyNumberFormat="1" applyFill="1" applyBorder="1"/>
    <xf numFmtId="0" fontId="0" fillId="5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9D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appened_pred" connectionId="1" xr16:uid="{EB797751-A2F5-440A-B2FB-07F0BF1C61D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ds" connectionId="2" xr16:uid="{02084035-C238-4CF9-A9A5-049349F0CD8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7203-E783-4A09-8EB2-2747DDF5FE4F}">
  <dimension ref="A2:BO40"/>
  <sheetViews>
    <sheetView tabSelected="1" zoomScaleNormal="100" workbookViewId="0">
      <selection activeCell="AF4" sqref="AF4"/>
    </sheetView>
  </sheetViews>
  <sheetFormatPr defaultRowHeight="15" x14ac:dyDescent="0.25"/>
  <cols>
    <col min="1" max="1" width="9.140625" style="2"/>
    <col min="2" max="14" width="6.28515625" style="5" customWidth="1"/>
    <col min="16" max="16" width="5.5703125" customWidth="1"/>
    <col min="17" max="18" width="5.5703125" style="2" customWidth="1"/>
    <col min="19" max="31" width="5.85546875" customWidth="1"/>
    <col min="32" max="32" width="9.140625" style="2"/>
    <col min="33" max="47" width="5.42578125" customWidth="1"/>
    <col min="49" max="49" width="5.85546875" customWidth="1"/>
    <col min="50" max="62" width="8.42578125" style="9" customWidth="1"/>
    <col min="63" max="63" width="5.28515625" style="9" customWidth="1"/>
    <col min="64" max="64" width="9.42578125" style="9" customWidth="1"/>
    <col min="65" max="65" width="9.5703125" customWidth="1"/>
    <col min="66" max="67" width="5.140625" customWidth="1"/>
  </cols>
  <sheetData>
    <row r="2" spans="1:67" x14ac:dyDescent="0.25">
      <c r="AG2" s="1"/>
      <c r="AX2" s="9">
        <f>SUM(AX6:AX40)</f>
        <v>160.79999999999998</v>
      </c>
      <c r="AY2" s="9">
        <f t="shared" ref="AY2:BJ2" si="0">SUM(AY6:AY40)</f>
        <v>305.5</v>
      </c>
      <c r="AZ2" s="9">
        <f t="shared" si="0"/>
        <v>182.4</v>
      </c>
      <c r="BA2" s="9">
        <f t="shared" si="0"/>
        <v>157.80000000000001</v>
      </c>
      <c r="BB2" s="9">
        <f t="shared" si="0"/>
        <v>113.4</v>
      </c>
      <c r="BC2" s="9">
        <f t="shared" si="0"/>
        <v>87.7</v>
      </c>
      <c r="BD2" s="9">
        <f t="shared" si="0"/>
        <v>182</v>
      </c>
      <c r="BE2" s="9">
        <f t="shared" si="0"/>
        <v>184.3</v>
      </c>
      <c r="BF2" s="9">
        <f t="shared" si="0"/>
        <v>175.5</v>
      </c>
      <c r="BG2" s="9">
        <f t="shared" si="0"/>
        <v>155</v>
      </c>
      <c r="BH2" s="9">
        <f t="shared" si="0"/>
        <v>480</v>
      </c>
      <c r="BI2" s="9">
        <f t="shared" si="0"/>
        <v>205</v>
      </c>
      <c r="BJ2" s="9">
        <f t="shared" si="0"/>
        <v>106.82096100000001</v>
      </c>
    </row>
    <row r="3" spans="1:67" x14ac:dyDescent="0.25">
      <c r="B3" s="7" t="s">
        <v>17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P3" s="7" t="s">
        <v>13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G3" s="7" t="s">
        <v>14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12"/>
      <c r="AU3" s="12"/>
      <c r="AX3" s="10" t="s">
        <v>15</v>
      </c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7" x14ac:dyDescent="0.25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6" t="s">
        <v>9</v>
      </c>
      <c r="L4" s="5" t="s">
        <v>10</v>
      </c>
      <c r="M4" s="5" t="s">
        <v>11</v>
      </c>
      <c r="N4" s="5" t="s">
        <v>12</v>
      </c>
      <c r="Q4" s="8" t="s">
        <v>18</v>
      </c>
      <c r="R4" s="8" t="s">
        <v>19</v>
      </c>
      <c r="S4" t="s">
        <v>0</v>
      </c>
      <c r="T4" t="s">
        <v>1</v>
      </c>
      <c r="U4" t="s">
        <v>2</v>
      </c>
      <c r="V4" t="s">
        <v>3</v>
      </c>
      <c r="W4" t="s">
        <v>4</v>
      </c>
      <c r="X4" t="s">
        <v>5</v>
      </c>
      <c r="Y4" t="s">
        <v>6</v>
      </c>
      <c r="Z4" t="s">
        <v>7</v>
      </c>
      <c r="AA4" t="s">
        <v>8</v>
      </c>
      <c r="AB4" s="3" t="s">
        <v>9</v>
      </c>
      <c r="AC4" t="s">
        <v>10</v>
      </c>
      <c r="AD4" t="s">
        <v>11</v>
      </c>
      <c r="AE4" t="s">
        <v>12</v>
      </c>
      <c r="AG4" t="s">
        <v>0</v>
      </c>
      <c r="AH4" t="s">
        <v>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s="3" t="s">
        <v>9</v>
      </c>
      <c r="AQ4" t="s">
        <v>10</v>
      </c>
      <c r="AR4" t="s">
        <v>11</v>
      </c>
      <c r="AS4" t="s">
        <v>12</v>
      </c>
      <c r="AX4" s="9" t="s">
        <v>0</v>
      </c>
      <c r="AY4" s="9" t="s">
        <v>1</v>
      </c>
      <c r="AZ4" s="9" t="s">
        <v>2</v>
      </c>
      <c r="BA4" s="9" t="s">
        <v>3</v>
      </c>
      <c r="BB4" s="9" t="s">
        <v>4</v>
      </c>
      <c r="BC4" s="9" t="s">
        <v>5</v>
      </c>
      <c r="BD4" s="9" t="s">
        <v>6</v>
      </c>
      <c r="BE4" s="9" t="s">
        <v>7</v>
      </c>
      <c r="BF4" s="9" t="s">
        <v>8</v>
      </c>
      <c r="BG4" s="9" t="s">
        <v>9</v>
      </c>
      <c r="BH4" s="9" t="s">
        <v>10</v>
      </c>
      <c r="BI4" s="9" t="s">
        <v>11</v>
      </c>
      <c r="BJ4" s="9" t="s">
        <v>12</v>
      </c>
      <c r="BL4" s="9">
        <f>SUM(BL6:BL40)</f>
        <v>2389.4000000000005</v>
      </c>
    </row>
    <row r="5" spans="1:67" x14ac:dyDescent="0.25">
      <c r="B5" s="2">
        <v>0</v>
      </c>
      <c r="C5" s="2">
        <f>B5+1</f>
        <v>1</v>
      </c>
      <c r="D5" s="2">
        <f t="shared" ref="D5:N5" si="1">C5+1</f>
        <v>2</v>
      </c>
      <c r="E5" s="2">
        <f t="shared" si="1"/>
        <v>3</v>
      </c>
      <c r="F5" s="2">
        <f t="shared" si="1"/>
        <v>4</v>
      </c>
      <c r="G5" s="2">
        <f t="shared" si="1"/>
        <v>5</v>
      </c>
      <c r="H5" s="2">
        <f t="shared" si="1"/>
        <v>6</v>
      </c>
      <c r="I5" s="2">
        <f t="shared" si="1"/>
        <v>7</v>
      </c>
      <c r="J5" s="2">
        <f t="shared" si="1"/>
        <v>8</v>
      </c>
      <c r="K5" s="2">
        <f t="shared" si="1"/>
        <v>9</v>
      </c>
      <c r="L5" s="2">
        <f t="shared" si="1"/>
        <v>10</v>
      </c>
      <c r="M5" s="2">
        <f t="shared" si="1"/>
        <v>11</v>
      </c>
      <c r="N5" s="2">
        <f t="shared" si="1"/>
        <v>12</v>
      </c>
      <c r="R5" s="2">
        <v>0</v>
      </c>
      <c r="S5" s="2">
        <f>R5+1</f>
        <v>1</v>
      </c>
      <c r="T5" s="2">
        <f t="shared" ref="T5:AD5" si="2">S5+1</f>
        <v>2</v>
      </c>
      <c r="U5" s="2">
        <f t="shared" si="2"/>
        <v>3</v>
      </c>
      <c r="V5" s="2">
        <f t="shared" si="2"/>
        <v>4</v>
      </c>
      <c r="W5" s="2">
        <f t="shared" si="2"/>
        <v>5</v>
      </c>
      <c r="X5" s="2">
        <f t="shared" si="2"/>
        <v>6</v>
      </c>
      <c r="Y5" s="2">
        <f t="shared" si="2"/>
        <v>7</v>
      </c>
      <c r="Z5" s="2">
        <f t="shared" si="2"/>
        <v>8</v>
      </c>
      <c r="AA5" s="2">
        <f t="shared" si="2"/>
        <v>9</v>
      </c>
      <c r="AB5" s="2">
        <f t="shared" si="2"/>
        <v>10</v>
      </c>
      <c r="AC5" s="2">
        <f t="shared" si="2"/>
        <v>11</v>
      </c>
      <c r="AD5" s="2">
        <f t="shared" si="2"/>
        <v>12</v>
      </c>
      <c r="AG5" s="2">
        <v>0</v>
      </c>
      <c r="AH5" s="2">
        <f>AG5+1</f>
        <v>1</v>
      </c>
      <c r="AI5" s="2">
        <f t="shared" ref="AI5:AS5" si="3">AH5+1</f>
        <v>2</v>
      </c>
      <c r="AJ5" s="2">
        <f t="shared" si="3"/>
        <v>3</v>
      </c>
      <c r="AK5" s="2">
        <f t="shared" si="3"/>
        <v>4</v>
      </c>
      <c r="AL5" s="2">
        <f t="shared" si="3"/>
        <v>5</v>
      </c>
      <c r="AM5" s="2">
        <f t="shared" si="3"/>
        <v>6</v>
      </c>
      <c r="AN5" s="2">
        <f t="shared" si="3"/>
        <v>7</v>
      </c>
      <c r="AO5" s="2">
        <f t="shared" si="3"/>
        <v>8</v>
      </c>
      <c r="AP5" s="2">
        <f t="shared" si="3"/>
        <v>9</v>
      </c>
      <c r="AQ5" s="2">
        <f t="shared" si="3"/>
        <v>10</v>
      </c>
      <c r="AR5" s="2">
        <f t="shared" si="3"/>
        <v>11</v>
      </c>
      <c r="AS5" s="2">
        <f t="shared" si="3"/>
        <v>12</v>
      </c>
      <c r="AT5" s="2"/>
      <c r="AU5" s="2"/>
      <c r="AX5" s="2">
        <v>0</v>
      </c>
      <c r="AY5" s="2">
        <f>AX5+1</f>
        <v>1</v>
      </c>
      <c r="AZ5" s="2">
        <f t="shared" ref="AZ5:BJ5" si="4">AY5+1</f>
        <v>2</v>
      </c>
      <c r="BA5" s="2">
        <f t="shared" si="4"/>
        <v>3</v>
      </c>
      <c r="BB5" s="2">
        <f t="shared" si="4"/>
        <v>4</v>
      </c>
      <c r="BC5" s="2">
        <f t="shared" si="4"/>
        <v>5</v>
      </c>
      <c r="BD5" s="2">
        <f t="shared" si="4"/>
        <v>6</v>
      </c>
      <c r="BE5" s="2">
        <f t="shared" si="4"/>
        <v>7</v>
      </c>
      <c r="BF5" s="2">
        <f t="shared" si="4"/>
        <v>8</v>
      </c>
      <c r="BG5" s="2">
        <f t="shared" si="4"/>
        <v>9</v>
      </c>
      <c r="BH5" s="2">
        <f t="shared" si="4"/>
        <v>10</v>
      </c>
      <c r="BI5" s="2">
        <f t="shared" si="4"/>
        <v>11</v>
      </c>
      <c r="BJ5" s="2">
        <f t="shared" si="4"/>
        <v>12</v>
      </c>
    </row>
    <row r="6" spans="1:67" s="18" customFormat="1" x14ac:dyDescent="0.25">
      <c r="A6" s="16">
        <v>0</v>
      </c>
      <c r="B6" s="21">
        <v>2</v>
      </c>
      <c r="C6" s="17">
        <v>3.6</v>
      </c>
      <c r="D6" s="17">
        <v>4</v>
      </c>
      <c r="E6" s="17">
        <v>1.75</v>
      </c>
      <c r="F6" s="17">
        <v>2</v>
      </c>
      <c r="G6" s="17">
        <v>1.3</v>
      </c>
      <c r="H6" s="17">
        <v>3.5</v>
      </c>
      <c r="I6" s="17">
        <v>1.9</v>
      </c>
      <c r="J6" s="17">
        <v>1.9</v>
      </c>
      <c r="K6" s="17">
        <v>8</v>
      </c>
      <c r="L6" s="17">
        <v>9.5</v>
      </c>
      <c r="M6" s="17">
        <v>7</v>
      </c>
      <c r="N6" s="17">
        <v>1.4857412999999999</v>
      </c>
      <c r="P6" s="18">
        <v>0</v>
      </c>
      <c r="Q6" s="16">
        <v>0</v>
      </c>
      <c r="R6" s="16">
        <v>1</v>
      </c>
      <c r="S6" s="19">
        <f>IF(Q6&gt;R6, 1, 0)</f>
        <v>0</v>
      </c>
      <c r="T6" s="18">
        <f>IF(Q6=R6,1,0)</f>
        <v>0</v>
      </c>
      <c r="U6" s="18">
        <f>IF(Q6&lt;R6,1,0)</f>
        <v>1</v>
      </c>
      <c r="V6" s="18">
        <f>IF(AND(Q6&gt;0,R6&gt;0),1,0)</f>
        <v>0</v>
      </c>
      <c r="W6" s="18">
        <f>1-V6</f>
        <v>1</v>
      </c>
      <c r="X6" s="18">
        <f>IF(Q6+R6&gt;1.5,1,0)</f>
        <v>0</v>
      </c>
      <c r="Y6" s="18">
        <f>1-X6</f>
        <v>1</v>
      </c>
      <c r="Z6" s="18">
        <f>IF(Q6+R6&gt;2.5,1,0)</f>
        <v>0</v>
      </c>
      <c r="AA6" s="18">
        <f>1-Z6</f>
        <v>1</v>
      </c>
      <c r="AB6" s="18">
        <f>IF(AND(Q6=1, R6=0),1,0)</f>
        <v>0</v>
      </c>
      <c r="AC6" s="18">
        <f>IF(AND(Q6=2,R6=1),1,0)</f>
        <v>0</v>
      </c>
      <c r="AD6" s="18">
        <f>IF(AND(Q6=1,R6=1),1,0)</f>
        <v>0</v>
      </c>
      <c r="AE6" s="18">
        <f>1-AB6-AC6-AD6</f>
        <v>1</v>
      </c>
      <c r="AF6" s="16">
        <v>0</v>
      </c>
      <c r="AG6" s="19">
        <v>0</v>
      </c>
      <c r="AH6" s="18">
        <v>0</v>
      </c>
      <c r="AI6" s="18">
        <v>10</v>
      </c>
      <c r="AJ6" s="18">
        <v>0</v>
      </c>
      <c r="AK6" s="18">
        <v>10</v>
      </c>
      <c r="AL6" s="18">
        <v>0</v>
      </c>
      <c r="AM6" s="18">
        <v>10</v>
      </c>
      <c r="AN6" s="18">
        <v>0</v>
      </c>
      <c r="AO6" s="18">
        <v>10</v>
      </c>
      <c r="AP6" s="18">
        <v>0</v>
      </c>
      <c r="AQ6" s="18">
        <v>0</v>
      </c>
      <c r="AR6" s="18">
        <v>0</v>
      </c>
      <c r="AS6" s="18">
        <v>10</v>
      </c>
      <c r="AU6" s="18">
        <f>SUM(AG6:AR6)</f>
        <v>40</v>
      </c>
      <c r="AW6" s="16">
        <v>0</v>
      </c>
      <c r="AX6" s="20" t="str">
        <f>IF(AND(S6=1,AG6&gt;0),AG6*(B6-1),IF(AND(S6=0,AG6&gt;0),-AG6,""))</f>
        <v/>
      </c>
      <c r="AY6" s="14" t="str">
        <f>IF(AND(T6=1,AH6&gt;0),AH6*(C6-1),IF(AND(T6=0,AH6&gt;0),-AH6,""))</f>
        <v/>
      </c>
      <c r="AZ6" s="14">
        <f>IF(AND(U6=1,AI6&gt;0),AI6*(D6-1),IF(AND(U6=0,AI6&gt;0),-AI6,""))</f>
        <v>30</v>
      </c>
      <c r="BA6" s="14" t="str">
        <f>IF(AND(V6=1,AJ6&gt;0),AJ6*(E6-1),IF(AND(V6=0,AJ6&gt;0),-AJ6,""))</f>
        <v/>
      </c>
      <c r="BB6" s="14">
        <f>IF(AND(W6=1,AK6&gt;0),AK6*(F6-1),IF(AND(W6=0,AK6&gt;0),-AK6,""))</f>
        <v>10</v>
      </c>
      <c r="BC6" s="14" t="str">
        <f>IF(AND(X6=1,AL6&gt;0),AL6*(G6-1),IF(AND(X6=0,AL6&gt;0),-AL6,""))</f>
        <v/>
      </c>
      <c r="BD6" s="14">
        <f>IF(AND(Y6=1,AM6&gt;0),AM6*(H6-1),IF(AND(Y6=0,AM6&gt;0),-AM6,""))</f>
        <v>25</v>
      </c>
      <c r="BE6" s="14" t="str">
        <f>IF(AND(Z6=1,AN6&gt;0),AN6*(I6-1),IF(AND(Z6=0,AN6&gt;0),-AN6,""))</f>
        <v/>
      </c>
      <c r="BF6" s="14">
        <f>IF(AND(AA6=1,AO6&gt;0),AO6*(J6-1),IF(AND(AA6=0,AO6&gt;0),-AO6,""))</f>
        <v>9</v>
      </c>
      <c r="BG6" s="14" t="str">
        <f>IF(AND(AB6=1,AP6&gt;0),AP6*(K6-1),IF(AND(AB6=0,AP6&gt;0),-AP6,""))</f>
        <v/>
      </c>
      <c r="BH6" s="14" t="str">
        <f>IF(AND(AC6=1,AQ6&gt;0),AQ6*(L6-1),IF(AND(AC6=0,AQ6&gt;0),-AQ6,""))</f>
        <v/>
      </c>
      <c r="BI6" s="14" t="str">
        <f>IF(AND(AD6=1,AR6&gt;0),AR6*(M6-1),IF(AND(AD6=0,AR6&gt;0),-AR6,""))</f>
        <v/>
      </c>
      <c r="BJ6" s="13">
        <f>IF(AND(AE6=1,AS6&gt;0),AS6*(N6-1),IF(AND(AE6=0,AS6&gt;0),-AS6,""))</f>
        <v>4.8574129999999993</v>
      </c>
      <c r="BK6" s="13" t="str">
        <f>IF(AND(AX6=1,P6&gt;0),P6,IF(AND(AX6=0,P6&gt;0),-P6,""))</f>
        <v/>
      </c>
      <c r="BL6" s="13">
        <f>SUM(AX6:BI6)</f>
        <v>74</v>
      </c>
      <c r="BM6" s="13">
        <f>BL6</f>
        <v>74</v>
      </c>
      <c r="BN6" s="16">
        <v>0</v>
      </c>
      <c r="BO6" s="18" t="str">
        <f>IF(AND(BB6=1,T6&gt;0),T6,IF(AND(BB6=0,T6&gt;0),-T6,""))</f>
        <v/>
      </c>
    </row>
    <row r="7" spans="1:67" x14ac:dyDescent="0.25">
      <c r="A7" s="2">
        <f>A6+1</f>
        <v>1</v>
      </c>
      <c r="B7" s="5">
        <v>9</v>
      </c>
      <c r="C7" s="5">
        <v>5</v>
      </c>
      <c r="D7" s="5">
        <v>1.4</v>
      </c>
      <c r="E7" s="5">
        <v>1.8</v>
      </c>
      <c r="F7" s="5">
        <v>1.95</v>
      </c>
      <c r="G7" s="5">
        <v>1.2</v>
      </c>
      <c r="H7" s="5">
        <v>4.5</v>
      </c>
      <c r="I7" s="5">
        <v>1.61</v>
      </c>
      <c r="J7" s="5">
        <v>2.2999999999999998</v>
      </c>
      <c r="K7" s="5">
        <v>20</v>
      </c>
      <c r="L7" s="5">
        <v>20</v>
      </c>
      <c r="M7" s="5">
        <v>10</v>
      </c>
      <c r="N7" s="5">
        <v>1.1752056</v>
      </c>
      <c r="P7">
        <v>1</v>
      </c>
      <c r="Q7" s="2">
        <v>0</v>
      </c>
      <c r="R7" s="2">
        <v>3</v>
      </c>
      <c r="S7">
        <f t="shared" ref="S7:S40" si="5">IF(Q7&gt;R7, 1, 0)</f>
        <v>0</v>
      </c>
      <c r="T7">
        <f t="shared" ref="T7:T40" si="6">IF(Q7=R7,1,0)</f>
        <v>0</v>
      </c>
      <c r="U7">
        <f t="shared" ref="U7:U40" si="7">IF(Q7&lt;R7,1,0)</f>
        <v>1</v>
      </c>
      <c r="V7">
        <f t="shared" ref="V7:V40" si="8">IF(AND(Q7&gt;0,R7&gt;0),1,0)</f>
        <v>0</v>
      </c>
      <c r="W7">
        <f t="shared" ref="W7:W40" si="9">1-V7</f>
        <v>1</v>
      </c>
      <c r="X7">
        <f t="shared" ref="X7:X40" si="10">IF(Q7+R7&gt;1.5,1,0)</f>
        <v>1</v>
      </c>
      <c r="Y7">
        <f t="shared" ref="Y7:Y40" si="11">1-X7</f>
        <v>0</v>
      </c>
      <c r="Z7">
        <f t="shared" ref="Z7:Z40" si="12">IF(Q7+R7&gt;2.5,1,0)</f>
        <v>1</v>
      </c>
      <c r="AA7">
        <f t="shared" ref="AA7:AA40" si="13">1-Z7</f>
        <v>0</v>
      </c>
      <c r="AB7">
        <f t="shared" ref="AB7:AB40" si="14">IF(AND(Q7=1, R7=0),1,0)</f>
        <v>0</v>
      </c>
      <c r="AC7" s="22">
        <f t="shared" ref="AC7:AC40" si="15">IF(AND(Q7=2,R7=1),1,0)</f>
        <v>0</v>
      </c>
      <c r="AD7">
        <f t="shared" ref="AD7:AD40" si="16">IF(AND(Q7=1,R7=1),1,0)</f>
        <v>0</v>
      </c>
      <c r="AE7">
        <f t="shared" ref="AE7:AE40" si="17">1-AB7-AC7-AD7</f>
        <v>1</v>
      </c>
      <c r="AF7" s="2">
        <f>AF6+1</f>
        <v>1</v>
      </c>
      <c r="AG7">
        <v>0</v>
      </c>
      <c r="AH7">
        <v>0</v>
      </c>
      <c r="AI7">
        <v>10</v>
      </c>
      <c r="AJ7">
        <v>0</v>
      </c>
      <c r="AK7">
        <v>10</v>
      </c>
      <c r="AL7">
        <v>10</v>
      </c>
      <c r="AM7">
        <v>0</v>
      </c>
      <c r="AN7">
        <v>10</v>
      </c>
      <c r="AO7">
        <v>0</v>
      </c>
      <c r="AP7">
        <v>0</v>
      </c>
      <c r="AQ7">
        <v>0</v>
      </c>
      <c r="AR7">
        <v>0</v>
      </c>
      <c r="AS7">
        <v>10</v>
      </c>
      <c r="AU7">
        <f t="shared" ref="AU7:AU40" si="18">SUM(AG7:AR7)</f>
        <v>40</v>
      </c>
      <c r="AW7" s="2">
        <f>AW6+1</f>
        <v>1</v>
      </c>
      <c r="AX7" s="14" t="str">
        <f>IF(AND(S7=1,AG7&gt;0),AG7*(B7-1),IF(AND(S7=0,AG7&gt;0),-AG7,""))</f>
        <v/>
      </c>
      <c r="AY7" s="14" t="str">
        <f>IF(AND(T7=1,AH7&gt;0),AH7*(C7-1),IF(AND(T7=0,AH7&gt;0),-AH7,""))</f>
        <v/>
      </c>
      <c r="AZ7" s="14">
        <f>IF(AND(U7=1,AI7&gt;0),AI7*(D7-1),IF(AND(U7=0,AI7&gt;0),-AI7,""))</f>
        <v>3.9999999999999991</v>
      </c>
      <c r="BA7" s="15" t="str">
        <f>IF(AND(V7=1,AJ7&gt;0),AJ7*(E7-1),IF(AND(V7=0,AJ7&gt;0),-AJ7,""))</f>
        <v/>
      </c>
      <c r="BB7" s="15">
        <f>IF(AND(W7=1,AK7&gt;0),AK7*(F7-1),IF(AND(W7=0,AK7&gt;0),-AK7,""))</f>
        <v>9.5</v>
      </c>
      <c r="BC7" s="14">
        <f>IF(AND(X7=1,AL7&gt;0),AL7*(G7-1),IF(AND(X7=0,AL7&gt;0),-AL7,""))</f>
        <v>1.9999999999999996</v>
      </c>
      <c r="BD7" s="14" t="str">
        <f>IF(AND(Y7=1,AM7&gt;0),AM7*(H7-1),IF(AND(Y7=0,AM7&gt;0),-AM7,""))</f>
        <v/>
      </c>
      <c r="BE7" s="15">
        <f>IF(AND(Z7=1,AN7&gt;0),AN7*(I7-1),IF(AND(Z7=0,AN7&gt;0),-AN7,""))</f>
        <v>6.1000000000000014</v>
      </c>
      <c r="BF7" s="15" t="str">
        <f>IF(AND(AA7=1,AO7&gt;0),AO7*(J7-1),IF(AND(AA7=0,AO7&gt;0),-AO7,""))</f>
        <v/>
      </c>
      <c r="BG7" s="14" t="str">
        <f>IF(AND(AB7=1,AP7&gt;0),AP7*(K7-1),IF(AND(AB7=0,AP7&gt;0),-AP7,""))</f>
        <v/>
      </c>
      <c r="BH7" s="14" t="str">
        <f>IF(AND(AC7=1,AQ7&gt;0),AQ7*(L7-1),IF(AND(AC7=0,AQ7&gt;0),-AQ7,""))</f>
        <v/>
      </c>
      <c r="BI7" s="14" t="str">
        <f>IF(AND(AD7=1,AR7&gt;0),AR7*(M7-1),IF(AND(AD7=0,AR7&gt;0),-AR7,""))</f>
        <v/>
      </c>
      <c r="BJ7" s="11">
        <f>IF(AND(AE7=1,AS7&gt;0),AS7*(N7-1),IF(AND(AE7=0,AS7&gt;0),-AS7,""))</f>
        <v>1.7520559999999996</v>
      </c>
      <c r="BK7" s="9" t="str">
        <f>IF(AND(AX7=1,P7&gt;0),P7,IF(AND(AX7=0,P7&gt;0),-P7,""))</f>
        <v/>
      </c>
      <c r="BL7" s="9">
        <f t="shared" ref="BL7:BL40" si="19">SUM(AX7:BI7)</f>
        <v>21.6</v>
      </c>
      <c r="BM7" s="9">
        <f>BM6+BL7</f>
        <v>95.6</v>
      </c>
      <c r="BN7" s="2">
        <f>BN6+1</f>
        <v>1</v>
      </c>
    </row>
    <row r="8" spans="1:67" s="18" customFormat="1" x14ac:dyDescent="0.25">
      <c r="A8" s="16">
        <f t="shared" ref="A8:A40" si="20">A7+1</f>
        <v>2</v>
      </c>
      <c r="B8" s="17">
        <v>1.36</v>
      </c>
      <c r="C8" s="17">
        <v>5.5</v>
      </c>
      <c r="D8" s="17">
        <v>9</v>
      </c>
      <c r="E8" s="17">
        <v>1.75</v>
      </c>
      <c r="F8" s="17">
        <v>2</v>
      </c>
      <c r="G8" s="17">
        <v>1.1599999999999999</v>
      </c>
      <c r="H8" s="17">
        <v>5</v>
      </c>
      <c r="I8" s="17">
        <v>1.53</v>
      </c>
      <c r="J8" s="17">
        <v>2.5</v>
      </c>
      <c r="K8" s="17">
        <v>8.5</v>
      </c>
      <c r="L8" s="17">
        <v>7.5</v>
      </c>
      <c r="M8" s="17">
        <v>11</v>
      </c>
      <c r="N8" s="17">
        <v>1.4214875</v>
      </c>
      <c r="P8" s="18">
        <v>2</v>
      </c>
      <c r="Q8" s="16">
        <v>4</v>
      </c>
      <c r="R8" s="16">
        <v>1</v>
      </c>
      <c r="S8" s="18">
        <f t="shared" si="5"/>
        <v>1</v>
      </c>
      <c r="T8" s="18">
        <f t="shared" si="6"/>
        <v>0</v>
      </c>
      <c r="U8" s="18">
        <f t="shared" si="7"/>
        <v>0</v>
      </c>
      <c r="V8" s="18">
        <f t="shared" si="8"/>
        <v>1</v>
      </c>
      <c r="W8" s="18">
        <f t="shared" si="9"/>
        <v>0</v>
      </c>
      <c r="X8" s="18">
        <f t="shared" si="10"/>
        <v>1</v>
      </c>
      <c r="Y8" s="18">
        <f t="shared" si="11"/>
        <v>0</v>
      </c>
      <c r="Z8" s="18">
        <f t="shared" si="12"/>
        <v>1</v>
      </c>
      <c r="AA8" s="18">
        <f t="shared" si="13"/>
        <v>0</v>
      </c>
      <c r="AB8" s="18">
        <f t="shared" si="14"/>
        <v>0</v>
      </c>
      <c r="AC8" s="18">
        <f t="shared" si="15"/>
        <v>0</v>
      </c>
      <c r="AD8" s="18">
        <f t="shared" si="16"/>
        <v>0</v>
      </c>
      <c r="AE8" s="18">
        <f t="shared" si="17"/>
        <v>1</v>
      </c>
      <c r="AF8" s="16">
        <f t="shared" ref="AF8:AF40" si="21">AF7+1</f>
        <v>2</v>
      </c>
      <c r="AG8" s="18">
        <v>10</v>
      </c>
      <c r="AH8" s="18">
        <v>0</v>
      </c>
      <c r="AI8" s="18">
        <v>0</v>
      </c>
      <c r="AJ8" s="18">
        <v>10</v>
      </c>
      <c r="AK8" s="18">
        <v>0</v>
      </c>
      <c r="AL8" s="18">
        <v>10</v>
      </c>
      <c r="AM8" s="18">
        <v>0</v>
      </c>
      <c r="AN8" s="18">
        <v>10</v>
      </c>
      <c r="AO8" s="18">
        <v>0</v>
      </c>
      <c r="AP8" s="18">
        <v>0</v>
      </c>
      <c r="AQ8" s="18">
        <v>0</v>
      </c>
      <c r="AR8" s="18">
        <v>0</v>
      </c>
      <c r="AS8" s="18">
        <v>10</v>
      </c>
      <c r="AU8" s="18">
        <f t="shared" si="18"/>
        <v>40</v>
      </c>
      <c r="AW8" s="16">
        <f t="shared" ref="AW8:AW40" si="22">AW7+1</f>
        <v>2</v>
      </c>
      <c r="AX8" s="14">
        <f>IF(AND(S8=1,AG8&gt;0),AG8*(B8-1),IF(AND(S8=0,AG8&gt;0),-AG8,""))</f>
        <v>3.600000000000001</v>
      </c>
      <c r="AY8" s="14" t="str">
        <f>IF(AND(T8=1,AH8&gt;0),AH8*(C8-1),IF(AND(T8=0,AH8&gt;0),-AH8,""))</f>
        <v/>
      </c>
      <c r="AZ8" s="14" t="str">
        <f>IF(AND(U8=1,AI8&gt;0),AI8*(D8-1),IF(AND(U8=0,AI8&gt;0),-AI8,""))</f>
        <v/>
      </c>
      <c r="BA8" s="14">
        <f>IF(AND(V8=1,AJ8&gt;0),AJ8*(E8-1),IF(AND(V8=0,AJ8&gt;0),-AJ8,""))</f>
        <v>7.5</v>
      </c>
      <c r="BB8" s="14" t="str">
        <f>IF(AND(W8=1,AK8&gt;0),AK8*(F8-1),IF(AND(W8=0,AK8&gt;0),-AK8,""))</f>
        <v/>
      </c>
      <c r="BC8" s="14">
        <f>IF(AND(X8=1,AL8&gt;0),AL8*(G8-1),IF(AND(X8=0,AL8&gt;0),-AL8,""))</f>
        <v>1.5999999999999992</v>
      </c>
      <c r="BD8" s="14" t="str">
        <f>IF(AND(Y8=1,AM8&gt;0),AM8*(H8-1),IF(AND(Y8=0,AM8&gt;0),-AM8,""))</f>
        <v/>
      </c>
      <c r="BE8" s="14">
        <f>IF(AND(Z8=1,AN8&gt;0),AN8*(I8-1),IF(AND(Z8=0,AN8&gt;0),-AN8,""))</f>
        <v>5.3000000000000007</v>
      </c>
      <c r="BF8" s="14" t="str">
        <f>IF(AND(AA8=1,AO8&gt;0),AO8*(J8-1),IF(AND(AA8=0,AO8&gt;0),-AO8,""))</f>
        <v/>
      </c>
      <c r="BG8" s="14" t="str">
        <f>IF(AND(AB8=1,AP8&gt;0),AP8*(K8-1),IF(AND(AB8=0,AP8&gt;0),-AP8,""))</f>
        <v/>
      </c>
      <c r="BH8" s="14" t="str">
        <f>IF(AND(AC8=1,AQ8&gt;0),AQ8*(L8-1),IF(AND(AC8=0,AQ8&gt;0),-AQ8,""))</f>
        <v/>
      </c>
      <c r="BI8" s="14" t="str">
        <f>IF(AND(AD8=1,AR8&gt;0),AR8*(M8-1),IF(AND(AD8=0,AR8&gt;0),-AR8,""))</f>
        <v/>
      </c>
      <c r="BJ8" s="13">
        <f>IF(AND(AE8=1,AS8&gt;0),AS8*(N8-1),IF(AND(AE8=0,AS8&gt;0),-AS8,""))</f>
        <v>4.2148750000000001</v>
      </c>
      <c r="BK8" s="13" t="str">
        <f>IF(AND(AX8=1,P8&gt;0),P8,IF(AND(AX8=0,P8&gt;0),-P8,""))</f>
        <v/>
      </c>
      <c r="BL8" s="13">
        <f t="shared" si="19"/>
        <v>18</v>
      </c>
      <c r="BM8" s="13">
        <f t="shared" ref="BM8:BM40" si="23">BM7+BL8</f>
        <v>113.6</v>
      </c>
      <c r="BN8" s="16">
        <f t="shared" ref="BN8:BN40" si="24">BN7+1</f>
        <v>2</v>
      </c>
    </row>
    <row r="9" spans="1:67" x14ac:dyDescent="0.25">
      <c r="A9" s="2">
        <f t="shared" si="20"/>
        <v>3</v>
      </c>
      <c r="B9" s="5">
        <v>3.75</v>
      </c>
      <c r="C9" s="5">
        <v>3.4</v>
      </c>
      <c r="D9" s="5">
        <v>2.14</v>
      </c>
      <c r="E9" s="5">
        <v>1.83</v>
      </c>
      <c r="F9" s="5">
        <v>1.83</v>
      </c>
      <c r="G9" s="5">
        <v>1.36</v>
      </c>
      <c r="H9" s="5">
        <v>3.2</v>
      </c>
      <c r="I9" s="5">
        <v>2.2000000000000002</v>
      </c>
      <c r="J9" s="5">
        <v>1.66</v>
      </c>
      <c r="K9" s="5">
        <v>9</v>
      </c>
      <c r="L9" s="5">
        <v>12</v>
      </c>
      <c r="M9" s="5">
        <v>6</v>
      </c>
      <c r="N9" s="5">
        <v>1.4614236</v>
      </c>
      <c r="O9" t="s">
        <v>16</v>
      </c>
      <c r="P9">
        <v>3</v>
      </c>
      <c r="Q9" s="2">
        <v>0</v>
      </c>
      <c r="R9" s="2">
        <v>3</v>
      </c>
      <c r="S9">
        <f t="shared" si="5"/>
        <v>0</v>
      </c>
      <c r="T9">
        <f t="shared" si="6"/>
        <v>0</v>
      </c>
      <c r="U9">
        <f t="shared" si="7"/>
        <v>1</v>
      </c>
      <c r="V9">
        <f t="shared" si="8"/>
        <v>0</v>
      </c>
      <c r="W9">
        <f t="shared" si="9"/>
        <v>1</v>
      </c>
      <c r="X9">
        <f t="shared" si="10"/>
        <v>1</v>
      </c>
      <c r="Y9">
        <f t="shared" si="11"/>
        <v>0</v>
      </c>
      <c r="Z9">
        <f t="shared" si="12"/>
        <v>1</v>
      </c>
      <c r="AA9">
        <f t="shared" si="13"/>
        <v>0</v>
      </c>
      <c r="AB9">
        <f t="shared" si="14"/>
        <v>0</v>
      </c>
      <c r="AC9" s="22">
        <f t="shared" si="15"/>
        <v>0</v>
      </c>
      <c r="AD9">
        <f t="shared" si="16"/>
        <v>0</v>
      </c>
      <c r="AE9">
        <f t="shared" si="17"/>
        <v>1</v>
      </c>
      <c r="AF9" s="2">
        <f t="shared" si="21"/>
        <v>3</v>
      </c>
      <c r="AG9">
        <v>0</v>
      </c>
      <c r="AH9">
        <v>0</v>
      </c>
      <c r="AI9">
        <v>10</v>
      </c>
      <c r="AJ9">
        <v>0</v>
      </c>
      <c r="AK9">
        <v>10</v>
      </c>
      <c r="AL9">
        <v>10</v>
      </c>
      <c r="AM9">
        <v>0</v>
      </c>
      <c r="AN9">
        <v>10</v>
      </c>
      <c r="AO9">
        <v>0</v>
      </c>
      <c r="AP9">
        <v>0</v>
      </c>
      <c r="AQ9">
        <v>0</v>
      </c>
      <c r="AR9">
        <v>0</v>
      </c>
      <c r="AS9">
        <v>10</v>
      </c>
      <c r="AU9">
        <f t="shared" si="18"/>
        <v>40</v>
      </c>
      <c r="AW9" s="2">
        <f t="shared" si="22"/>
        <v>3</v>
      </c>
      <c r="AX9" s="14" t="str">
        <f>IF(AND(S9=1,AG9&gt;0),AG9*(B9-1),IF(AND(S9=0,AG9&gt;0),-AG9,""))</f>
        <v/>
      </c>
      <c r="AY9" s="14" t="str">
        <f>IF(AND(T9=1,AH9&gt;0),AH9*(C9-1),IF(AND(T9=0,AH9&gt;0),-AH9,""))</f>
        <v/>
      </c>
      <c r="AZ9" s="14">
        <f>IF(AND(U9=1,AI9&gt;0),AI9*(D9-1),IF(AND(U9=0,AI9&gt;0),-AI9,""))</f>
        <v>11.400000000000002</v>
      </c>
      <c r="BA9" s="15" t="str">
        <f>IF(AND(V9=1,AJ9&gt;0),AJ9*(E9-1),IF(AND(V9=0,AJ9&gt;0),-AJ9,""))</f>
        <v/>
      </c>
      <c r="BB9" s="15">
        <f>IF(AND(W9=1,AK9&gt;0),AK9*(F9-1),IF(AND(W9=0,AK9&gt;0),-AK9,""))</f>
        <v>8.3000000000000007</v>
      </c>
      <c r="BC9" s="14">
        <f>IF(AND(X9=1,AL9&gt;0),AL9*(G9-1),IF(AND(X9=0,AL9&gt;0),-AL9,""))</f>
        <v>3.600000000000001</v>
      </c>
      <c r="BD9" s="14" t="str">
        <f>IF(AND(Y9=1,AM9&gt;0),AM9*(H9-1),IF(AND(Y9=0,AM9&gt;0),-AM9,""))</f>
        <v/>
      </c>
      <c r="BE9" s="15">
        <f>IF(AND(Z9=1,AN9&gt;0),AN9*(I9-1),IF(AND(Z9=0,AN9&gt;0),-AN9,""))</f>
        <v>12.000000000000002</v>
      </c>
      <c r="BF9" s="15" t="str">
        <f>IF(AND(AA9=1,AO9&gt;0),AO9*(J9-1),IF(AND(AA9=0,AO9&gt;0),-AO9,""))</f>
        <v/>
      </c>
      <c r="BG9" s="14" t="str">
        <f>IF(AND(AB9=1,AP9&gt;0),AP9*(K9-1),IF(AND(AB9=0,AP9&gt;0),-AP9,""))</f>
        <v/>
      </c>
      <c r="BH9" s="14" t="str">
        <f>IF(AND(AC9=1,AQ9&gt;0),AQ9*(L9-1),IF(AND(AC9=0,AQ9&gt;0),-AQ9,""))</f>
        <v/>
      </c>
      <c r="BI9" s="14" t="str">
        <f>IF(AND(AD9=1,AR9&gt;0),AR9*(M9-1),IF(AND(AD9=0,AR9&gt;0),-AR9,""))</f>
        <v/>
      </c>
      <c r="BJ9" s="11">
        <f>IF(AND(AE9=1,AS9&gt;0),AS9*(N9-1),IF(AND(AE9=0,AS9&gt;0),-AS9,""))</f>
        <v>4.614236</v>
      </c>
      <c r="BK9" s="9" t="str">
        <f>IF(AND(AX9=1,P9&gt;0),P9,IF(AND(AX9=0,P9&gt;0),-P9,""))</f>
        <v/>
      </c>
      <c r="BL9" s="9">
        <f t="shared" si="19"/>
        <v>35.300000000000004</v>
      </c>
      <c r="BM9" s="9">
        <f t="shared" si="23"/>
        <v>148.9</v>
      </c>
      <c r="BN9" s="2">
        <f t="shared" si="24"/>
        <v>3</v>
      </c>
    </row>
    <row r="10" spans="1:67" s="18" customFormat="1" x14ac:dyDescent="0.25">
      <c r="A10" s="16">
        <f t="shared" si="20"/>
        <v>4</v>
      </c>
      <c r="B10" s="17">
        <v>2.2000000000000002</v>
      </c>
      <c r="C10" s="17">
        <v>3.1</v>
      </c>
      <c r="D10" s="17">
        <v>4</v>
      </c>
      <c r="E10" s="17">
        <v>1.9</v>
      </c>
      <c r="F10" s="17">
        <v>1.8</v>
      </c>
      <c r="G10" s="17">
        <v>1.4</v>
      </c>
      <c r="H10" s="17">
        <v>3</v>
      </c>
      <c r="I10" s="17">
        <v>2.2999999999999998</v>
      </c>
      <c r="J10" s="17">
        <v>1.61</v>
      </c>
      <c r="K10" s="17">
        <v>6.5</v>
      </c>
      <c r="L10" s="17">
        <v>9.5</v>
      </c>
      <c r="M10" s="17">
        <v>5.5</v>
      </c>
      <c r="N10" s="17">
        <v>1.654377</v>
      </c>
      <c r="P10" s="18">
        <v>4</v>
      </c>
      <c r="Q10" s="16">
        <v>0</v>
      </c>
      <c r="R10" s="16">
        <v>2</v>
      </c>
      <c r="S10" s="18">
        <f t="shared" si="5"/>
        <v>0</v>
      </c>
      <c r="T10" s="18">
        <f t="shared" si="6"/>
        <v>0</v>
      </c>
      <c r="U10" s="18">
        <f t="shared" si="7"/>
        <v>1</v>
      </c>
      <c r="V10" s="18">
        <f t="shared" si="8"/>
        <v>0</v>
      </c>
      <c r="W10" s="18">
        <f t="shared" si="9"/>
        <v>1</v>
      </c>
      <c r="X10" s="18">
        <f t="shared" si="10"/>
        <v>1</v>
      </c>
      <c r="Y10" s="18">
        <f t="shared" si="11"/>
        <v>0</v>
      </c>
      <c r="Z10" s="18">
        <f t="shared" si="12"/>
        <v>0</v>
      </c>
      <c r="AA10" s="18">
        <f t="shared" si="13"/>
        <v>1</v>
      </c>
      <c r="AB10" s="18">
        <f t="shared" si="14"/>
        <v>0</v>
      </c>
      <c r="AC10" s="18">
        <f t="shared" si="15"/>
        <v>0</v>
      </c>
      <c r="AD10" s="18">
        <f t="shared" si="16"/>
        <v>0</v>
      </c>
      <c r="AE10" s="18">
        <f t="shared" si="17"/>
        <v>1</v>
      </c>
      <c r="AF10" s="16">
        <f t="shared" si="21"/>
        <v>4</v>
      </c>
      <c r="AG10" s="18">
        <v>0</v>
      </c>
      <c r="AH10" s="18">
        <v>0</v>
      </c>
      <c r="AI10" s="18">
        <v>10</v>
      </c>
      <c r="AJ10" s="18">
        <v>0</v>
      </c>
      <c r="AK10" s="18">
        <v>10</v>
      </c>
      <c r="AL10" s="18">
        <v>10</v>
      </c>
      <c r="AM10" s="18">
        <v>0</v>
      </c>
      <c r="AN10" s="18">
        <v>0</v>
      </c>
      <c r="AO10" s="18">
        <v>10</v>
      </c>
      <c r="AP10" s="18">
        <v>0</v>
      </c>
      <c r="AQ10" s="18">
        <v>0</v>
      </c>
      <c r="AR10" s="18">
        <v>0</v>
      </c>
      <c r="AS10" s="18">
        <v>10</v>
      </c>
      <c r="AU10" s="18">
        <f t="shared" si="18"/>
        <v>40</v>
      </c>
      <c r="AW10" s="16">
        <f t="shared" si="22"/>
        <v>4</v>
      </c>
      <c r="AX10" s="14" t="str">
        <f>IF(AND(S10=1,AG10&gt;0),AG10*(B10-1),IF(AND(S10=0,AG10&gt;0),-AG10,""))</f>
        <v/>
      </c>
      <c r="AY10" s="14" t="str">
        <f>IF(AND(T10=1,AH10&gt;0),AH10*(C10-1),IF(AND(T10=0,AH10&gt;0),-AH10,""))</f>
        <v/>
      </c>
      <c r="AZ10" s="14">
        <f>IF(AND(U10=1,AI10&gt;0),AI10*(D10-1),IF(AND(U10=0,AI10&gt;0),-AI10,""))</f>
        <v>30</v>
      </c>
      <c r="BA10" s="14" t="str">
        <f>IF(AND(V10=1,AJ10&gt;0),AJ10*(E10-1),IF(AND(V10=0,AJ10&gt;0),-AJ10,""))</f>
        <v/>
      </c>
      <c r="BB10" s="14">
        <f>IF(AND(W10=1,AK10&gt;0),AK10*(F10-1),IF(AND(W10=0,AK10&gt;0),-AK10,""))</f>
        <v>8</v>
      </c>
      <c r="BC10" s="14">
        <f>IF(AND(X10=1,AL10&gt;0),AL10*(G10-1),IF(AND(X10=0,AL10&gt;0),-AL10,""))</f>
        <v>3.9999999999999991</v>
      </c>
      <c r="BD10" s="14" t="str">
        <f>IF(AND(Y10=1,AM10&gt;0),AM10*(H10-1),IF(AND(Y10=0,AM10&gt;0),-AM10,""))</f>
        <v/>
      </c>
      <c r="BE10" s="14" t="str">
        <f>IF(AND(Z10=1,AN10&gt;0),AN10*(I10-1),IF(AND(Z10=0,AN10&gt;0),-AN10,""))</f>
        <v/>
      </c>
      <c r="BF10" s="14">
        <f>IF(AND(AA10=1,AO10&gt;0),AO10*(J10-1),IF(AND(AA10=0,AO10&gt;0),-AO10,""))</f>
        <v>6.1000000000000014</v>
      </c>
      <c r="BG10" s="14" t="str">
        <f>IF(AND(AB10=1,AP10&gt;0),AP10*(K10-1),IF(AND(AB10=0,AP10&gt;0),-AP10,""))</f>
        <v/>
      </c>
      <c r="BH10" s="14" t="str">
        <f>IF(AND(AC10=1,AQ10&gt;0),AQ10*(L10-1),IF(AND(AC10=0,AQ10&gt;0),-AQ10,""))</f>
        <v/>
      </c>
      <c r="BI10" s="14" t="str">
        <f>IF(AND(AD10=1,AR10&gt;0),AR10*(M10-1),IF(AND(AD10=0,AR10&gt;0),-AR10,""))</f>
        <v/>
      </c>
      <c r="BJ10" s="13">
        <f>IF(AND(AE10=1,AS10&gt;0),AS10*(N10-1),IF(AND(AE10=0,AS10&gt;0),-AS10,""))</f>
        <v>6.5437700000000003</v>
      </c>
      <c r="BK10" s="13" t="str">
        <f>IF(AND(AX10=1,P10&gt;0),P10,IF(AND(AX10=0,P10&gt;0),-P10,""))</f>
        <v/>
      </c>
      <c r="BL10" s="13">
        <f t="shared" si="19"/>
        <v>48.1</v>
      </c>
      <c r="BM10" s="13">
        <f t="shared" si="23"/>
        <v>197</v>
      </c>
      <c r="BN10" s="16">
        <f t="shared" si="24"/>
        <v>4</v>
      </c>
    </row>
    <row r="11" spans="1:67" x14ac:dyDescent="0.25">
      <c r="A11" s="2">
        <f t="shared" si="20"/>
        <v>5</v>
      </c>
      <c r="B11" s="5">
        <v>3</v>
      </c>
      <c r="C11" s="5">
        <v>3.2</v>
      </c>
      <c r="D11" s="5">
        <v>2.62</v>
      </c>
      <c r="E11" s="5">
        <v>2</v>
      </c>
      <c r="F11" s="5">
        <v>1.72</v>
      </c>
      <c r="G11" s="5">
        <v>1.5</v>
      </c>
      <c r="H11" s="5">
        <v>2.62</v>
      </c>
      <c r="I11" s="5">
        <v>2.5</v>
      </c>
      <c r="J11" s="5">
        <v>1.53</v>
      </c>
      <c r="K11" s="5">
        <v>7</v>
      </c>
      <c r="L11" s="5">
        <v>11</v>
      </c>
      <c r="M11" s="5">
        <v>6</v>
      </c>
      <c r="N11" s="5">
        <v>1.5492208999999999</v>
      </c>
      <c r="P11">
        <v>5</v>
      </c>
      <c r="Q11" s="2">
        <v>1</v>
      </c>
      <c r="R11" s="2">
        <v>1</v>
      </c>
      <c r="S11">
        <f t="shared" si="5"/>
        <v>0</v>
      </c>
      <c r="T11">
        <f t="shared" si="6"/>
        <v>1</v>
      </c>
      <c r="U11">
        <f t="shared" si="7"/>
        <v>0</v>
      </c>
      <c r="V11">
        <f t="shared" si="8"/>
        <v>1</v>
      </c>
      <c r="W11">
        <f t="shared" si="9"/>
        <v>0</v>
      </c>
      <c r="X11">
        <f t="shared" si="10"/>
        <v>1</v>
      </c>
      <c r="Y11">
        <f t="shared" si="11"/>
        <v>0</v>
      </c>
      <c r="Z11">
        <f t="shared" si="12"/>
        <v>0</v>
      </c>
      <c r="AA11">
        <f t="shared" si="13"/>
        <v>1</v>
      </c>
      <c r="AB11">
        <f t="shared" si="14"/>
        <v>0</v>
      </c>
      <c r="AC11" s="22">
        <f t="shared" si="15"/>
        <v>0</v>
      </c>
      <c r="AD11">
        <f t="shared" si="16"/>
        <v>1</v>
      </c>
      <c r="AE11">
        <f t="shared" si="17"/>
        <v>0</v>
      </c>
      <c r="AF11" s="2">
        <f t="shared" si="21"/>
        <v>5</v>
      </c>
      <c r="AG11">
        <v>0</v>
      </c>
      <c r="AH11">
        <v>10</v>
      </c>
      <c r="AI11">
        <v>0</v>
      </c>
      <c r="AJ11">
        <v>10</v>
      </c>
      <c r="AK11">
        <v>0</v>
      </c>
      <c r="AL11">
        <v>10</v>
      </c>
      <c r="AM11">
        <v>0</v>
      </c>
      <c r="AN11">
        <v>0</v>
      </c>
      <c r="AO11">
        <v>10</v>
      </c>
      <c r="AP11">
        <v>0</v>
      </c>
      <c r="AQ11">
        <v>0</v>
      </c>
      <c r="AR11">
        <v>10</v>
      </c>
      <c r="AS11">
        <v>0</v>
      </c>
      <c r="AU11">
        <f t="shared" si="18"/>
        <v>50</v>
      </c>
      <c r="AW11" s="2">
        <f t="shared" si="22"/>
        <v>5</v>
      </c>
      <c r="AX11" s="14" t="str">
        <f>IF(AND(S11=1,AG11&gt;0),AG11*(B11-1),IF(AND(S11=0,AG11&gt;0),-AG11,""))</f>
        <v/>
      </c>
      <c r="AY11" s="14">
        <f>IF(AND(T11=1,AH11&gt;0),AH11*(C11-1),IF(AND(T11=0,AH11&gt;0),-AH11,""))</f>
        <v>22</v>
      </c>
      <c r="AZ11" s="14" t="str">
        <f>IF(AND(U11=1,AI11&gt;0),AI11*(D11-1),IF(AND(U11=0,AI11&gt;0),-AI11,""))</f>
        <v/>
      </c>
      <c r="BA11" s="15">
        <f>IF(AND(V11=1,AJ11&gt;0),AJ11*(E11-1),IF(AND(V11=0,AJ11&gt;0),-AJ11,""))</f>
        <v>10</v>
      </c>
      <c r="BB11" s="15" t="str">
        <f>IF(AND(W11=1,AK11&gt;0),AK11*(F11-1),IF(AND(W11=0,AK11&gt;0),-AK11,""))</f>
        <v/>
      </c>
      <c r="BC11" s="14">
        <f>IF(AND(X11=1,AL11&gt;0),AL11*(G11-1),IF(AND(X11=0,AL11&gt;0),-AL11,""))</f>
        <v>5</v>
      </c>
      <c r="BD11" s="14" t="str">
        <f>IF(AND(Y11=1,AM11&gt;0),AM11*(H11-1),IF(AND(Y11=0,AM11&gt;0),-AM11,""))</f>
        <v/>
      </c>
      <c r="BE11" s="15" t="str">
        <f>IF(AND(Z11=1,AN11&gt;0),AN11*(I11-1),IF(AND(Z11=0,AN11&gt;0),-AN11,""))</f>
        <v/>
      </c>
      <c r="BF11" s="15">
        <f>IF(AND(AA11=1,AO11&gt;0),AO11*(J11-1),IF(AND(AA11=0,AO11&gt;0),-AO11,""))</f>
        <v>5.3000000000000007</v>
      </c>
      <c r="BG11" s="14" t="str">
        <f>IF(AND(AB11=1,AP11&gt;0),AP11*(K11-1),IF(AND(AB11=0,AP11&gt;0),-AP11,""))</f>
        <v/>
      </c>
      <c r="BH11" s="14" t="str">
        <f>IF(AND(AC11=1,AQ11&gt;0),AQ11*(L11-1),IF(AND(AC11=0,AQ11&gt;0),-AQ11,""))</f>
        <v/>
      </c>
      <c r="BI11" s="14">
        <f>IF(AND(AD11=1,AR11&gt;0),AR11*(M11-1),IF(AND(AD11=0,AR11&gt;0),-AR11,""))</f>
        <v>50</v>
      </c>
      <c r="BJ11" s="11" t="str">
        <f>IF(AND(AE11=1,AS11&gt;0),AS11*(N11-1),IF(AND(AE11=0,AS11&gt;0),-AS11,""))</f>
        <v/>
      </c>
      <c r="BK11" s="9" t="str">
        <f>IF(AND(AX11=1,P11&gt;0),P11,IF(AND(AX11=0,P11&gt;0),-P11,""))</f>
        <v/>
      </c>
      <c r="BL11" s="9">
        <f t="shared" si="19"/>
        <v>92.3</v>
      </c>
      <c r="BM11" s="9">
        <f t="shared" si="23"/>
        <v>289.3</v>
      </c>
      <c r="BN11" s="2">
        <f t="shared" si="24"/>
        <v>5</v>
      </c>
    </row>
    <row r="12" spans="1:67" s="18" customFormat="1" x14ac:dyDescent="0.25">
      <c r="A12" s="16">
        <f t="shared" si="20"/>
        <v>6</v>
      </c>
      <c r="B12" s="17">
        <v>3</v>
      </c>
      <c r="C12" s="17">
        <v>3.4</v>
      </c>
      <c r="D12" s="17">
        <v>2.5</v>
      </c>
      <c r="E12" s="17">
        <v>1.72</v>
      </c>
      <c r="F12" s="17">
        <v>2</v>
      </c>
      <c r="G12" s="17">
        <v>1.3</v>
      </c>
      <c r="H12" s="17">
        <v>3.5</v>
      </c>
      <c r="I12" s="17">
        <v>2</v>
      </c>
      <c r="J12" s="17">
        <v>1.8</v>
      </c>
      <c r="K12" s="17">
        <v>9.5</v>
      </c>
      <c r="L12" s="17">
        <v>10</v>
      </c>
      <c r="M12" s="17">
        <v>6</v>
      </c>
      <c r="N12" s="17">
        <v>1.4840709999999999</v>
      </c>
      <c r="P12" s="18">
        <v>6</v>
      </c>
      <c r="Q12" s="16">
        <v>2</v>
      </c>
      <c r="R12" s="16">
        <v>1</v>
      </c>
      <c r="S12" s="18">
        <f t="shared" si="5"/>
        <v>1</v>
      </c>
      <c r="T12" s="18">
        <f t="shared" si="6"/>
        <v>0</v>
      </c>
      <c r="U12" s="18">
        <f t="shared" si="7"/>
        <v>0</v>
      </c>
      <c r="V12" s="18">
        <f t="shared" si="8"/>
        <v>1</v>
      </c>
      <c r="W12" s="18">
        <f t="shared" si="9"/>
        <v>0</v>
      </c>
      <c r="X12" s="18">
        <f t="shared" si="10"/>
        <v>1</v>
      </c>
      <c r="Y12" s="18">
        <f t="shared" si="11"/>
        <v>0</v>
      </c>
      <c r="Z12" s="18">
        <f t="shared" si="12"/>
        <v>1</v>
      </c>
      <c r="AA12" s="18">
        <f t="shared" si="13"/>
        <v>0</v>
      </c>
      <c r="AB12" s="18">
        <f t="shared" si="14"/>
        <v>0</v>
      </c>
      <c r="AC12" s="18">
        <f t="shared" si="15"/>
        <v>1</v>
      </c>
      <c r="AD12" s="18">
        <f t="shared" si="16"/>
        <v>0</v>
      </c>
      <c r="AE12" s="18">
        <f t="shared" si="17"/>
        <v>0</v>
      </c>
      <c r="AF12" s="16">
        <f t="shared" si="21"/>
        <v>6</v>
      </c>
      <c r="AG12" s="18">
        <v>10</v>
      </c>
      <c r="AH12" s="18">
        <v>0</v>
      </c>
      <c r="AI12" s="18">
        <v>0</v>
      </c>
      <c r="AJ12" s="18">
        <v>10</v>
      </c>
      <c r="AK12" s="18">
        <v>0</v>
      </c>
      <c r="AL12" s="18">
        <v>10</v>
      </c>
      <c r="AM12" s="18">
        <v>0</v>
      </c>
      <c r="AN12" s="18">
        <v>10</v>
      </c>
      <c r="AO12" s="18">
        <v>0</v>
      </c>
      <c r="AP12" s="18">
        <v>0</v>
      </c>
      <c r="AQ12" s="18">
        <v>10</v>
      </c>
      <c r="AR12" s="18">
        <v>0</v>
      </c>
      <c r="AS12" s="18">
        <v>0</v>
      </c>
      <c r="AU12" s="18">
        <f t="shared" si="18"/>
        <v>50</v>
      </c>
      <c r="AW12" s="16">
        <f t="shared" si="22"/>
        <v>6</v>
      </c>
      <c r="AX12" s="14">
        <f>IF(AND(S12=1,AG12&gt;0),AG12*(B12-1),IF(AND(S12=0,AG12&gt;0),-AG12,""))</f>
        <v>20</v>
      </c>
      <c r="AY12" s="14" t="str">
        <f>IF(AND(T12=1,AH12&gt;0),AH12*(C12-1),IF(AND(T12=0,AH12&gt;0),-AH12,""))</f>
        <v/>
      </c>
      <c r="AZ12" s="14" t="str">
        <f>IF(AND(U12=1,AI12&gt;0),AI12*(D12-1),IF(AND(U12=0,AI12&gt;0),-AI12,""))</f>
        <v/>
      </c>
      <c r="BA12" s="14">
        <f>IF(AND(V12=1,AJ12&gt;0),AJ12*(E12-1),IF(AND(V12=0,AJ12&gt;0),-AJ12,""))</f>
        <v>7.1999999999999993</v>
      </c>
      <c r="BB12" s="14" t="str">
        <f>IF(AND(W12=1,AK12&gt;0),AK12*(F12-1),IF(AND(W12=0,AK12&gt;0),-AK12,""))</f>
        <v/>
      </c>
      <c r="BC12" s="14">
        <f>IF(AND(X12=1,AL12&gt;0),AL12*(G12-1),IF(AND(X12=0,AL12&gt;0),-AL12,""))</f>
        <v>3.0000000000000004</v>
      </c>
      <c r="BD12" s="14" t="str">
        <f>IF(AND(Y12=1,AM12&gt;0),AM12*(H12-1),IF(AND(Y12=0,AM12&gt;0),-AM12,""))</f>
        <v/>
      </c>
      <c r="BE12" s="14">
        <f>IF(AND(Z12=1,AN12&gt;0),AN12*(I12-1),IF(AND(Z12=0,AN12&gt;0),-AN12,""))</f>
        <v>10</v>
      </c>
      <c r="BF12" s="14" t="str">
        <f>IF(AND(AA12=1,AO12&gt;0),AO12*(J12-1),IF(AND(AA12=0,AO12&gt;0),-AO12,""))</f>
        <v/>
      </c>
      <c r="BG12" s="14" t="str">
        <f>IF(AND(AB12=1,AP12&gt;0),AP12*(K12-1),IF(AND(AB12=0,AP12&gt;0),-AP12,""))</f>
        <v/>
      </c>
      <c r="BH12" s="14">
        <f>IF(AND(AC12=1,AQ12&gt;0),AQ12*(L12-1),IF(AND(AC12=0,AQ12&gt;0),-AQ12,""))</f>
        <v>90</v>
      </c>
      <c r="BI12" s="14" t="str">
        <f>IF(AND(AD12=1,AR12&gt;0),AR12*(M12-1),IF(AND(AD12=0,AR12&gt;0),-AR12,""))</f>
        <v/>
      </c>
      <c r="BJ12" s="13" t="str">
        <f>IF(AND(AE12=1,AS12&gt;0),AS12*(N12-1),IF(AND(AE12=0,AS12&gt;0),-AS12,""))</f>
        <v/>
      </c>
      <c r="BK12" s="13" t="str">
        <f>IF(AND(AX12=1,P12&gt;0),P12,IF(AND(AX12=0,P12&gt;0),-P12,""))</f>
        <v/>
      </c>
      <c r="BL12" s="13">
        <f t="shared" si="19"/>
        <v>130.19999999999999</v>
      </c>
      <c r="BM12" s="13">
        <f t="shared" si="23"/>
        <v>419.5</v>
      </c>
      <c r="BN12" s="16">
        <f t="shared" si="24"/>
        <v>6</v>
      </c>
    </row>
    <row r="13" spans="1:67" x14ac:dyDescent="0.25">
      <c r="A13" s="2">
        <f t="shared" si="20"/>
        <v>7</v>
      </c>
      <c r="B13" s="5">
        <v>3.5</v>
      </c>
      <c r="C13" s="5">
        <v>3.5</v>
      </c>
      <c r="D13" s="5">
        <v>2.2000000000000002</v>
      </c>
      <c r="E13" s="5">
        <v>1.61</v>
      </c>
      <c r="F13" s="5">
        <v>2.2000000000000002</v>
      </c>
      <c r="G13" s="5">
        <v>1.25</v>
      </c>
      <c r="H13" s="5">
        <v>4</v>
      </c>
      <c r="I13" s="5">
        <v>1.8</v>
      </c>
      <c r="J13" s="5">
        <v>2</v>
      </c>
      <c r="K13" s="5">
        <v>12</v>
      </c>
      <c r="L13" s="5">
        <v>12</v>
      </c>
      <c r="M13" s="5">
        <v>6.5</v>
      </c>
      <c r="N13" s="5">
        <v>1.382071</v>
      </c>
      <c r="P13">
        <v>7</v>
      </c>
      <c r="Q13" s="2">
        <v>1</v>
      </c>
      <c r="R13" s="2">
        <v>4</v>
      </c>
      <c r="S13">
        <f t="shared" si="5"/>
        <v>0</v>
      </c>
      <c r="T13">
        <f t="shared" si="6"/>
        <v>0</v>
      </c>
      <c r="U13">
        <f t="shared" si="7"/>
        <v>1</v>
      </c>
      <c r="V13">
        <f t="shared" si="8"/>
        <v>1</v>
      </c>
      <c r="W13">
        <f t="shared" si="9"/>
        <v>0</v>
      </c>
      <c r="X13">
        <f t="shared" si="10"/>
        <v>1</v>
      </c>
      <c r="Y13">
        <f t="shared" si="11"/>
        <v>0</v>
      </c>
      <c r="Z13">
        <f t="shared" si="12"/>
        <v>1</v>
      </c>
      <c r="AA13">
        <f t="shared" si="13"/>
        <v>0</v>
      </c>
      <c r="AB13">
        <f t="shared" si="14"/>
        <v>0</v>
      </c>
      <c r="AC13" s="22">
        <f t="shared" si="15"/>
        <v>0</v>
      </c>
      <c r="AD13">
        <f t="shared" si="16"/>
        <v>0</v>
      </c>
      <c r="AE13">
        <f t="shared" si="17"/>
        <v>1</v>
      </c>
      <c r="AF13" s="2">
        <f t="shared" si="21"/>
        <v>7</v>
      </c>
      <c r="AG13">
        <v>0</v>
      </c>
      <c r="AH13">
        <v>0</v>
      </c>
      <c r="AI13">
        <v>10</v>
      </c>
      <c r="AJ13">
        <v>10</v>
      </c>
      <c r="AK13">
        <v>0</v>
      </c>
      <c r="AL13">
        <v>10</v>
      </c>
      <c r="AM13">
        <v>0</v>
      </c>
      <c r="AN13">
        <v>10</v>
      </c>
      <c r="AO13">
        <v>0</v>
      </c>
      <c r="AP13">
        <v>0</v>
      </c>
      <c r="AQ13">
        <v>0</v>
      </c>
      <c r="AR13">
        <v>0</v>
      </c>
      <c r="AS13">
        <v>10</v>
      </c>
      <c r="AU13">
        <f t="shared" si="18"/>
        <v>40</v>
      </c>
      <c r="AW13" s="2">
        <f t="shared" si="22"/>
        <v>7</v>
      </c>
      <c r="AX13" s="14" t="str">
        <f>IF(AND(S13=1,AG13&gt;0),AG13*(B13-1),IF(AND(S13=0,AG13&gt;0),-AG13,""))</f>
        <v/>
      </c>
      <c r="AY13" s="14" t="str">
        <f>IF(AND(T13=1,AH13&gt;0),AH13*(C13-1),IF(AND(T13=0,AH13&gt;0),-AH13,""))</f>
        <v/>
      </c>
      <c r="AZ13" s="14">
        <f>IF(AND(U13=1,AI13&gt;0),AI13*(D13-1),IF(AND(U13=0,AI13&gt;0),-AI13,""))</f>
        <v>12.000000000000002</v>
      </c>
      <c r="BA13" s="15">
        <f>IF(AND(V13=1,AJ13&gt;0),AJ13*(E13-1),IF(AND(V13=0,AJ13&gt;0),-AJ13,""))</f>
        <v>6.1000000000000014</v>
      </c>
      <c r="BB13" s="15" t="str">
        <f>IF(AND(W13=1,AK13&gt;0),AK13*(F13-1),IF(AND(W13=0,AK13&gt;0),-AK13,""))</f>
        <v/>
      </c>
      <c r="BC13" s="14">
        <f>IF(AND(X13=1,AL13&gt;0),AL13*(G13-1),IF(AND(X13=0,AL13&gt;0),-AL13,""))</f>
        <v>2.5</v>
      </c>
      <c r="BD13" s="14" t="str">
        <f>IF(AND(Y13=1,AM13&gt;0),AM13*(H13-1),IF(AND(Y13=0,AM13&gt;0),-AM13,""))</f>
        <v/>
      </c>
      <c r="BE13" s="15">
        <f>IF(AND(Z13=1,AN13&gt;0),AN13*(I13-1),IF(AND(Z13=0,AN13&gt;0),-AN13,""))</f>
        <v>8</v>
      </c>
      <c r="BF13" s="15" t="str">
        <f>IF(AND(AA13=1,AO13&gt;0),AO13*(J13-1),IF(AND(AA13=0,AO13&gt;0),-AO13,""))</f>
        <v/>
      </c>
      <c r="BG13" s="14" t="str">
        <f>IF(AND(AB13=1,AP13&gt;0),AP13*(K13-1),IF(AND(AB13=0,AP13&gt;0),-AP13,""))</f>
        <v/>
      </c>
      <c r="BH13" s="14" t="str">
        <f>IF(AND(AC13=1,AQ13&gt;0),AQ13*(L13-1),IF(AND(AC13=0,AQ13&gt;0),-AQ13,""))</f>
        <v/>
      </c>
      <c r="BI13" s="14" t="str">
        <f>IF(AND(AD13=1,AR13&gt;0),AR13*(M13-1),IF(AND(AD13=0,AR13&gt;0),-AR13,""))</f>
        <v/>
      </c>
      <c r="BJ13" s="11">
        <f>IF(AND(AE13=1,AS13&gt;0),AS13*(N13-1),IF(AND(AE13=0,AS13&gt;0),-AS13,""))</f>
        <v>3.8207100000000005</v>
      </c>
      <c r="BK13" s="9" t="str">
        <f>IF(AND(AX13=1,P13&gt;0),P13,IF(AND(AX13=0,P13&gt;0),-P13,""))</f>
        <v/>
      </c>
      <c r="BL13" s="9">
        <f t="shared" si="19"/>
        <v>28.6</v>
      </c>
      <c r="BM13" s="9">
        <f t="shared" si="23"/>
        <v>448.1</v>
      </c>
      <c r="BN13" s="2">
        <f t="shared" si="24"/>
        <v>7</v>
      </c>
    </row>
    <row r="14" spans="1:67" s="18" customFormat="1" x14ac:dyDescent="0.25">
      <c r="A14" s="16">
        <f t="shared" si="20"/>
        <v>8</v>
      </c>
      <c r="B14" s="17">
        <v>3.7</v>
      </c>
      <c r="C14" s="17">
        <v>3.4</v>
      </c>
      <c r="D14" s="17">
        <v>2.14</v>
      </c>
      <c r="E14" s="17">
        <v>1.8</v>
      </c>
      <c r="F14" s="17">
        <v>1.9</v>
      </c>
      <c r="G14" s="17">
        <v>1.33</v>
      </c>
      <c r="H14" s="17">
        <v>3.4</v>
      </c>
      <c r="I14" s="17">
        <v>2</v>
      </c>
      <c r="J14" s="17">
        <v>1.8</v>
      </c>
      <c r="K14" s="17">
        <v>10</v>
      </c>
      <c r="L14" s="17">
        <v>12</v>
      </c>
      <c r="M14" s="17">
        <v>6</v>
      </c>
      <c r="N14" s="17">
        <v>1.4387743</v>
      </c>
      <c r="P14" s="18">
        <v>8</v>
      </c>
      <c r="Q14" s="16">
        <v>4</v>
      </c>
      <c r="R14" s="16">
        <v>2</v>
      </c>
      <c r="S14" s="18">
        <f t="shared" si="5"/>
        <v>1</v>
      </c>
      <c r="T14" s="18">
        <f t="shared" si="6"/>
        <v>0</v>
      </c>
      <c r="U14" s="18">
        <f t="shared" si="7"/>
        <v>0</v>
      </c>
      <c r="V14" s="18">
        <f t="shared" si="8"/>
        <v>1</v>
      </c>
      <c r="W14" s="18">
        <f t="shared" si="9"/>
        <v>0</v>
      </c>
      <c r="X14" s="18">
        <f t="shared" si="10"/>
        <v>1</v>
      </c>
      <c r="Y14" s="18">
        <f t="shared" si="11"/>
        <v>0</v>
      </c>
      <c r="Z14" s="18">
        <f t="shared" si="12"/>
        <v>1</v>
      </c>
      <c r="AA14" s="18">
        <f t="shared" si="13"/>
        <v>0</v>
      </c>
      <c r="AB14" s="18">
        <f t="shared" si="14"/>
        <v>0</v>
      </c>
      <c r="AC14" s="18">
        <f t="shared" si="15"/>
        <v>0</v>
      </c>
      <c r="AD14" s="18">
        <f t="shared" si="16"/>
        <v>0</v>
      </c>
      <c r="AE14" s="18">
        <f t="shared" si="17"/>
        <v>1</v>
      </c>
      <c r="AF14" s="16">
        <f t="shared" si="21"/>
        <v>8</v>
      </c>
      <c r="AG14" s="18">
        <v>10</v>
      </c>
      <c r="AH14" s="18">
        <v>0</v>
      </c>
      <c r="AI14" s="18">
        <v>0</v>
      </c>
      <c r="AJ14" s="18">
        <v>10</v>
      </c>
      <c r="AK14" s="18">
        <v>0</v>
      </c>
      <c r="AL14" s="18">
        <v>10</v>
      </c>
      <c r="AM14" s="18">
        <v>0</v>
      </c>
      <c r="AN14" s="18">
        <v>10</v>
      </c>
      <c r="AO14" s="18">
        <v>0</v>
      </c>
      <c r="AP14" s="18">
        <v>0</v>
      </c>
      <c r="AQ14" s="18">
        <v>0</v>
      </c>
      <c r="AR14" s="18">
        <v>0</v>
      </c>
      <c r="AS14" s="18">
        <v>10</v>
      </c>
      <c r="AU14" s="18">
        <f t="shared" si="18"/>
        <v>40</v>
      </c>
      <c r="AW14" s="16">
        <f t="shared" si="22"/>
        <v>8</v>
      </c>
      <c r="AX14" s="14">
        <f>IF(AND(S14=1,AG14&gt;0),AG14*(B14-1),IF(AND(S14=0,AG14&gt;0),-AG14,""))</f>
        <v>27</v>
      </c>
      <c r="AY14" s="14" t="str">
        <f>IF(AND(T14=1,AH14&gt;0),AH14*(C14-1),IF(AND(T14=0,AH14&gt;0),-AH14,""))</f>
        <v/>
      </c>
      <c r="AZ14" s="14" t="str">
        <f>IF(AND(U14=1,AI14&gt;0),AI14*(D14-1),IF(AND(U14=0,AI14&gt;0),-AI14,""))</f>
        <v/>
      </c>
      <c r="BA14" s="14">
        <f>IF(AND(V14=1,AJ14&gt;0),AJ14*(E14-1),IF(AND(V14=0,AJ14&gt;0),-AJ14,""))</f>
        <v>8</v>
      </c>
      <c r="BB14" s="14" t="str">
        <f>IF(AND(W14=1,AK14&gt;0),AK14*(F14-1),IF(AND(W14=0,AK14&gt;0),-AK14,""))</f>
        <v/>
      </c>
      <c r="BC14" s="14">
        <f>IF(AND(X14=1,AL14&gt;0),AL14*(G14-1),IF(AND(X14=0,AL14&gt;0),-AL14,""))</f>
        <v>3.3000000000000007</v>
      </c>
      <c r="BD14" s="14" t="str">
        <f>IF(AND(Y14=1,AM14&gt;0),AM14*(H14-1),IF(AND(Y14=0,AM14&gt;0),-AM14,""))</f>
        <v/>
      </c>
      <c r="BE14" s="14">
        <f>IF(AND(Z14=1,AN14&gt;0),AN14*(I14-1),IF(AND(Z14=0,AN14&gt;0),-AN14,""))</f>
        <v>10</v>
      </c>
      <c r="BF14" s="14" t="str">
        <f>IF(AND(AA14=1,AO14&gt;0),AO14*(J14-1),IF(AND(AA14=0,AO14&gt;0),-AO14,""))</f>
        <v/>
      </c>
      <c r="BG14" s="14" t="str">
        <f>IF(AND(AB14=1,AP14&gt;0),AP14*(K14-1),IF(AND(AB14=0,AP14&gt;0),-AP14,""))</f>
        <v/>
      </c>
      <c r="BH14" s="14" t="str">
        <f>IF(AND(AC14=1,AQ14&gt;0),AQ14*(L14-1),IF(AND(AC14=0,AQ14&gt;0),-AQ14,""))</f>
        <v/>
      </c>
      <c r="BI14" s="14" t="str">
        <f>IF(AND(AD14=1,AR14&gt;0),AR14*(M14-1),IF(AND(AD14=0,AR14&gt;0),-AR14,""))</f>
        <v/>
      </c>
      <c r="BJ14" s="13">
        <f>IF(AND(AE14=1,AS14&gt;0),AS14*(N14-1),IF(AND(AE14=0,AS14&gt;0),-AS14,""))</f>
        <v>4.3877429999999995</v>
      </c>
      <c r="BK14" s="13" t="str">
        <f>IF(AND(AX14=1,P14&gt;0),P14,IF(AND(AX14=0,P14&gt;0),-P14,""))</f>
        <v/>
      </c>
      <c r="BL14" s="13">
        <f t="shared" si="19"/>
        <v>48.3</v>
      </c>
      <c r="BM14" s="13">
        <f t="shared" si="23"/>
        <v>496.40000000000003</v>
      </c>
      <c r="BN14" s="16">
        <f t="shared" si="24"/>
        <v>8</v>
      </c>
    </row>
    <row r="15" spans="1:67" x14ac:dyDescent="0.25">
      <c r="A15" s="2">
        <f t="shared" si="20"/>
        <v>9</v>
      </c>
      <c r="B15" s="5">
        <v>3.6</v>
      </c>
      <c r="C15" s="5">
        <v>3.2</v>
      </c>
      <c r="D15" s="5">
        <v>2.2999999999999998</v>
      </c>
      <c r="E15" s="5">
        <v>2.2000000000000002</v>
      </c>
      <c r="F15" s="5">
        <v>1.61</v>
      </c>
      <c r="G15" s="5">
        <v>1.53</v>
      </c>
      <c r="H15" s="5">
        <v>2.5</v>
      </c>
      <c r="I15" s="5">
        <v>2.5</v>
      </c>
      <c r="J15" s="5">
        <v>1.53</v>
      </c>
      <c r="K15" s="5">
        <v>7.5</v>
      </c>
      <c r="L15" s="5">
        <v>13</v>
      </c>
      <c r="M15" s="5">
        <v>6</v>
      </c>
      <c r="N15" s="5">
        <v>1.4955993000000001</v>
      </c>
      <c r="P15">
        <v>9</v>
      </c>
      <c r="Q15" s="2">
        <v>2</v>
      </c>
      <c r="R15" s="2">
        <v>3</v>
      </c>
      <c r="S15">
        <f t="shared" si="5"/>
        <v>0</v>
      </c>
      <c r="T15">
        <f t="shared" si="6"/>
        <v>0</v>
      </c>
      <c r="U15">
        <f t="shared" si="7"/>
        <v>1</v>
      </c>
      <c r="V15">
        <f t="shared" si="8"/>
        <v>1</v>
      </c>
      <c r="W15">
        <f t="shared" si="9"/>
        <v>0</v>
      </c>
      <c r="X15">
        <f t="shared" si="10"/>
        <v>1</v>
      </c>
      <c r="Y15">
        <f t="shared" si="11"/>
        <v>0</v>
      </c>
      <c r="Z15">
        <f t="shared" si="12"/>
        <v>1</v>
      </c>
      <c r="AA15">
        <f t="shared" si="13"/>
        <v>0</v>
      </c>
      <c r="AB15">
        <f t="shared" si="14"/>
        <v>0</v>
      </c>
      <c r="AC15" s="22">
        <f t="shared" si="15"/>
        <v>0</v>
      </c>
      <c r="AD15">
        <f t="shared" si="16"/>
        <v>0</v>
      </c>
      <c r="AE15">
        <f t="shared" si="17"/>
        <v>1</v>
      </c>
      <c r="AF15" s="2">
        <f t="shared" si="21"/>
        <v>9</v>
      </c>
      <c r="AG15">
        <v>0</v>
      </c>
      <c r="AH15">
        <v>0</v>
      </c>
      <c r="AI15">
        <v>10</v>
      </c>
      <c r="AJ15">
        <v>10</v>
      </c>
      <c r="AK15">
        <v>0</v>
      </c>
      <c r="AL15">
        <v>10</v>
      </c>
      <c r="AM15">
        <v>0</v>
      </c>
      <c r="AN15">
        <v>10</v>
      </c>
      <c r="AO15">
        <v>0</v>
      </c>
      <c r="AP15">
        <v>0</v>
      </c>
      <c r="AQ15">
        <v>0</v>
      </c>
      <c r="AR15">
        <v>0</v>
      </c>
      <c r="AS15">
        <v>10</v>
      </c>
      <c r="AU15">
        <f t="shared" si="18"/>
        <v>40</v>
      </c>
      <c r="AW15" s="2">
        <f t="shared" si="22"/>
        <v>9</v>
      </c>
      <c r="AX15" s="14" t="str">
        <f>IF(AND(S15=1,AG15&gt;0),AG15*(B15-1),IF(AND(S15=0,AG15&gt;0),-AG15,""))</f>
        <v/>
      </c>
      <c r="AY15" s="14" t="str">
        <f>IF(AND(T15=1,AH15&gt;0),AH15*(C15-1),IF(AND(T15=0,AH15&gt;0),-AH15,""))</f>
        <v/>
      </c>
      <c r="AZ15" s="14">
        <f>IF(AND(U15=1,AI15&gt;0),AI15*(D15-1),IF(AND(U15=0,AI15&gt;0),-AI15,""))</f>
        <v>12.999999999999998</v>
      </c>
      <c r="BA15" s="15">
        <f>IF(AND(V15=1,AJ15&gt;0),AJ15*(E15-1),IF(AND(V15=0,AJ15&gt;0),-AJ15,""))</f>
        <v>12.000000000000002</v>
      </c>
      <c r="BB15" s="15" t="str">
        <f>IF(AND(W15=1,AK15&gt;0),AK15*(F15-1),IF(AND(W15=0,AK15&gt;0),-AK15,""))</f>
        <v/>
      </c>
      <c r="BC15" s="14">
        <f>IF(AND(X15=1,AL15&gt;0),AL15*(G15-1),IF(AND(X15=0,AL15&gt;0),-AL15,""))</f>
        <v>5.3000000000000007</v>
      </c>
      <c r="BD15" s="14" t="str">
        <f>IF(AND(Y15=1,AM15&gt;0),AM15*(H15-1),IF(AND(Y15=0,AM15&gt;0),-AM15,""))</f>
        <v/>
      </c>
      <c r="BE15" s="15">
        <f>IF(AND(Z15=1,AN15&gt;0),AN15*(I15-1),IF(AND(Z15=0,AN15&gt;0),-AN15,""))</f>
        <v>15</v>
      </c>
      <c r="BF15" s="15" t="str">
        <f>IF(AND(AA15=1,AO15&gt;0),AO15*(J15-1),IF(AND(AA15=0,AO15&gt;0),-AO15,""))</f>
        <v/>
      </c>
      <c r="BG15" s="14" t="str">
        <f>IF(AND(AB15=1,AP15&gt;0),AP15*(K15-1),IF(AND(AB15=0,AP15&gt;0),-AP15,""))</f>
        <v/>
      </c>
      <c r="BH15" s="14" t="str">
        <f>IF(AND(AC15=1,AQ15&gt;0),AQ15*(L15-1),IF(AND(AC15=0,AQ15&gt;0),-AQ15,""))</f>
        <v/>
      </c>
      <c r="BI15" s="14" t="str">
        <f>IF(AND(AD15=1,AR15&gt;0),AR15*(M15-1),IF(AND(AD15=0,AR15&gt;0),-AR15,""))</f>
        <v/>
      </c>
      <c r="BJ15" s="11">
        <f>IF(AND(AE15=1,AS15&gt;0),AS15*(N15-1),IF(AND(AE15=0,AS15&gt;0),-AS15,""))</f>
        <v>4.9559930000000012</v>
      </c>
      <c r="BK15" s="9" t="str">
        <f>IF(AND(AX15=1,P15&gt;0),P15,IF(AND(AX15=0,P15&gt;0),-P15,""))</f>
        <v/>
      </c>
      <c r="BL15" s="9">
        <f t="shared" si="19"/>
        <v>45.3</v>
      </c>
      <c r="BM15" s="9">
        <f t="shared" si="23"/>
        <v>541.70000000000005</v>
      </c>
      <c r="BN15" s="2">
        <f t="shared" si="24"/>
        <v>9</v>
      </c>
    </row>
    <row r="16" spans="1:67" s="18" customFormat="1" x14ac:dyDescent="0.25">
      <c r="A16" s="16">
        <f t="shared" si="20"/>
        <v>10</v>
      </c>
      <c r="B16" s="17">
        <v>1.9</v>
      </c>
      <c r="C16" s="17">
        <v>3.3</v>
      </c>
      <c r="D16" s="17">
        <v>5</v>
      </c>
      <c r="E16" s="17">
        <v>2</v>
      </c>
      <c r="F16" s="17">
        <v>1.72</v>
      </c>
      <c r="G16" s="17">
        <v>1.44</v>
      </c>
      <c r="H16" s="17">
        <v>2.75</v>
      </c>
      <c r="I16" s="17">
        <v>2.2999999999999998</v>
      </c>
      <c r="J16" s="17">
        <v>1.61</v>
      </c>
      <c r="K16" s="17">
        <v>6</v>
      </c>
      <c r="L16" s="17">
        <v>9</v>
      </c>
      <c r="M16" s="17">
        <v>6</v>
      </c>
      <c r="N16" s="17">
        <v>1.6637644</v>
      </c>
      <c r="P16" s="18">
        <v>10</v>
      </c>
      <c r="Q16" s="16">
        <v>6</v>
      </c>
      <c r="R16" s="16">
        <v>0</v>
      </c>
      <c r="S16" s="18">
        <f t="shared" si="5"/>
        <v>1</v>
      </c>
      <c r="T16" s="18">
        <f t="shared" si="6"/>
        <v>0</v>
      </c>
      <c r="U16" s="18">
        <f t="shared" si="7"/>
        <v>0</v>
      </c>
      <c r="V16" s="18">
        <f t="shared" si="8"/>
        <v>0</v>
      </c>
      <c r="W16" s="18">
        <f t="shared" si="9"/>
        <v>1</v>
      </c>
      <c r="X16" s="18">
        <f t="shared" si="10"/>
        <v>1</v>
      </c>
      <c r="Y16" s="18">
        <f t="shared" si="11"/>
        <v>0</v>
      </c>
      <c r="Z16" s="18">
        <f t="shared" si="12"/>
        <v>1</v>
      </c>
      <c r="AA16" s="18">
        <f t="shared" si="13"/>
        <v>0</v>
      </c>
      <c r="AB16" s="18">
        <f t="shared" si="14"/>
        <v>0</v>
      </c>
      <c r="AC16" s="18">
        <f t="shared" si="15"/>
        <v>0</v>
      </c>
      <c r="AD16" s="18">
        <f t="shared" si="16"/>
        <v>0</v>
      </c>
      <c r="AE16" s="18">
        <f t="shared" si="17"/>
        <v>1</v>
      </c>
      <c r="AF16" s="16">
        <f t="shared" si="21"/>
        <v>10</v>
      </c>
      <c r="AG16" s="18">
        <v>10</v>
      </c>
      <c r="AH16" s="18">
        <v>0</v>
      </c>
      <c r="AI16" s="18">
        <v>0</v>
      </c>
      <c r="AJ16" s="18">
        <v>0</v>
      </c>
      <c r="AK16" s="18">
        <v>10</v>
      </c>
      <c r="AL16" s="18">
        <v>10</v>
      </c>
      <c r="AM16" s="18">
        <v>0</v>
      </c>
      <c r="AN16" s="18">
        <v>10</v>
      </c>
      <c r="AO16" s="18">
        <v>0</v>
      </c>
      <c r="AP16" s="18">
        <v>0</v>
      </c>
      <c r="AQ16" s="18">
        <v>0</v>
      </c>
      <c r="AR16" s="18">
        <v>0</v>
      </c>
      <c r="AS16" s="18">
        <v>10</v>
      </c>
      <c r="AU16" s="18">
        <f t="shared" si="18"/>
        <v>40</v>
      </c>
      <c r="AW16" s="16">
        <f t="shared" si="22"/>
        <v>10</v>
      </c>
      <c r="AX16" s="14">
        <f>IF(AND(S16=1,AG16&gt;0),AG16*(B16-1),IF(AND(S16=0,AG16&gt;0),-AG16,""))</f>
        <v>9</v>
      </c>
      <c r="AY16" s="14" t="str">
        <f>IF(AND(T16=1,AH16&gt;0),AH16*(C16-1),IF(AND(T16=0,AH16&gt;0),-AH16,""))</f>
        <v/>
      </c>
      <c r="AZ16" s="14" t="str">
        <f>IF(AND(U16=1,AI16&gt;0),AI16*(D16-1),IF(AND(U16=0,AI16&gt;0),-AI16,""))</f>
        <v/>
      </c>
      <c r="BA16" s="14" t="str">
        <f>IF(AND(V16=1,AJ16&gt;0),AJ16*(E16-1),IF(AND(V16=0,AJ16&gt;0),-AJ16,""))</f>
        <v/>
      </c>
      <c r="BB16" s="14">
        <f>IF(AND(W16=1,AK16&gt;0),AK16*(F16-1),IF(AND(W16=0,AK16&gt;0),-AK16,""))</f>
        <v>7.1999999999999993</v>
      </c>
      <c r="BC16" s="14">
        <f>IF(AND(X16=1,AL16&gt;0),AL16*(G16-1),IF(AND(X16=0,AL16&gt;0),-AL16,""))</f>
        <v>4.3999999999999995</v>
      </c>
      <c r="BD16" s="14" t="str">
        <f>IF(AND(Y16=1,AM16&gt;0),AM16*(H16-1),IF(AND(Y16=0,AM16&gt;0),-AM16,""))</f>
        <v/>
      </c>
      <c r="BE16" s="14">
        <f>IF(AND(Z16=1,AN16&gt;0),AN16*(I16-1),IF(AND(Z16=0,AN16&gt;0),-AN16,""))</f>
        <v>12.999999999999998</v>
      </c>
      <c r="BF16" s="14" t="str">
        <f>IF(AND(AA16=1,AO16&gt;0),AO16*(J16-1),IF(AND(AA16=0,AO16&gt;0),-AO16,""))</f>
        <v/>
      </c>
      <c r="BG16" s="14" t="str">
        <f>IF(AND(AB16=1,AP16&gt;0),AP16*(K16-1),IF(AND(AB16=0,AP16&gt;0),-AP16,""))</f>
        <v/>
      </c>
      <c r="BH16" s="14" t="str">
        <f>IF(AND(AC16=1,AQ16&gt;0),AQ16*(L16-1),IF(AND(AC16=0,AQ16&gt;0),-AQ16,""))</f>
        <v/>
      </c>
      <c r="BI16" s="14" t="str">
        <f>IF(AND(AD16=1,AR16&gt;0),AR16*(M16-1),IF(AND(AD16=0,AR16&gt;0),-AR16,""))</f>
        <v/>
      </c>
      <c r="BJ16" s="13">
        <f>IF(AND(AE16=1,AS16&gt;0),AS16*(N16-1),IF(AND(AE16=0,AS16&gt;0),-AS16,""))</f>
        <v>6.6376439999999999</v>
      </c>
      <c r="BK16" s="13" t="str">
        <f>IF(AND(AX16=1,P16&gt;0),P16,IF(AND(AX16=0,P16&gt;0),-P16,""))</f>
        <v/>
      </c>
      <c r="BL16" s="13">
        <f t="shared" si="19"/>
        <v>33.599999999999994</v>
      </c>
      <c r="BM16" s="13">
        <f t="shared" si="23"/>
        <v>575.30000000000007</v>
      </c>
      <c r="BN16" s="16">
        <f t="shared" si="24"/>
        <v>10</v>
      </c>
    </row>
    <row r="17" spans="1:66" x14ac:dyDescent="0.25">
      <c r="A17" s="2">
        <f t="shared" si="20"/>
        <v>11</v>
      </c>
      <c r="B17" s="5">
        <v>2.4</v>
      </c>
      <c r="C17" s="5">
        <v>3.2</v>
      </c>
      <c r="D17" s="5">
        <v>3.4</v>
      </c>
      <c r="E17" s="5">
        <v>1.83</v>
      </c>
      <c r="F17" s="5">
        <v>1.83</v>
      </c>
      <c r="G17" s="5">
        <v>1.36</v>
      </c>
      <c r="H17" s="5">
        <v>3.2</v>
      </c>
      <c r="I17" s="5">
        <v>2.2000000000000002</v>
      </c>
      <c r="J17" s="5">
        <v>1.66</v>
      </c>
      <c r="K17" s="5">
        <v>7</v>
      </c>
      <c r="L17" s="5">
        <v>9.5</v>
      </c>
      <c r="M17" s="5">
        <v>5.5</v>
      </c>
      <c r="N17" s="5">
        <v>1.6241589999999999</v>
      </c>
      <c r="P17">
        <v>11</v>
      </c>
      <c r="Q17" s="2">
        <v>1</v>
      </c>
      <c r="R17" s="2">
        <v>1</v>
      </c>
      <c r="S17">
        <f t="shared" si="5"/>
        <v>0</v>
      </c>
      <c r="T17">
        <f t="shared" si="6"/>
        <v>1</v>
      </c>
      <c r="U17">
        <f t="shared" si="7"/>
        <v>0</v>
      </c>
      <c r="V17">
        <f t="shared" si="8"/>
        <v>1</v>
      </c>
      <c r="W17">
        <f t="shared" si="9"/>
        <v>0</v>
      </c>
      <c r="X17">
        <f t="shared" si="10"/>
        <v>1</v>
      </c>
      <c r="Y17">
        <f t="shared" si="11"/>
        <v>0</v>
      </c>
      <c r="Z17">
        <f t="shared" si="12"/>
        <v>0</v>
      </c>
      <c r="AA17">
        <f t="shared" si="13"/>
        <v>1</v>
      </c>
      <c r="AB17">
        <f t="shared" si="14"/>
        <v>0</v>
      </c>
      <c r="AC17" s="22">
        <f t="shared" si="15"/>
        <v>0</v>
      </c>
      <c r="AD17">
        <f t="shared" si="16"/>
        <v>1</v>
      </c>
      <c r="AE17">
        <f t="shared" si="17"/>
        <v>0</v>
      </c>
      <c r="AF17" s="2">
        <f t="shared" si="21"/>
        <v>11</v>
      </c>
      <c r="AG17">
        <v>0</v>
      </c>
      <c r="AH17">
        <v>10</v>
      </c>
      <c r="AI17">
        <v>0</v>
      </c>
      <c r="AJ17">
        <v>10</v>
      </c>
      <c r="AK17">
        <v>0</v>
      </c>
      <c r="AL17">
        <v>10</v>
      </c>
      <c r="AM17">
        <v>0</v>
      </c>
      <c r="AN17">
        <v>0</v>
      </c>
      <c r="AO17">
        <v>10</v>
      </c>
      <c r="AP17">
        <v>0</v>
      </c>
      <c r="AQ17">
        <v>0</v>
      </c>
      <c r="AR17">
        <v>10</v>
      </c>
      <c r="AS17">
        <v>0</v>
      </c>
      <c r="AU17">
        <f t="shared" si="18"/>
        <v>50</v>
      </c>
      <c r="AW17" s="2">
        <f t="shared" si="22"/>
        <v>11</v>
      </c>
      <c r="AX17" s="14" t="str">
        <f>IF(AND(S17=1,AG17&gt;0),AG17*(B17-1),IF(AND(S17=0,AG17&gt;0),-AG17,""))</f>
        <v/>
      </c>
      <c r="AY17" s="14">
        <f>IF(AND(T17=1,AH17&gt;0),AH17*(C17-1),IF(AND(T17=0,AH17&gt;0),-AH17,""))</f>
        <v>22</v>
      </c>
      <c r="AZ17" s="14" t="str">
        <f>IF(AND(U17=1,AI17&gt;0),AI17*(D17-1),IF(AND(U17=0,AI17&gt;0),-AI17,""))</f>
        <v/>
      </c>
      <c r="BA17" s="15">
        <f>IF(AND(V17=1,AJ17&gt;0),AJ17*(E17-1),IF(AND(V17=0,AJ17&gt;0),-AJ17,""))</f>
        <v>8.3000000000000007</v>
      </c>
      <c r="BB17" s="15" t="str">
        <f>IF(AND(W17=1,AK17&gt;0),AK17*(F17-1),IF(AND(W17=0,AK17&gt;0),-AK17,""))</f>
        <v/>
      </c>
      <c r="BC17" s="14">
        <f>IF(AND(X17=1,AL17&gt;0),AL17*(G17-1),IF(AND(X17=0,AL17&gt;0),-AL17,""))</f>
        <v>3.600000000000001</v>
      </c>
      <c r="BD17" s="14" t="str">
        <f>IF(AND(Y17=1,AM17&gt;0),AM17*(H17-1),IF(AND(Y17=0,AM17&gt;0),-AM17,""))</f>
        <v/>
      </c>
      <c r="BE17" s="15" t="str">
        <f>IF(AND(Z17=1,AN17&gt;0),AN17*(I17-1),IF(AND(Z17=0,AN17&gt;0),-AN17,""))</f>
        <v/>
      </c>
      <c r="BF17" s="15">
        <f>IF(AND(AA17=1,AO17&gt;0),AO17*(J17-1),IF(AND(AA17=0,AO17&gt;0),-AO17,""))</f>
        <v>6.6</v>
      </c>
      <c r="BG17" s="14" t="str">
        <f>IF(AND(AB17=1,AP17&gt;0),AP17*(K17-1),IF(AND(AB17=0,AP17&gt;0),-AP17,""))</f>
        <v/>
      </c>
      <c r="BH17" s="14" t="str">
        <f>IF(AND(AC17=1,AQ17&gt;0),AQ17*(L17-1),IF(AND(AC17=0,AQ17&gt;0),-AQ17,""))</f>
        <v/>
      </c>
      <c r="BI17" s="14">
        <f>IF(AND(AD17=1,AR17&gt;0),AR17*(M17-1),IF(AND(AD17=0,AR17&gt;0),-AR17,""))</f>
        <v>45</v>
      </c>
      <c r="BJ17" s="11" t="str">
        <f>IF(AND(AE17=1,AS17&gt;0),AS17*(N17-1),IF(AND(AE17=0,AS17&gt;0),-AS17,""))</f>
        <v/>
      </c>
      <c r="BK17" s="9" t="str">
        <f>IF(AND(AX17=1,P17&gt;0),P17,IF(AND(AX17=0,P17&gt;0),-P17,""))</f>
        <v/>
      </c>
      <c r="BL17" s="9">
        <f t="shared" si="19"/>
        <v>85.5</v>
      </c>
      <c r="BM17" s="9">
        <f t="shared" si="23"/>
        <v>660.80000000000007</v>
      </c>
      <c r="BN17" s="2">
        <f t="shared" si="24"/>
        <v>11</v>
      </c>
    </row>
    <row r="18" spans="1:66" s="18" customFormat="1" x14ac:dyDescent="0.25">
      <c r="A18" s="16">
        <f t="shared" si="20"/>
        <v>12</v>
      </c>
      <c r="B18" s="17">
        <v>2.54</v>
      </c>
      <c r="C18" s="17">
        <v>3.6</v>
      </c>
      <c r="D18" s="17">
        <v>2.8</v>
      </c>
      <c r="E18" s="17">
        <v>1.57</v>
      </c>
      <c r="F18" s="17">
        <v>2.25</v>
      </c>
      <c r="G18" s="17">
        <v>1.22</v>
      </c>
      <c r="H18" s="17">
        <v>4.33</v>
      </c>
      <c r="I18" s="17">
        <v>1.66</v>
      </c>
      <c r="J18" s="17">
        <v>2.2000000000000002</v>
      </c>
      <c r="K18" s="17">
        <v>10</v>
      </c>
      <c r="L18" s="17">
        <v>9.5</v>
      </c>
      <c r="M18" s="17">
        <v>6.5</v>
      </c>
      <c r="N18" s="17">
        <v>1.4564744999999999</v>
      </c>
      <c r="P18" s="18">
        <v>12</v>
      </c>
      <c r="Q18" s="16">
        <v>1</v>
      </c>
      <c r="R18" s="16">
        <v>1</v>
      </c>
      <c r="S18" s="18">
        <f t="shared" si="5"/>
        <v>0</v>
      </c>
      <c r="T18" s="18">
        <f t="shared" si="6"/>
        <v>1</v>
      </c>
      <c r="U18" s="18">
        <f t="shared" si="7"/>
        <v>0</v>
      </c>
      <c r="V18" s="18">
        <f t="shared" si="8"/>
        <v>1</v>
      </c>
      <c r="W18" s="18">
        <f t="shared" si="9"/>
        <v>0</v>
      </c>
      <c r="X18" s="18">
        <f t="shared" si="10"/>
        <v>1</v>
      </c>
      <c r="Y18" s="18">
        <f t="shared" si="11"/>
        <v>0</v>
      </c>
      <c r="Z18" s="18">
        <f t="shared" si="12"/>
        <v>0</v>
      </c>
      <c r="AA18" s="18">
        <f t="shared" si="13"/>
        <v>1</v>
      </c>
      <c r="AB18" s="18">
        <f t="shared" si="14"/>
        <v>0</v>
      </c>
      <c r="AC18" s="18">
        <f t="shared" si="15"/>
        <v>0</v>
      </c>
      <c r="AD18" s="18">
        <f t="shared" si="16"/>
        <v>1</v>
      </c>
      <c r="AE18" s="18">
        <f t="shared" si="17"/>
        <v>0</v>
      </c>
      <c r="AF18" s="16">
        <f t="shared" si="21"/>
        <v>12</v>
      </c>
      <c r="AG18" s="18">
        <v>0</v>
      </c>
      <c r="AH18" s="18">
        <v>10</v>
      </c>
      <c r="AI18" s="18">
        <v>0</v>
      </c>
      <c r="AJ18" s="18">
        <v>10</v>
      </c>
      <c r="AK18" s="18">
        <v>0</v>
      </c>
      <c r="AL18" s="18">
        <v>10</v>
      </c>
      <c r="AM18" s="18">
        <v>0</v>
      </c>
      <c r="AN18" s="18">
        <v>0</v>
      </c>
      <c r="AO18" s="18">
        <v>10</v>
      </c>
      <c r="AP18" s="18">
        <v>0</v>
      </c>
      <c r="AQ18" s="18">
        <v>0</v>
      </c>
      <c r="AR18" s="18">
        <v>10</v>
      </c>
      <c r="AS18" s="18">
        <v>0</v>
      </c>
      <c r="AU18" s="18">
        <f t="shared" si="18"/>
        <v>50</v>
      </c>
      <c r="AW18" s="16">
        <f t="shared" si="22"/>
        <v>12</v>
      </c>
      <c r="AX18" s="14" t="str">
        <f>IF(AND(S18=1,AG18&gt;0),AG18*(B18-1),IF(AND(S18=0,AG18&gt;0),-AG18,""))</f>
        <v/>
      </c>
      <c r="AY18" s="14">
        <f>IF(AND(T18=1,AH18&gt;0),AH18*(C18-1),IF(AND(T18=0,AH18&gt;0),-AH18,""))</f>
        <v>26</v>
      </c>
      <c r="AZ18" s="14" t="str">
        <f>IF(AND(U18=1,AI18&gt;0),AI18*(D18-1),IF(AND(U18=0,AI18&gt;0),-AI18,""))</f>
        <v/>
      </c>
      <c r="BA18" s="14">
        <f>IF(AND(V18=1,AJ18&gt;0),AJ18*(E18-1),IF(AND(V18=0,AJ18&gt;0),-AJ18,""))</f>
        <v>5.7000000000000011</v>
      </c>
      <c r="BB18" s="14" t="str">
        <f>IF(AND(W18=1,AK18&gt;0),AK18*(F18-1),IF(AND(W18=0,AK18&gt;0),-AK18,""))</f>
        <v/>
      </c>
      <c r="BC18" s="14">
        <f>IF(AND(X18=1,AL18&gt;0),AL18*(G18-1),IF(AND(X18=0,AL18&gt;0),-AL18,""))</f>
        <v>2.1999999999999997</v>
      </c>
      <c r="BD18" s="14" t="str">
        <f>IF(AND(Y18=1,AM18&gt;0),AM18*(H18-1),IF(AND(Y18=0,AM18&gt;0),-AM18,""))</f>
        <v/>
      </c>
      <c r="BE18" s="14" t="str">
        <f>IF(AND(Z18=1,AN18&gt;0),AN18*(I18-1),IF(AND(Z18=0,AN18&gt;0),-AN18,""))</f>
        <v/>
      </c>
      <c r="BF18" s="14">
        <f>IF(AND(AA18=1,AO18&gt;0),AO18*(J18-1),IF(AND(AA18=0,AO18&gt;0),-AO18,""))</f>
        <v>12.000000000000002</v>
      </c>
      <c r="BG18" s="14" t="str">
        <f>IF(AND(AB18=1,AP18&gt;0),AP18*(K18-1),IF(AND(AB18=0,AP18&gt;0),-AP18,""))</f>
        <v/>
      </c>
      <c r="BH18" s="14" t="str">
        <f>IF(AND(AC18=1,AQ18&gt;0),AQ18*(L18-1),IF(AND(AC18=0,AQ18&gt;0),-AQ18,""))</f>
        <v/>
      </c>
      <c r="BI18" s="14">
        <f>IF(AND(AD18=1,AR18&gt;0),AR18*(M18-1),IF(AND(AD18=0,AR18&gt;0),-AR18,""))</f>
        <v>55</v>
      </c>
      <c r="BJ18" s="13" t="str">
        <f>IF(AND(AE18=1,AS18&gt;0),AS18*(N18-1),IF(AND(AE18=0,AS18&gt;0),-AS18,""))</f>
        <v/>
      </c>
      <c r="BK18" s="13" t="str">
        <f>IF(AND(AX18=1,P18&gt;0),P18,IF(AND(AX18=0,P18&gt;0),-P18,""))</f>
        <v/>
      </c>
      <c r="BL18" s="13">
        <f t="shared" si="19"/>
        <v>100.9</v>
      </c>
      <c r="BM18" s="13">
        <f t="shared" si="23"/>
        <v>761.7</v>
      </c>
      <c r="BN18" s="16">
        <f t="shared" si="24"/>
        <v>12</v>
      </c>
    </row>
    <row r="19" spans="1:66" x14ac:dyDescent="0.25">
      <c r="A19" s="2">
        <f t="shared" si="20"/>
        <v>13</v>
      </c>
      <c r="B19" s="5">
        <v>3.1</v>
      </c>
      <c r="C19" s="5">
        <v>3.6</v>
      </c>
      <c r="D19" s="5">
        <v>2.35</v>
      </c>
      <c r="E19" s="5">
        <v>1.57</v>
      </c>
      <c r="F19" s="5">
        <v>2.25</v>
      </c>
      <c r="G19" s="5">
        <v>1.22</v>
      </c>
      <c r="H19" s="5">
        <v>4.33</v>
      </c>
      <c r="I19" s="5">
        <v>1.72</v>
      </c>
      <c r="J19" s="5">
        <v>2.1</v>
      </c>
      <c r="K19" s="5">
        <v>12</v>
      </c>
      <c r="L19" s="5">
        <v>11</v>
      </c>
      <c r="M19" s="5">
        <v>6.5</v>
      </c>
      <c r="N19" s="5">
        <v>1.3959371</v>
      </c>
      <c r="P19">
        <v>13</v>
      </c>
      <c r="Q19" s="2">
        <v>2</v>
      </c>
      <c r="R19" s="2">
        <v>1</v>
      </c>
      <c r="S19">
        <f t="shared" si="5"/>
        <v>1</v>
      </c>
      <c r="T19">
        <f t="shared" si="6"/>
        <v>0</v>
      </c>
      <c r="U19">
        <f t="shared" si="7"/>
        <v>0</v>
      </c>
      <c r="V19">
        <f t="shared" si="8"/>
        <v>1</v>
      </c>
      <c r="W19">
        <f t="shared" si="9"/>
        <v>0</v>
      </c>
      <c r="X19">
        <f t="shared" si="10"/>
        <v>1</v>
      </c>
      <c r="Y19">
        <f t="shared" si="11"/>
        <v>0</v>
      </c>
      <c r="Z19">
        <f t="shared" si="12"/>
        <v>1</v>
      </c>
      <c r="AA19">
        <f t="shared" si="13"/>
        <v>0</v>
      </c>
      <c r="AB19">
        <f t="shared" si="14"/>
        <v>0</v>
      </c>
      <c r="AC19" s="22">
        <f t="shared" si="15"/>
        <v>1</v>
      </c>
      <c r="AD19">
        <f t="shared" si="16"/>
        <v>0</v>
      </c>
      <c r="AE19">
        <f t="shared" si="17"/>
        <v>0</v>
      </c>
      <c r="AF19" s="2">
        <f t="shared" si="21"/>
        <v>13</v>
      </c>
      <c r="AG19">
        <v>10</v>
      </c>
      <c r="AH19">
        <v>0</v>
      </c>
      <c r="AI19">
        <v>0</v>
      </c>
      <c r="AJ19">
        <v>10</v>
      </c>
      <c r="AK19">
        <v>0</v>
      </c>
      <c r="AL19">
        <v>10</v>
      </c>
      <c r="AM19">
        <v>0</v>
      </c>
      <c r="AN19">
        <v>10</v>
      </c>
      <c r="AO19">
        <v>0</v>
      </c>
      <c r="AP19">
        <v>0</v>
      </c>
      <c r="AQ19">
        <v>10</v>
      </c>
      <c r="AR19">
        <v>0</v>
      </c>
      <c r="AS19">
        <v>0</v>
      </c>
      <c r="AU19">
        <f t="shared" si="18"/>
        <v>50</v>
      </c>
      <c r="AW19" s="2">
        <f t="shared" si="22"/>
        <v>13</v>
      </c>
      <c r="AX19" s="14">
        <f>IF(AND(S19=1,AG19&gt;0),AG19*(B19-1),IF(AND(S19=0,AG19&gt;0),-AG19,""))</f>
        <v>21</v>
      </c>
      <c r="AY19" s="14" t="str">
        <f>IF(AND(T19=1,AH19&gt;0),AH19*(C19-1),IF(AND(T19=0,AH19&gt;0),-AH19,""))</f>
        <v/>
      </c>
      <c r="AZ19" s="14" t="str">
        <f>IF(AND(U19=1,AI19&gt;0),AI19*(D19-1),IF(AND(U19=0,AI19&gt;0),-AI19,""))</f>
        <v/>
      </c>
      <c r="BA19" s="15">
        <f>IF(AND(V19=1,AJ19&gt;0),AJ19*(E19-1),IF(AND(V19=0,AJ19&gt;0),-AJ19,""))</f>
        <v>5.7000000000000011</v>
      </c>
      <c r="BB19" s="15" t="str">
        <f>IF(AND(W19=1,AK19&gt;0),AK19*(F19-1),IF(AND(W19=0,AK19&gt;0),-AK19,""))</f>
        <v/>
      </c>
      <c r="BC19" s="14">
        <f>IF(AND(X19=1,AL19&gt;0),AL19*(G19-1),IF(AND(X19=0,AL19&gt;0),-AL19,""))</f>
        <v>2.1999999999999997</v>
      </c>
      <c r="BD19" s="14" t="str">
        <f>IF(AND(Y19=1,AM19&gt;0),AM19*(H19-1),IF(AND(Y19=0,AM19&gt;0),-AM19,""))</f>
        <v/>
      </c>
      <c r="BE19" s="15">
        <f>IF(AND(Z19=1,AN19&gt;0),AN19*(I19-1),IF(AND(Z19=0,AN19&gt;0),-AN19,""))</f>
        <v>7.1999999999999993</v>
      </c>
      <c r="BF19" s="15" t="str">
        <f>IF(AND(AA19=1,AO19&gt;0),AO19*(J19-1),IF(AND(AA19=0,AO19&gt;0),-AO19,""))</f>
        <v/>
      </c>
      <c r="BG19" s="14" t="str">
        <f>IF(AND(AB19=1,AP19&gt;0),AP19*(K19-1),IF(AND(AB19=0,AP19&gt;0),-AP19,""))</f>
        <v/>
      </c>
      <c r="BH19" s="14">
        <f>IF(AND(AC19=1,AQ19&gt;0),AQ19*(L19-1),IF(AND(AC19=0,AQ19&gt;0),-AQ19,""))</f>
        <v>100</v>
      </c>
      <c r="BI19" s="14" t="str">
        <f>IF(AND(AD19=1,AR19&gt;0),AR19*(M19-1),IF(AND(AD19=0,AR19&gt;0),-AR19,""))</f>
        <v/>
      </c>
      <c r="BJ19" s="11" t="str">
        <f>IF(AND(AE19=1,AS19&gt;0),AS19*(N19-1),IF(AND(AE19=0,AS19&gt;0),-AS19,""))</f>
        <v/>
      </c>
      <c r="BK19" s="9" t="str">
        <f>IF(AND(AX19=1,P19&gt;0),P19,IF(AND(AX19=0,P19&gt;0),-P19,""))</f>
        <v/>
      </c>
      <c r="BL19" s="9">
        <f t="shared" si="19"/>
        <v>136.1</v>
      </c>
      <c r="BM19" s="9">
        <f t="shared" si="23"/>
        <v>897.80000000000007</v>
      </c>
      <c r="BN19" s="2">
        <f t="shared" si="24"/>
        <v>13</v>
      </c>
    </row>
    <row r="20" spans="1:66" s="18" customFormat="1" x14ac:dyDescent="0.25">
      <c r="A20" s="16">
        <f t="shared" si="20"/>
        <v>14</v>
      </c>
      <c r="B20" s="17">
        <v>1.9</v>
      </c>
      <c r="C20" s="17">
        <v>3.75</v>
      </c>
      <c r="D20" s="17">
        <v>4.33</v>
      </c>
      <c r="E20" s="17">
        <v>1.53</v>
      </c>
      <c r="F20" s="17">
        <v>2.37</v>
      </c>
      <c r="G20" s="17">
        <v>1.2</v>
      </c>
      <c r="H20" s="17">
        <v>4.5</v>
      </c>
      <c r="I20" s="17">
        <v>1.61</v>
      </c>
      <c r="J20" s="17">
        <v>2.2999999999999998</v>
      </c>
      <c r="K20" s="17">
        <v>9.5</v>
      </c>
      <c r="L20" s="17">
        <v>8.5</v>
      </c>
      <c r="M20" s="17">
        <v>7</v>
      </c>
      <c r="N20" s="17">
        <v>1.4699776</v>
      </c>
      <c r="P20" s="18">
        <v>14</v>
      </c>
      <c r="Q20" s="16">
        <v>2</v>
      </c>
      <c r="R20" s="16">
        <v>2</v>
      </c>
      <c r="S20" s="18">
        <f t="shared" si="5"/>
        <v>0</v>
      </c>
      <c r="T20" s="18">
        <f t="shared" si="6"/>
        <v>1</v>
      </c>
      <c r="U20" s="18">
        <f t="shared" si="7"/>
        <v>0</v>
      </c>
      <c r="V20" s="18">
        <f t="shared" si="8"/>
        <v>1</v>
      </c>
      <c r="W20" s="18">
        <f t="shared" si="9"/>
        <v>0</v>
      </c>
      <c r="X20" s="18">
        <f t="shared" si="10"/>
        <v>1</v>
      </c>
      <c r="Y20" s="18">
        <f t="shared" si="11"/>
        <v>0</v>
      </c>
      <c r="Z20" s="18">
        <f t="shared" si="12"/>
        <v>1</v>
      </c>
      <c r="AA20" s="18">
        <f t="shared" si="13"/>
        <v>0</v>
      </c>
      <c r="AB20" s="18">
        <f t="shared" si="14"/>
        <v>0</v>
      </c>
      <c r="AC20" s="18">
        <f t="shared" si="15"/>
        <v>0</v>
      </c>
      <c r="AD20" s="18">
        <f t="shared" si="16"/>
        <v>0</v>
      </c>
      <c r="AE20" s="18">
        <f t="shared" si="17"/>
        <v>1</v>
      </c>
      <c r="AF20" s="16">
        <f t="shared" si="21"/>
        <v>14</v>
      </c>
      <c r="AG20" s="18">
        <v>0</v>
      </c>
      <c r="AH20" s="18">
        <v>10</v>
      </c>
      <c r="AI20" s="18">
        <v>0</v>
      </c>
      <c r="AJ20" s="18">
        <v>10</v>
      </c>
      <c r="AK20" s="18">
        <v>0</v>
      </c>
      <c r="AL20" s="18">
        <v>10</v>
      </c>
      <c r="AM20" s="18">
        <v>0</v>
      </c>
      <c r="AN20" s="18">
        <v>10</v>
      </c>
      <c r="AO20" s="18">
        <v>0</v>
      </c>
      <c r="AP20" s="18">
        <v>0</v>
      </c>
      <c r="AQ20" s="18">
        <v>0</v>
      </c>
      <c r="AR20" s="18">
        <v>0</v>
      </c>
      <c r="AS20" s="18">
        <v>10</v>
      </c>
      <c r="AU20" s="18">
        <f t="shared" si="18"/>
        <v>40</v>
      </c>
      <c r="AW20" s="16">
        <f t="shared" si="22"/>
        <v>14</v>
      </c>
      <c r="AX20" s="14" t="str">
        <f>IF(AND(S20=1,AG20&gt;0),AG20*(B20-1),IF(AND(S20=0,AG20&gt;0),-AG20,""))</f>
        <v/>
      </c>
      <c r="AY20" s="14">
        <f>IF(AND(T20=1,AH20&gt;0),AH20*(C20-1),IF(AND(T20=0,AH20&gt;0),-AH20,""))</f>
        <v>27.5</v>
      </c>
      <c r="AZ20" s="14" t="str">
        <f>IF(AND(U20=1,AI20&gt;0),AI20*(D20-1),IF(AND(U20=0,AI20&gt;0),-AI20,""))</f>
        <v/>
      </c>
      <c r="BA20" s="14">
        <f>IF(AND(V20=1,AJ20&gt;0),AJ20*(E20-1),IF(AND(V20=0,AJ20&gt;0),-AJ20,""))</f>
        <v>5.3000000000000007</v>
      </c>
      <c r="BB20" s="14" t="str">
        <f>IF(AND(W20=1,AK20&gt;0),AK20*(F20-1),IF(AND(W20=0,AK20&gt;0),-AK20,""))</f>
        <v/>
      </c>
      <c r="BC20" s="14">
        <f>IF(AND(X20=1,AL20&gt;0),AL20*(G20-1),IF(AND(X20=0,AL20&gt;0),-AL20,""))</f>
        <v>1.9999999999999996</v>
      </c>
      <c r="BD20" s="14" t="str">
        <f>IF(AND(Y20=1,AM20&gt;0),AM20*(H20-1),IF(AND(Y20=0,AM20&gt;0),-AM20,""))</f>
        <v/>
      </c>
      <c r="BE20" s="14">
        <f>IF(AND(Z20=1,AN20&gt;0),AN20*(I20-1),IF(AND(Z20=0,AN20&gt;0),-AN20,""))</f>
        <v>6.1000000000000014</v>
      </c>
      <c r="BF20" s="14" t="str">
        <f>IF(AND(AA20=1,AO20&gt;0),AO20*(J20-1),IF(AND(AA20=0,AO20&gt;0),-AO20,""))</f>
        <v/>
      </c>
      <c r="BG20" s="14" t="str">
        <f>IF(AND(AB20=1,AP20&gt;0),AP20*(K20-1),IF(AND(AB20=0,AP20&gt;0),-AP20,""))</f>
        <v/>
      </c>
      <c r="BH20" s="14" t="str">
        <f>IF(AND(AC20=1,AQ20&gt;0),AQ20*(L20-1),IF(AND(AC20=0,AQ20&gt;0),-AQ20,""))</f>
        <v/>
      </c>
      <c r="BI20" s="14" t="str">
        <f>IF(AND(AD20=1,AR20&gt;0),AR20*(M20-1),IF(AND(AD20=0,AR20&gt;0),-AR20,""))</f>
        <v/>
      </c>
      <c r="BJ20" s="13">
        <f>IF(AND(AE20=1,AS20&gt;0),AS20*(N20-1),IF(AND(AE20=0,AS20&gt;0),-AS20,""))</f>
        <v>4.699776</v>
      </c>
      <c r="BK20" s="13" t="str">
        <f>IF(AND(AX20=1,P20&gt;0),P20,IF(AND(AX20=0,P20&gt;0),-P20,""))</f>
        <v/>
      </c>
      <c r="BL20" s="13">
        <f t="shared" si="19"/>
        <v>40.9</v>
      </c>
      <c r="BM20" s="13">
        <f t="shared" si="23"/>
        <v>938.7</v>
      </c>
      <c r="BN20" s="16">
        <f t="shared" si="24"/>
        <v>14</v>
      </c>
    </row>
    <row r="21" spans="1:66" x14ac:dyDescent="0.25">
      <c r="A21" s="2">
        <f t="shared" si="20"/>
        <v>15</v>
      </c>
      <c r="B21" s="5">
        <v>2.2999999999999998</v>
      </c>
      <c r="C21" s="5">
        <v>3.2</v>
      </c>
      <c r="D21" s="5">
        <v>3.6</v>
      </c>
      <c r="E21" s="5">
        <v>1.95</v>
      </c>
      <c r="F21" s="5">
        <v>1.8</v>
      </c>
      <c r="G21" s="5">
        <v>1.44</v>
      </c>
      <c r="H21" s="5">
        <v>2.75</v>
      </c>
      <c r="I21" s="5">
        <v>2.2999999999999998</v>
      </c>
      <c r="J21" s="5">
        <v>1.61</v>
      </c>
      <c r="K21" s="5">
        <v>7</v>
      </c>
      <c r="L21" s="5">
        <v>10</v>
      </c>
      <c r="M21" s="5">
        <v>6.5</v>
      </c>
      <c r="N21" s="5">
        <v>1.5396516</v>
      </c>
      <c r="P21">
        <v>15</v>
      </c>
      <c r="Q21" s="2">
        <v>0</v>
      </c>
      <c r="R21" s="2">
        <v>2</v>
      </c>
      <c r="S21">
        <f t="shared" si="5"/>
        <v>0</v>
      </c>
      <c r="T21">
        <f t="shared" si="6"/>
        <v>0</v>
      </c>
      <c r="U21">
        <f t="shared" si="7"/>
        <v>1</v>
      </c>
      <c r="V21">
        <f t="shared" si="8"/>
        <v>0</v>
      </c>
      <c r="W21">
        <f t="shared" si="9"/>
        <v>1</v>
      </c>
      <c r="X21">
        <f t="shared" si="10"/>
        <v>1</v>
      </c>
      <c r="Y21">
        <f t="shared" si="11"/>
        <v>0</v>
      </c>
      <c r="Z21">
        <f t="shared" si="12"/>
        <v>0</v>
      </c>
      <c r="AA21">
        <f t="shared" si="13"/>
        <v>1</v>
      </c>
      <c r="AB21">
        <f t="shared" si="14"/>
        <v>0</v>
      </c>
      <c r="AC21" s="22">
        <f t="shared" si="15"/>
        <v>0</v>
      </c>
      <c r="AD21">
        <f t="shared" si="16"/>
        <v>0</v>
      </c>
      <c r="AE21">
        <f t="shared" si="17"/>
        <v>1</v>
      </c>
      <c r="AF21" s="2">
        <f t="shared" si="21"/>
        <v>15</v>
      </c>
      <c r="AG21">
        <v>0</v>
      </c>
      <c r="AH21">
        <v>0</v>
      </c>
      <c r="AI21">
        <v>10</v>
      </c>
      <c r="AJ21">
        <v>0</v>
      </c>
      <c r="AK21">
        <v>10</v>
      </c>
      <c r="AL21">
        <v>10</v>
      </c>
      <c r="AM21">
        <v>0</v>
      </c>
      <c r="AN21">
        <v>0</v>
      </c>
      <c r="AO21">
        <v>10</v>
      </c>
      <c r="AP21">
        <v>0</v>
      </c>
      <c r="AQ21">
        <v>0</v>
      </c>
      <c r="AR21">
        <v>0</v>
      </c>
      <c r="AS21">
        <v>10</v>
      </c>
      <c r="AU21">
        <f t="shared" si="18"/>
        <v>40</v>
      </c>
      <c r="AW21" s="2">
        <f t="shared" si="22"/>
        <v>15</v>
      </c>
      <c r="AX21" s="14" t="str">
        <f>IF(AND(S21=1,AG21&gt;0),AG21*(B21-1),IF(AND(S21=0,AG21&gt;0),-AG21,""))</f>
        <v/>
      </c>
      <c r="AY21" s="14" t="str">
        <f>IF(AND(T21=1,AH21&gt;0),AH21*(C21-1),IF(AND(T21=0,AH21&gt;0),-AH21,""))</f>
        <v/>
      </c>
      <c r="AZ21" s="14">
        <f>IF(AND(U21=1,AI21&gt;0),AI21*(D21-1),IF(AND(U21=0,AI21&gt;0),-AI21,""))</f>
        <v>26</v>
      </c>
      <c r="BA21" s="15" t="str">
        <f>IF(AND(V21=1,AJ21&gt;0),AJ21*(E21-1),IF(AND(V21=0,AJ21&gt;0),-AJ21,""))</f>
        <v/>
      </c>
      <c r="BB21" s="15">
        <f>IF(AND(W21=1,AK21&gt;0),AK21*(F21-1),IF(AND(W21=0,AK21&gt;0),-AK21,""))</f>
        <v>8</v>
      </c>
      <c r="BC21" s="14">
        <f>IF(AND(X21=1,AL21&gt;0),AL21*(G21-1),IF(AND(X21=0,AL21&gt;0),-AL21,""))</f>
        <v>4.3999999999999995</v>
      </c>
      <c r="BD21" s="14" t="str">
        <f>IF(AND(Y21=1,AM21&gt;0),AM21*(H21-1),IF(AND(Y21=0,AM21&gt;0),-AM21,""))</f>
        <v/>
      </c>
      <c r="BE21" s="15" t="str">
        <f>IF(AND(Z21=1,AN21&gt;0),AN21*(I21-1),IF(AND(Z21=0,AN21&gt;0),-AN21,""))</f>
        <v/>
      </c>
      <c r="BF21" s="15">
        <f>IF(AND(AA21=1,AO21&gt;0),AO21*(J21-1),IF(AND(AA21=0,AO21&gt;0),-AO21,""))</f>
        <v>6.1000000000000014</v>
      </c>
      <c r="BG21" s="14" t="str">
        <f>IF(AND(AB21=1,AP21&gt;0),AP21*(K21-1),IF(AND(AB21=0,AP21&gt;0),-AP21,""))</f>
        <v/>
      </c>
      <c r="BH21" s="14" t="str">
        <f>IF(AND(AC21=1,AQ21&gt;0),AQ21*(L21-1),IF(AND(AC21=0,AQ21&gt;0),-AQ21,""))</f>
        <v/>
      </c>
      <c r="BI21" s="14" t="str">
        <f>IF(AND(AD21=1,AR21&gt;0),AR21*(M21-1),IF(AND(AD21=0,AR21&gt;0),-AR21,""))</f>
        <v/>
      </c>
      <c r="BJ21" s="11">
        <f>IF(AND(AE21=1,AS21&gt;0),AS21*(N21-1),IF(AND(AE21=0,AS21&gt;0),-AS21,""))</f>
        <v>5.3965160000000001</v>
      </c>
      <c r="BK21" s="9" t="str">
        <f>IF(AND(AX21=1,P21&gt;0),P21,IF(AND(AX21=0,P21&gt;0),-P21,""))</f>
        <v/>
      </c>
      <c r="BL21" s="9">
        <f t="shared" si="19"/>
        <v>44.5</v>
      </c>
      <c r="BM21" s="9">
        <f t="shared" si="23"/>
        <v>983.2</v>
      </c>
      <c r="BN21" s="2">
        <f t="shared" si="24"/>
        <v>15</v>
      </c>
    </row>
    <row r="22" spans="1:66" s="18" customFormat="1" x14ac:dyDescent="0.25">
      <c r="A22" s="16">
        <f t="shared" si="20"/>
        <v>16</v>
      </c>
      <c r="B22" s="17">
        <v>2</v>
      </c>
      <c r="C22" s="17">
        <v>3.6</v>
      </c>
      <c r="D22" s="17">
        <v>4</v>
      </c>
      <c r="E22" s="17">
        <v>1.75</v>
      </c>
      <c r="F22" s="17">
        <v>2</v>
      </c>
      <c r="G22" s="17">
        <v>1.3</v>
      </c>
      <c r="H22" s="17">
        <v>3.5</v>
      </c>
      <c r="I22" s="17">
        <v>1.9</v>
      </c>
      <c r="J22" s="17">
        <v>1.9</v>
      </c>
      <c r="K22" s="17">
        <v>8</v>
      </c>
      <c r="L22" s="17">
        <v>9.5</v>
      </c>
      <c r="M22" s="17">
        <v>7</v>
      </c>
      <c r="N22" s="17">
        <v>1.4857412999999999</v>
      </c>
      <c r="P22" s="18">
        <v>16</v>
      </c>
      <c r="Q22" s="16">
        <v>2</v>
      </c>
      <c r="R22" s="16">
        <v>2</v>
      </c>
      <c r="S22" s="18">
        <f t="shared" si="5"/>
        <v>0</v>
      </c>
      <c r="T22" s="18">
        <f t="shared" si="6"/>
        <v>1</v>
      </c>
      <c r="U22" s="18">
        <f t="shared" si="7"/>
        <v>0</v>
      </c>
      <c r="V22" s="18">
        <f t="shared" si="8"/>
        <v>1</v>
      </c>
      <c r="W22" s="18">
        <f t="shared" si="9"/>
        <v>0</v>
      </c>
      <c r="X22" s="18">
        <f t="shared" si="10"/>
        <v>1</v>
      </c>
      <c r="Y22" s="18">
        <f t="shared" si="11"/>
        <v>0</v>
      </c>
      <c r="Z22" s="18">
        <f t="shared" si="12"/>
        <v>1</v>
      </c>
      <c r="AA22" s="18">
        <f t="shared" si="13"/>
        <v>0</v>
      </c>
      <c r="AB22" s="18">
        <f t="shared" si="14"/>
        <v>0</v>
      </c>
      <c r="AC22" s="18">
        <f t="shared" si="15"/>
        <v>0</v>
      </c>
      <c r="AD22" s="18">
        <f t="shared" si="16"/>
        <v>0</v>
      </c>
      <c r="AE22" s="18">
        <f t="shared" si="17"/>
        <v>1</v>
      </c>
      <c r="AF22" s="16">
        <f t="shared" si="21"/>
        <v>16</v>
      </c>
      <c r="AG22" s="18">
        <v>0</v>
      </c>
      <c r="AH22" s="18">
        <v>10</v>
      </c>
      <c r="AI22" s="18">
        <v>0</v>
      </c>
      <c r="AJ22" s="18">
        <v>10</v>
      </c>
      <c r="AK22" s="18">
        <v>0</v>
      </c>
      <c r="AL22" s="18">
        <v>10</v>
      </c>
      <c r="AM22" s="18">
        <v>0</v>
      </c>
      <c r="AN22" s="18">
        <v>10</v>
      </c>
      <c r="AO22" s="18">
        <v>0</v>
      </c>
      <c r="AP22" s="18">
        <v>0</v>
      </c>
      <c r="AQ22" s="18">
        <v>0</v>
      </c>
      <c r="AR22" s="18">
        <v>0</v>
      </c>
      <c r="AS22" s="18">
        <v>10</v>
      </c>
      <c r="AU22" s="18">
        <f t="shared" si="18"/>
        <v>40</v>
      </c>
      <c r="AW22" s="16">
        <f t="shared" si="22"/>
        <v>16</v>
      </c>
      <c r="AX22" s="14" t="str">
        <f>IF(AND(S22=1,AG22&gt;0),AG22*(B22-1),IF(AND(S22=0,AG22&gt;0),-AG22,""))</f>
        <v/>
      </c>
      <c r="AY22" s="14">
        <f>IF(AND(T22=1,AH22&gt;0),AH22*(C22-1),IF(AND(T22=0,AH22&gt;0),-AH22,""))</f>
        <v>26</v>
      </c>
      <c r="AZ22" s="14" t="str">
        <f>IF(AND(U22=1,AI22&gt;0),AI22*(D22-1),IF(AND(U22=0,AI22&gt;0),-AI22,""))</f>
        <v/>
      </c>
      <c r="BA22" s="14">
        <f>IF(AND(V22=1,AJ22&gt;0),AJ22*(E22-1),IF(AND(V22=0,AJ22&gt;0),-AJ22,""))</f>
        <v>7.5</v>
      </c>
      <c r="BB22" s="14" t="str">
        <f>IF(AND(W22=1,AK22&gt;0),AK22*(F22-1),IF(AND(W22=0,AK22&gt;0),-AK22,""))</f>
        <v/>
      </c>
      <c r="BC22" s="14">
        <f>IF(AND(X22=1,AL22&gt;0),AL22*(G22-1),IF(AND(X22=0,AL22&gt;0),-AL22,""))</f>
        <v>3.0000000000000004</v>
      </c>
      <c r="BD22" s="14" t="str">
        <f>IF(AND(Y22=1,AM22&gt;0),AM22*(H22-1),IF(AND(Y22=0,AM22&gt;0),-AM22,""))</f>
        <v/>
      </c>
      <c r="BE22" s="14">
        <f>IF(AND(Z22=1,AN22&gt;0),AN22*(I22-1),IF(AND(Z22=0,AN22&gt;0),-AN22,""))</f>
        <v>9</v>
      </c>
      <c r="BF22" s="14" t="str">
        <f>IF(AND(AA22=1,AO22&gt;0),AO22*(J22-1),IF(AND(AA22=0,AO22&gt;0),-AO22,""))</f>
        <v/>
      </c>
      <c r="BG22" s="14" t="str">
        <f>IF(AND(AB22=1,AP22&gt;0),AP22*(K22-1),IF(AND(AB22=0,AP22&gt;0),-AP22,""))</f>
        <v/>
      </c>
      <c r="BH22" s="14" t="str">
        <f>IF(AND(AC22=1,AQ22&gt;0),AQ22*(L22-1),IF(AND(AC22=0,AQ22&gt;0),-AQ22,""))</f>
        <v/>
      </c>
      <c r="BI22" s="14" t="str">
        <f>IF(AND(AD22=1,AR22&gt;0),AR22*(M22-1),IF(AND(AD22=0,AR22&gt;0),-AR22,""))</f>
        <v/>
      </c>
      <c r="BJ22" s="13">
        <f>IF(AND(AE22=1,AS22&gt;0),AS22*(N22-1),IF(AND(AE22=0,AS22&gt;0),-AS22,""))</f>
        <v>4.8574129999999993</v>
      </c>
      <c r="BK22" s="13" t="str">
        <f>IF(AND(AX22=1,P22&gt;0),P22,IF(AND(AX22=0,P22&gt;0),-P22,""))</f>
        <v/>
      </c>
      <c r="BL22" s="13">
        <f t="shared" si="19"/>
        <v>45.5</v>
      </c>
      <c r="BM22" s="13">
        <f t="shared" si="23"/>
        <v>1028.7</v>
      </c>
      <c r="BN22" s="16">
        <f t="shared" si="24"/>
        <v>16</v>
      </c>
    </row>
    <row r="23" spans="1:66" x14ac:dyDescent="0.25">
      <c r="A23" s="2">
        <f t="shared" si="20"/>
        <v>17</v>
      </c>
      <c r="B23" s="5">
        <v>6</v>
      </c>
      <c r="C23" s="5">
        <v>4.2</v>
      </c>
      <c r="D23" s="5">
        <v>1.6</v>
      </c>
      <c r="E23" s="5">
        <v>1.8</v>
      </c>
      <c r="F23" s="5">
        <v>1.95</v>
      </c>
      <c r="G23" s="5">
        <v>1.25</v>
      </c>
      <c r="H23" s="5">
        <v>4</v>
      </c>
      <c r="I23" s="5">
        <v>1.8</v>
      </c>
      <c r="J23" s="5">
        <v>2</v>
      </c>
      <c r="K23" s="5">
        <v>17</v>
      </c>
      <c r="L23" s="5">
        <v>19</v>
      </c>
      <c r="M23" s="5">
        <v>8</v>
      </c>
      <c r="N23" s="5">
        <v>1.2470114000000001</v>
      </c>
      <c r="P23">
        <v>17</v>
      </c>
      <c r="Q23" s="2">
        <v>0</v>
      </c>
      <c r="R23" s="2">
        <v>2</v>
      </c>
      <c r="S23">
        <f t="shared" si="5"/>
        <v>0</v>
      </c>
      <c r="T23">
        <f t="shared" si="6"/>
        <v>0</v>
      </c>
      <c r="U23">
        <f t="shared" si="7"/>
        <v>1</v>
      </c>
      <c r="V23">
        <f t="shared" si="8"/>
        <v>0</v>
      </c>
      <c r="W23">
        <f t="shared" si="9"/>
        <v>1</v>
      </c>
      <c r="X23">
        <f t="shared" si="10"/>
        <v>1</v>
      </c>
      <c r="Y23">
        <f t="shared" si="11"/>
        <v>0</v>
      </c>
      <c r="Z23">
        <f t="shared" si="12"/>
        <v>0</v>
      </c>
      <c r="AA23">
        <f t="shared" si="13"/>
        <v>1</v>
      </c>
      <c r="AB23">
        <f t="shared" si="14"/>
        <v>0</v>
      </c>
      <c r="AC23" s="22">
        <f t="shared" si="15"/>
        <v>0</v>
      </c>
      <c r="AD23">
        <f t="shared" si="16"/>
        <v>0</v>
      </c>
      <c r="AE23">
        <f t="shared" si="17"/>
        <v>1</v>
      </c>
      <c r="AF23" s="2">
        <f t="shared" si="21"/>
        <v>17</v>
      </c>
      <c r="AG23">
        <v>0</v>
      </c>
      <c r="AH23">
        <v>0</v>
      </c>
      <c r="AI23">
        <v>10</v>
      </c>
      <c r="AJ23">
        <v>0</v>
      </c>
      <c r="AK23">
        <v>10</v>
      </c>
      <c r="AL23">
        <v>10</v>
      </c>
      <c r="AM23">
        <v>0</v>
      </c>
      <c r="AN23">
        <v>0</v>
      </c>
      <c r="AO23">
        <v>10</v>
      </c>
      <c r="AP23">
        <v>0</v>
      </c>
      <c r="AQ23">
        <v>0</v>
      </c>
      <c r="AR23">
        <v>0</v>
      </c>
      <c r="AS23">
        <v>10</v>
      </c>
      <c r="AU23">
        <f t="shared" si="18"/>
        <v>40</v>
      </c>
      <c r="AW23" s="2">
        <f t="shared" si="22"/>
        <v>17</v>
      </c>
      <c r="AX23" s="14" t="str">
        <f>IF(AND(S23=1,AG23&gt;0),AG23*(B23-1),IF(AND(S23=0,AG23&gt;0),-AG23,""))</f>
        <v/>
      </c>
      <c r="AY23" s="14" t="str">
        <f>IF(AND(T23=1,AH23&gt;0),AH23*(C23-1),IF(AND(T23=0,AH23&gt;0),-AH23,""))</f>
        <v/>
      </c>
      <c r="AZ23" s="14">
        <f>IF(AND(U23=1,AI23&gt;0),AI23*(D23-1),IF(AND(U23=0,AI23&gt;0),-AI23,""))</f>
        <v>6.0000000000000009</v>
      </c>
      <c r="BA23" s="15" t="str">
        <f>IF(AND(V23=1,AJ23&gt;0),AJ23*(E23-1),IF(AND(V23=0,AJ23&gt;0),-AJ23,""))</f>
        <v/>
      </c>
      <c r="BB23" s="15">
        <f>IF(AND(W23=1,AK23&gt;0),AK23*(F23-1),IF(AND(W23=0,AK23&gt;0),-AK23,""))</f>
        <v>9.5</v>
      </c>
      <c r="BC23" s="14">
        <f>IF(AND(X23=1,AL23&gt;0),AL23*(G23-1),IF(AND(X23=0,AL23&gt;0),-AL23,""))</f>
        <v>2.5</v>
      </c>
      <c r="BD23" s="14" t="str">
        <f>IF(AND(Y23=1,AM23&gt;0),AM23*(H23-1),IF(AND(Y23=0,AM23&gt;0),-AM23,""))</f>
        <v/>
      </c>
      <c r="BE23" s="15" t="str">
        <f>IF(AND(Z23=1,AN23&gt;0),AN23*(I23-1),IF(AND(Z23=0,AN23&gt;0),-AN23,""))</f>
        <v/>
      </c>
      <c r="BF23" s="15">
        <f>IF(AND(AA23=1,AO23&gt;0),AO23*(J23-1),IF(AND(AA23=0,AO23&gt;0),-AO23,""))</f>
        <v>10</v>
      </c>
      <c r="BG23" s="14" t="str">
        <f>IF(AND(AB23=1,AP23&gt;0),AP23*(K23-1),IF(AND(AB23=0,AP23&gt;0),-AP23,""))</f>
        <v/>
      </c>
      <c r="BH23" s="14" t="str">
        <f>IF(AND(AC23=1,AQ23&gt;0),AQ23*(L23-1),IF(AND(AC23=0,AQ23&gt;0),-AQ23,""))</f>
        <v/>
      </c>
      <c r="BI23" s="14" t="str">
        <f>IF(AND(AD23=1,AR23&gt;0),AR23*(M23-1),IF(AND(AD23=0,AR23&gt;0),-AR23,""))</f>
        <v/>
      </c>
      <c r="BJ23" s="11">
        <f>IF(AND(AE23=1,AS23&gt;0),AS23*(N23-1),IF(AND(AE23=0,AS23&gt;0),-AS23,""))</f>
        <v>2.470114000000001</v>
      </c>
      <c r="BK23" s="9" t="str">
        <f>IF(AND(AX23=1,P23&gt;0),P23,IF(AND(AX23=0,P23&gt;0),-P23,""))</f>
        <v/>
      </c>
      <c r="BL23" s="9">
        <f t="shared" si="19"/>
        <v>28</v>
      </c>
      <c r="BM23" s="9">
        <f t="shared" si="23"/>
        <v>1056.7</v>
      </c>
      <c r="BN23" s="2">
        <f t="shared" si="24"/>
        <v>17</v>
      </c>
    </row>
    <row r="24" spans="1:66" s="18" customFormat="1" x14ac:dyDescent="0.25">
      <c r="A24" s="16">
        <f t="shared" si="20"/>
        <v>18</v>
      </c>
      <c r="B24" s="17">
        <v>2.4500000000000002</v>
      </c>
      <c r="C24" s="17">
        <v>3.1</v>
      </c>
      <c r="D24" s="17">
        <v>3.4</v>
      </c>
      <c r="E24" s="17">
        <v>2.0499999999999998</v>
      </c>
      <c r="F24" s="17">
        <v>1.7</v>
      </c>
      <c r="G24" s="17">
        <v>1.5</v>
      </c>
      <c r="H24" s="17">
        <v>2.62</v>
      </c>
      <c r="I24" s="17">
        <v>2.5</v>
      </c>
      <c r="J24" s="17">
        <v>1.53</v>
      </c>
      <c r="K24" s="17">
        <v>7</v>
      </c>
      <c r="L24" s="17">
        <v>11</v>
      </c>
      <c r="M24" s="17">
        <v>6</v>
      </c>
      <c r="N24" s="17">
        <v>1.5492208999999999</v>
      </c>
      <c r="P24" s="18">
        <v>18</v>
      </c>
      <c r="Q24" s="16">
        <v>1</v>
      </c>
      <c r="R24" s="16">
        <v>2</v>
      </c>
      <c r="S24" s="18">
        <f t="shared" si="5"/>
        <v>0</v>
      </c>
      <c r="T24" s="18">
        <f t="shared" si="6"/>
        <v>0</v>
      </c>
      <c r="U24" s="18">
        <f t="shared" si="7"/>
        <v>1</v>
      </c>
      <c r="V24" s="18">
        <f t="shared" si="8"/>
        <v>1</v>
      </c>
      <c r="W24" s="18">
        <f t="shared" si="9"/>
        <v>0</v>
      </c>
      <c r="X24" s="18">
        <f t="shared" si="10"/>
        <v>1</v>
      </c>
      <c r="Y24" s="18">
        <f t="shared" si="11"/>
        <v>0</v>
      </c>
      <c r="Z24" s="18">
        <f t="shared" si="12"/>
        <v>1</v>
      </c>
      <c r="AA24" s="18">
        <f t="shared" si="13"/>
        <v>0</v>
      </c>
      <c r="AB24" s="18">
        <f t="shared" si="14"/>
        <v>0</v>
      </c>
      <c r="AC24" s="18">
        <f t="shared" si="15"/>
        <v>0</v>
      </c>
      <c r="AD24" s="18">
        <f t="shared" si="16"/>
        <v>0</v>
      </c>
      <c r="AE24" s="18">
        <f t="shared" si="17"/>
        <v>1</v>
      </c>
      <c r="AF24" s="16">
        <f t="shared" si="21"/>
        <v>18</v>
      </c>
      <c r="AG24" s="18">
        <v>0</v>
      </c>
      <c r="AH24" s="18">
        <v>0</v>
      </c>
      <c r="AI24" s="18">
        <v>10</v>
      </c>
      <c r="AJ24" s="18">
        <v>10</v>
      </c>
      <c r="AK24" s="18">
        <v>0</v>
      </c>
      <c r="AL24" s="18">
        <v>10</v>
      </c>
      <c r="AM24" s="18">
        <v>0</v>
      </c>
      <c r="AN24" s="18">
        <v>10</v>
      </c>
      <c r="AO24" s="18">
        <v>0</v>
      </c>
      <c r="AP24" s="18">
        <v>0</v>
      </c>
      <c r="AQ24" s="18">
        <v>0</v>
      </c>
      <c r="AR24" s="18">
        <v>0</v>
      </c>
      <c r="AS24" s="18">
        <v>10</v>
      </c>
      <c r="AU24" s="18">
        <f t="shared" si="18"/>
        <v>40</v>
      </c>
      <c r="AW24" s="16">
        <f t="shared" si="22"/>
        <v>18</v>
      </c>
      <c r="AX24" s="14" t="str">
        <f>IF(AND(S24=1,AG24&gt;0),AG24*(B24-1),IF(AND(S24=0,AG24&gt;0),-AG24,""))</f>
        <v/>
      </c>
      <c r="AY24" s="14" t="str">
        <f>IF(AND(T24=1,AH24&gt;0),AH24*(C24-1),IF(AND(T24=0,AH24&gt;0),-AH24,""))</f>
        <v/>
      </c>
      <c r="AZ24" s="14">
        <f>IF(AND(U24=1,AI24&gt;0),AI24*(D24-1),IF(AND(U24=0,AI24&gt;0),-AI24,""))</f>
        <v>24</v>
      </c>
      <c r="BA24" s="14">
        <f>IF(AND(V24=1,AJ24&gt;0),AJ24*(E24-1),IF(AND(V24=0,AJ24&gt;0),-AJ24,""))</f>
        <v>10.499999999999998</v>
      </c>
      <c r="BB24" s="14" t="str">
        <f>IF(AND(W24=1,AK24&gt;0),AK24*(F24-1),IF(AND(W24=0,AK24&gt;0),-AK24,""))</f>
        <v/>
      </c>
      <c r="BC24" s="14">
        <f>IF(AND(X24=1,AL24&gt;0),AL24*(G24-1),IF(AND(X24=0,AL24&gt;0),-AL24,""))</f>
        <v>5</v>
      </c>
      <c r="BD24" s="14" t="str">
        <f>IF(AND(Y24=1,AM24&gt;0),AM24*(H24-1),IF(AND(Y24=0,AM24&gt;0),-AM24,""))</f>
        <v/>
      </c>
      <c r="BE24" s="14">
        <f>IF(AND(Z24=1,AN24&gt;0),AN24*(I24-1),IF(AND(Z24=0,AN24&gt;0),-AN24,""))</f>
        <v>15</v>
      </c>
      <c r="BF24" s="14" t="str">
        <f>IF(AND(AA24=1,AO24&gt;0),AO24*(J24-1),IF(AND(AA24=0,AO24&gt;0),-AO24,""))</f>
        <v/>
      </c>
      <c r="BG24" s="14" t="str">
        <f>IF(AND(AB24=1,AP24&gt;0),AP24*(K24-1),IF(AND(AB24=0,AP24&gt;0),-AP24,""))</f>
        <v/>
      </c>
      <c r="BH24" s="14" t="str">
        <f>IF(AND(AC24=1,AQ24&gt;0),AQ24*(L24-1),IF(AND(AC24=0,AQ24&gt;0),-AQ24,""))</f>
        <v/>
      </c>
      <c r="BI24" s="14" t="str">
        <f>IF(AND(AD24=1,AR24&gt;0),AR24*(M24-1),IF(AND(AD24=0,AR24&gt;0),-AR24,""))</f>
        <v/>
      </c>
      <c r="BJ24" s="13">
        <f>IF(AND(AE24=1,AS24&gt;0),AS24*(N24-1),IF(AND(AE24=0,AS24&gt;0),-AS24,""))</f>
        <v>5.492208999999999</v>
      </c>
      <c r="BK24" s="13" t="str">
        <f>IF(AND(AX24=1,P24&gt;0),P24,IF(AND(AX24=0,P24&gt;0),-P24,""))</f>
        <v/>
      </c>
      <c r="BL24" s="13">
        <f t="shared" si="19"/>
        <v>54.5</v>
      </c>
      <c r="BM24" s="13">
        <f t="shared" si="23"/>
        <v>1111.2</v>
      </c>
      <c r="BN24" s="16">
        <f t="shared" si="24"/>
        <v>18</v>
      </c>
    </row>
    <row r="25" spans="1:66" x14ac:dyDescent="0.25">
      <c r="A25" s="2">
        <f t="shared" si="20"/>
        <v>19</v>
      </c>
      <c r="B25" s="5">
        <v>1.28</v>
      </c>
      <c r="C25" s="5">
        <v>6</v>
      </c>
      <c r="D25" s="5">
        <v>13</v>
      </c>
      <c r="E25" s="5">
        <v>1.95</v>
      </c>
      <c r="F25" s="5">
        <v>1.8</v>
      </c>
      <c r="G25" s="5">
        <v>1.1599999999999999</v>
      </c>
      <c r="H25" s="5">
        <v>5</v>
      </c>
      <c r="I25" s="5">
        <v>1.53</v>
      </c>
      <c r="J25" s="5">
        <v>2.5</v>
      </c>
      <c r="K25" s="5">
        <v>8</v>
      </c>
      <c r="L25" s="5">
        <v>9</v>
      </c>
      <c r="M25" s="5">
        <v>12</v>
      </c>
      <c r="N25" s="5">
        <v>1.3792230999999999</v>
      </c>
      <c r="P25">
        <v>19</v>
      </c>
      <c r="Q25" s="2">
        <v>0</v>
      </c>
      <c r="R25" s="2">
        <v>0</v>
      </c>
      <c r="S25">
        <f t="shared" si="5"/>
        <v>0</v>
      </c>
      <c r="T25">
        <f t="shared" si="6"/>
        <v>1</v>
      </c>
      <c r="U25">
        <f t="shared" si="7"/>
        <v>0</v>
      </c>
      <c r="V25">
        <f t="shared" si="8"/>
        <v>0</v>
      </c>
      <c r="W25">
        <f t="shared" si="9"/>
        <v>1</v>
      </c>
      <c r="X25">
        <f t="shared" si="10"/>
        <v>0</v>
      </c>
      <c r="Y25">
        <f t="shared" si="11"/>
        <v>1</v>
      </c>
      <c r="Z25">
        <f t="shared" si="12"/>
        <v>0</v>
      </c>
      <c r="AA25">
        <f t="shared" si="13"/>
        <v>1</v>
      </c>
      <c r="AB25">
        <f t="shared" si="14"/>
        <v>0</v>
      </c>
      <c r="AC25" s="22">
        <f t="shared" si="15"/>
        <v>0</v>
      </c>
      <c r="AD25">
        <f t="shared" si="16"/>
        <v>0</v>
      </c>
      <c r="AE25">
        <f t="shared" si="17"/>
        <v>1</v>
      </c>
      <c r="AF25" s="2">
        <f t="shared" si="21"/>
        <v>19</v>
      </c>
      <c r="AG25">
        <v>0</v>
      </c>
      <c r="AH25">
        <v>10</v>
      </c>
      <c r="AI25">
        <v>0</v>
      </c>
      <c r="AJ25">
        <v>0</v>
      </c>
      <c r="AK25">
        <v>10</v>
      </c>
      <c r="AL25">
        <v>0</v>
      </c>
      <c r="AM25">
        <v>10</v>
      </c>
      <c r="AN25">
        <v>0</v>
      </c>
      <c r="AO25">
        <v>10</v>
      </c>
      <c r="AP25">
        <v>0</v>
      </c>
      <c r="AQ25">
        <v>0</v>
      </c>
      <c r="AR25">
        <v>0</v>
      </c>
      <c r="AS25">
        <v>10</v>
      </c>
      <c r="AU25">
        <f t="shared" si="18"/>
        <v>40</v>
      </c>
      <c r="AW25" s="2">
        <f t="shared" si="22"/>
        <v>19</v>
      </c>
      <c r="AX25" s="14" t="str">
        <f>IF(AND(S25=1,AG25&gt;0),AG25*(B25-1),IF(AND(S25=0,AG25&gt;0),-AG25,""))</f>
        <v/>
      </c>
      <c r="AY25" s="14">
        <f>IF(AND(T25=1,AH25&gt;0),AH25*(C25-1),IF(AND(T25=0,AH25&gt;0),-AH25,""))</f>
        <v>50</v>
      </c>
      <c r="AZ25" s="14" t="str">
        <f>IF(AND(U25=1,AI25&gt;0),AI25*(D25-1),IF(AND(U25=0,AI25&gt;0),-AI25,""))</f>
        <v/>
      </c>
      <c r="BA25" s="15" t="str">
        <f>IF(AND(V25=1,AJ25&gt;0),AJ25*(E25-1),IF(AND(V25=0,AJ25&gt;0),-AJ25,""))</f>
        <v/>
      </c>
      <c r="BB25" s="15">
        <f>IF(AND(W25=1,AK25&gt;0),AK25*(F25-1),IF(AND(W25=0,AK25&gt;0),-AK25,""))</f>
        <v>8</v>
      </c>
      <c r="BC25" s="14" t="str">
        <f>IF(AND(X25=1,AL25&gt;0),AL25*(G25-1),IF(AND(X25=0,AL25&gt;0),-AL25,""))</f>
        <v/>
      </c>
      <c r="BD25" s="14">
        <f>IF(AND(Y25=1,AM25&gt;0),AM25*(H25-1),IF(AND(Y25=0,AM25&gt;0),-AM25,""))</f>
        <v>40</v>
      </c>
      <c r="BE25" s="15" t="str">
        <f>IF(AND(Z25=1,AN25&gt;0),AN25*(I25-1),IF(AND(Z25=0,AN25&gt;0),-AN25,""))</f>
        <v/>
      </c>
      <c r="BF25" s="15">
        <f>IF(AND(AA25=1,AO25&gt;0),AO25*(J25-1),IF(AND(AA25=0,AO25&gt;0),-AO25,""))</f>
        <v>15</v>
      </c>
      <c r="BG25" s="14" t="str">
        <f>IF(AND(AB25=1,AP25&gt;0),AP25*(K25-1),IF(AND(AB25=0,AP25&gt;0),-AP25,""))</f>
        <v/>
      </c>
      <c r="BH25" s="14" t="str">
        <f>IF(AND(AC25=1,AQ25&gt;0),AQ25*(L25-1),IF(AND(AC25=0,AQ25&gt;0),-AQ25,""))</f>
        <v/>
      </c>
      <c r="BI25" s="14" t="str">
        <f>IF(AND(AD25=1,AR25&gt;0),AR25*(M25-1),IF(AND(AD25=0,AR25&gt;0),-AR25,""))</f>
        <v/>
      </c>
      <c r="BJ25" s="11">
        <f>IF(AND(AE25=1,AS25&gt;0),AS25*(N25-1),IF(AND(AE25=0,AS25&gt;0),-AS25,""))</f>
        <v>3.7922309999999992</v>
      </c>
      <c r="BK25" s="9" t="str">
        <f>IF(AND(AX25=1,P25&gt;0),P25,IF(AND(AX25=0,P25&gt;0),-P25,""))</f>
        <v/>
      </c>
      <c r="BL25" s="9">
        <f t="shared" si="19"/>
        <v>113</v>
      </c>
      <c r="BM25" s="9">
        <f t="shared" si="23"/>
        <v>1224.2</v>
      </c>
      <c r="BN25" s="2">
        <f t="shared" si="24"/>
        <v>19</v>
      </c>
    </row>
    <row r="26" spans="1:66" s="18" customFormat="1" x14ac:dyDescent="0.25">
      <c r="A26" s="16">
        <f t="shared" si="20"/>
        <v>20</v>
      </c>
      <c r="B26" s="17">
        <v>2.5499999999999998</v>
      </c>
      <c r="C26" s="17">
        <v>3.6</v>
      </c>
      <c r="D26" s="17">
        <v>2.8</v>
      </c>
      <c r="E26" s="17">
        <v>1.53</v>
      </c>
      <c r="F26" s="17">
        <v>2.37</v>
      </c>
      <c r="G26" s="17">
        <v>1.2</v>
      </c>
      <c r="H26" s="17">
        <v>4.5</v>
      </c>
      <c r="I26" s="17">
        <v>1.66</v>
      </c>
      <c r="J26" s="17">
        <v>2.2000000000000002</v>
      </c>
      <c r="K26" s="17">
        <v>12</v>
      </c>
      <c r="L26" s="17">
        <v>11</v>
      </c>
      <c r="M26" s="17">
        <v>7</v>
      </c>
      <c r="N26" s="17">
        <v>1.3754286</v>
      </c>
      <c r="P26" s="18">
        <v>20</v>
      </c>
      <c r="Q26" s="16">
        <v>3</v>
      </c>
      <c r="R26" s="16">
        <v>3</v>
      </c>
      <c r="S26" s="18">
        <f t="shared" si="5"/>
        <v>0</v>
      </c>
      <c r="T26" s="18">
        <f t="shared" si="6"/>
        <v>1</v>
      </c>
      <c r="U26" s="18">
        <f t="shared" si="7"/>
        <v>0</v>
      </c>
      <c r="V26" s="18">
        <f t="shared" si="8"/>
        <v>1</v>
      </c>
      <c r="W26" s="18">
        <f t="shared" si="9"/>
        <v>0</v>
      </c>
      <c r="X26" s="18">
        <f t="shared" si="10"/>
        <v>1</v>
      </c>
      <c r="Y26" s="18">
        <f t="shared" si="11"/>
        <v>0</v>
      </c>
      <c r="Z26" s="18">
        <f t="shared" si="12"/>
        <v>1</v>
      </c>
      <c r="AA26" s="18">
        <f t="shared" si="13"/>
        <v>0</v>
      </c>
      <c r="AB26" s="18">
        <f t="shared" si="14"/>
        <v>0</v>
      </c>
      <c r="AC26" s="18">
        <f t="shared" si="15"/>
        <v>0</v>
      </c>
      <c r="AD26" s="18">
        <f t="shared" si="16"/>
        <v>0</v>
      </c>
      <c r="AE26" s="18">
        <f t="shared" si="17"/>
        <v>1</v>
      </c>
      <c r="AF26" s="16">
        <f t="shared" si="21"/>
        <v>20</v>
      </c>
      <c r="AG26" s="18">
        <v>0</v>
      </c>
      <c r="AH26" s="18">
        <v>10</v>
      </c>
      <c r="AI26" s="18">
        <v>0</v>
      </c>
      <c r="AJ26" s="18">
        <v>10</v>
      </c>
      <c r="AK26" s="18">
        <v>0</v>
      </c>
      <c r="AL26" s="18">
        <v>10</v>
      </c>
      <c r="AM26" s="18">
        <v>0</v>
      </c>
      <c r="AN26" s="18">
        <v>10</v>
      </c>
      <c r="AO26" s="18">
        <v>0</v>
      </c>
      <c r="AP26" s="18">
        <v>0</v>
      </c>
      <c r="AQ26" s="18">
        <v>0</v>
      </c>
      <c r="AR26" s="18">
        <v>0</v>
      </c>
      <c r="AS26" s="18">
        <v>10</v>
      </c>
      <c r="AU26" s="18">
        <f t="shared" si="18"/>
        <v>40</v>
      </c>
      <c r="AW26" s="16">
        <f t="shared" si="22"/>
        <v>20</v>
      </c>
      <c r="AX26" s="14" t="str">
        <f>IF(AND(S26=1,AG26&gt;0),AG26*(B26-1),IF(AND(S26=0,AG26&gt;0),-AG26,""))</f>
        <v/>
      </c>
      <c r="AY26" s="14">
        <f>IF(AND(T26=1,AH26&gt;0),AH26*(C26-1),IF(AND(T26=0,AH26&gt;0),-AH26,""))</f>
        <v>26</v>
      </c>
      <c r="AZ26" s="14" t="str">
        <f>IF(AND(U26=1,AI26&gt;0),AI26*(D26-1),IF(AND(U26=0,AI26&gt;0),-AI26,""))</f>
        <v/>
      </c>
      <c r="BA26" s="14">
        <f>IF(AND(V26=1,AJ26&gt;0),AJ26*(E26-1),IF(AND(V26=0,AJ26&gt;0),-AJ26,""))</f>
        <v>5.3000000000000007</v>
      </c>
      <c r="BB26" s="14" t="str">
        <f>IF(AND(W26=1,AK26&gt;0),AK26*(F26-1),IF(AND(W26=0,AK26&gt;0),-AK26,""))</f>
        <v/>
      </c>
      <c r="BC26" s="14">
        <f>IF(AND(X26=1,AL26&gt;0),AL26*(G26-1),IF(AND(X26=0,AL26&gt;0),-AL26,""))</f>
        <v>1.9999999999999996</v>
      </c>
      <c r="BD26" s="14" t="str">
        <f>IF(AND(Y26=1,AM26&gt;0),AM26*(H26-1),IF(AND(Y26=0,AM26&gt;0),-AM26,""))</f>
        <v/>
      </c>
      <c r="BE26" s="14">
        <f>IF(AND(Z26=1,AN26&gt;0),AN26*(I26-1),IF(AND(Z26=0,AN26&gt;0),-AN26,""))</f>
        <v>6.6</v>
      </c>
      <c r="BF26" s="14" t="str">
        <f>IF(AND(AA26=1,AO26&gt;0),AO26*(J26-1),IF(AND(AA26=0,AO26&gt;0),-AO26,""))</f>
        <v/>
      </c>
      <c r="BG26" s="14" t="str">
        <f>IF(AND(AB26=1,AP26&gt;0),AP26*(K26-1),IF(AND(AB26=0,AP26&gt;0),-AP26,""))</f>
        <v/>
      </c>
      <c r="BH26" s="14" t="str">
        <f>IF(AND(AC26=1,AQ26&gt;0),AQ26*(L26-1),IF(AND(AC26=0,AQ26&gt;0),-AQ26,""))</f>
        <v/>
      </c>
      <c r="BI26" s="14" t="str">
        <f>IF(AND(AD26=1,AR26&gt;0),AR26*(M26-1),IF(AND(AD26=0,AR26&gt;0),-AR26,""))</f>
        <v/>
      </c>
      <c r="BJ26" s="13">
        <f>IF(AND(AE26=1,AS26&gt;0),AS26*(N26-1),IF(AND(AE26=0,AS26&gt;0),-AS26,""))</f>
        <v>3.754286</v>
      </c>
      <c r="BK26" s="13" t="str">
        <f>IF(AND(AX26=1,P26&gt;0),P26,IF(AND(AX26=0,P26&gt;0),-P26,""))</f>
        <v/>
      </c>
      <c r="BL26" s="13">
        <f t="shared" si="19"/>
        <v>39.9</v>
      </c>
      <c r="BM26" s="13">
        <f t="shared" si="23"/>
        <v>1264.1000000000001</v>
      </c>
      <c r="BN26" s="16">
        <f t="shared" si="24"/>
        <v>20</v>
      </c>
    </row>
    <row r="27" spans="1:66" x14ac:dyDescent="0.25">
      <c r="A27" s="2">
        <f t="shared" si="20"/>
        <v>21</v>
      </c>
      <c r="B27" s="5">
        <v>4.75</v>
      </c>
      <c r="C27" s="5">
        <v>4</v>
      </c>
      <c r="D27" s="5">
        <v>1.7</v>
      </c>
      <c r="E27" s="5">
        <v>1.53</v>
      </c>
      <c r="F27" s="5">
        <v>2.37</v>
      </c>
      <c r="G27" s="5">
        <v>1.1599999999999999</v>
      </c>
      <c r="H27" s="5">
        <v>5</v>
      </c>
      <c r="I27" s="5">
        <v>1.53</v>
      </c>
      <c r="J27" s="5">
        <v>2.5</v>
      </c>
      <c r="K27" s="5">
        <v>19</v>
      </c>
      <c r="L27" s="5">
        <v>15</v>
      </c>
      <c r="M27" s="5">
        <v>7.5</v>
      </c>
      <c r="N27" s="5">
        <v>1.2705854999999999</v>
      </c>
      <c r="P27">
        <v>21</v>
      </c>
      <c r="Q27" s="2">
        <v>2</v>
      </c>
      <c r="R27" s="2">
        <v>2</v>
      </c>
      <c r="S27">
        <f t="shared" si="5"/>
        <v>0</v>
      </c>
      <c r="T27">
        <f t="shared" si="6"/>
        <v>1</v>
      </c>
      <c r="U27">
        <f t="shared" si="7"/>
        <v>0</v>
      </c>
      <c r="V27">
        <f t="shared" si="8"/>
        <v>1</v>
      </c>
      <c r="W27">
        <f t="shared" si="9"/>
        <v>0</v>
      </c>
      <c r="X27">
        <f t="shared" si="10"/>
        <v>1</v>
      </c>
      <c r="Y27">
        <f t="shared" si="11"/>
        <v>0</v>
      </c>
      <c r="Z27">
        <f t="shared" si="12"/>
        <v>1</v>
      </c>
      <c r="AA27">
        <f t="shared" si="13"/>
        <v>0</v>
      </c>
      <c r="AB27">
        <f t="shared" si="14"/>
        <v>0</v>
      </c>
      <c r="AC27" s="22">
        <f t="shared" si="15"/>
        <v>0</v>
      </c>
      <c r="AD27">
        <f t="shared" si="16"/>
        <v>0</v>
      </c>
      <c r="AE27">
        <f t="shared" si="17"/>
        <v>1</v>
      </c>
      <c r="AF27" s="2">
        <f t="shared" si="21"/>
        <v>21</v>
      </c>
      <c r="AG27">
        <v>0</v>
      </c>
      <c r="AH27">
        <v>10</v>
      </c>
      <c r="AI27">
        <v>0</v>
      </c>
      <c r="AJ27">
        <v>10</v>
      </c>
      <c r="AK27">
        <v>0</v>
      </c>
      <c r="AL27">
        <v>10</v>
      </c>
      <c r="AM27">
        <v>0</v>
      </c>
      <c r="AN27">
        <v>10</v>
      </c>
      <c r="AO27">
        <v>0</v>
      </c>
      <c r="AP27">
        <v>0</v>
      </c>
      <c r="AQ27">
        <v>0</v>
      </c>
      <c r="AR27">
        <v>0</v>
      </c>
      <c r="AS27">
        <v>10</v>
      </c>
      <c r="AU27">
        <f t="shared" si="18"/>
        <v>40</v>
      </c>
      <c r="AW27" s="2">
        <f t="shared" si="22"/>
        <v>21</v>
      </c>
      <c r="AX27" s="14" t="str">
        <f>IF(AND(S27=1,AG27&gt;0),AG27*(B27-1),IF(AND(S27=0,AG27&gt;0),-AG27,""))</f>
        <v/>
      </c>
      <c r="AY27" s="14">
        <f>IF(AND(T27=1,AH27&gt;0),AH27*(C27-1),IF(AND(T27=0,AH27&gt;0),-AH27,""))</f>
        <v>30</v>
      </c>
      <c r="AZ27" s="14" t="str">
        <f>IF(AND(U27=1,AI27&gt;0),AI27*(D27-1),IF(AND(U27=0,AI27&gt;0),-AI27,""))</f>
        <v/>
      </c>
      <c r="BA27" s="15">
        <f>IF(AND(V27=1,AJ27&gt;0),AJ27*(E27-1),IF(AND(V27=0,AJ27&gt;0),-AJ27,""))</f>
        <v>5.3000000000000007</v>
      </c>
      <c r="BB27" s="15" t="str">
        <f>IF(AND(W27=1,AK27&gt;0),AK27*(F27-1),IF(AND(W27=0,AK27&gt;0),-AK27,""))</f>
        <v/>
      </c>
      <c r="BC27" s="14">
        <f>IF(AND(X27=1,AL27&gt;0),AL27*(G27-1),IF(AND(X27=0,AL27&gt;0),-AL27,""))</f>
        <v>1.5999999999999992</v>
      </c>
      <c r="BD27" s="14" t="str">
        <f>IF(AND(Y27=1,AM27&gt;0),AM27*(H27-1),IF(AND(Y27=0,AM27&gt;0),-AM27,""))</f>
        <v/>
      </c>
      <c r="BE27" s="15">
        <f>IF(AND(Z27=1,AN27&gt;0),AN27*(I27-1),IF(AND(Z27=0,AN27&gt;0),-AN27,""))</f>
        <v>5.3000000000000007</v>
      </c>
      <c r="BF27" s="15" t="str">
        <f>IF(AND(AA27=1,AO27&gt;0),AO27*(J27-1),IF(AND(AA27=0,AO27&gt;0),-AO27,""))</f>
        <v/>
      </c>
      <c r="BG27" s="14" t="str">
        <f>IF(AND(AB27=1,AP27&gt;0),AP27*(K27-1),IF(AND(AB27=0,AP27&gt;0),-AP27,""))</f>
        <v/>
      </c>
      <c r="BH27" s="14" t="str">
        <f>IF(AND(AC27=1,AQ27&gt;0),AQ27*(L27-1),IF(AND(AC27=0,AQ27&gt;0),-AQ27,""))</f>
        <v/>
      </c>
      <c r="BI27" s="14" t="str">
        <f>IF(AND(AD27=1,AR27&gt;0),AR27*(M27-1),IF(AND(AD27=0,AR27&gt;0),-AR27,""))</f>
        <v/>
      </c>
      <c r="BJ27" s="11">
        <f>IF(AND(AE27=1,AS27&gt;0),AS27*(N27-1),IF(AND(AE27=0,AS27&gt;0),-AS27,""))</f>
        <v>2.7058549999999992</v>
      </c>
      <c r="BK27" s="9" t="str">
        <f>IF(AND(AX27=1,P27&gt;0),P27,IF(AND(AX27=0,P27&gt;0),-P27,""))</f>
        <v/>
      </c>
      <c r="BL27" s="9">
        <f t="shared" si="19"/>
        <v>42.2</v>
      </c>
      <c r="BM27" s="9">
        <f t="shared" si="23"/>
        <v>1306.3000000000002</v>
      </c>
      <c r="BN27" s="2">
        <f t="shared" si="24"/>
        <v>21</v>
      </c>
    </row>
    <row r="28" spans="1:66" s="18" customFormat="1" x14ac:dyDescent="0.25">
      <c r="A28" s="16">
        <f t="shared" si="20"/>
        <v>22</v>
      </c>
      <c r="B28" s="17">
        <v>1.95</v>
      </c>
      <c r="C28" s="17">
        <v>3.9</v>
      </c>
      <c r="D28" s="17">
        <v>3.9</v>
      </c>
      <c r="E28" s="17">
        <v>1.57</v>
      </c>
      <c r="F28" s="17">
        <v>2.25</v>
      </c>
      <c r="G28" s="17">
        <v>1.2</v>
      </c>
      <c r="H28" s="17">
        <v>4.5</v>
      </c>
      <c r="I28" s="17">
        <v>1.66</v>
      </c>
      <c r="J28" s="17">
        <v>2.2000000000000002</v>
      </c>
      <c r="K28" s="17">
        <v>10</v>
      </c>
      <c r="L28" s="17">
        <v>9</v>
      </c>
      <c r="M28" s="17">
        <v>8</v>
      </c>
      <c r="N28" s="17">
        <v>1.410072</v>
      </c>
      <c r="P28" s="18">
        <v>22</v>
      </c>
      <c r="Q28" s="16">
        <v>2</v>
      </c>
      <c r="R28" s="16">
        <v>1</v>
      </c>
      <c r="S28" s="18">
        <f t="shared" si="5"/>
        <v>1</v>
      </c>
      <c r="T28" s="18">
        <f t="shared" si="6"/>
        <v>0</v>
      </c>
      <c r="U28" s="18">
        <f t="shared" si="7"/>
        <v>0</v>
      </c>
      <c r="V28" s="18">
        <f t="shared" si="8"/>
        <v>1</v>
      </c>
      <c r="W28" s="18">
        <f t="shared" si="9"/>
        <v>0</v>
      </c>
      <c r="X28" s="18">
        <f t="shared" si="10"/>
        <v>1</v>
      </c>
      <c r="Y28" s="18">
        <f t="shared" si="11"/>
        <v>0</v>
      </c>
      <c r="Z28" s="18">
        <f t="shared" si="12"/>
        <v>1</v>
      </c>
      <c r="AA28" s="18">
        <f t="shared" si="13"/>
        <v>0</v>
      </c>
      <c r="AB28" s="18">
        <f t="shared" si="14"/>
        <v>0</v>
      </c>
      <c r="AC28" s="18">
        <f t="shared" si="15"/>
        <v>1</v>
      </c>
      <c r="AD28" s="18">
        <f t="shared" si="16"/>
        <v>0</v>
      </c>
      <c r="AE28" s="18">
        <f t="shared" si="17"/>
        <v>0</v>
      </c>
      <c r="AF28" s="16">
        <f t="shared" si="21"/>
        <v>22</v>
      </c>
      <c r="AG28" s="18">
        <v>10</v>
      </c>
      <c r="AH28" s="18">
        <v>0</v>
      </c>
      <c r="AI28" s="18">
        <v>0</v>
      </c>
      <c r="AJ28" s="18">
        <v>10</v>
      </c>
      <c r="AK28" s="18">
        <v>0</v>
      </c>
      <c r="AL28" s="18">
        <v>10</v>
      </c>
      <c r="AM28" s="18">
        <v>0</v>
      </c>
      <c r="AN28" s="18">
        <v>10</v>
      </c>
      <c r="AO28" s="18">
        <v>0</v>
      </c>
      <c r="AP28" s="18">
        <v>0</v>
      </c>
      <c r="AQ28" s="18">
        <v>10</v>
      </c>
      <c r="AR28" s="18">
        <v>0</v>
      </c>
      <c r="AS28" s="18">
        <v>0</v>
      </c>
      <c r="AU28" s="18">
        <f t="shared" si="18"/>
        <v>50</v>
      </c>
      <c r="AW28" s="16">
        <f t="shared" si="22"/>
        <v>22</v>
      </c>
      <c r="AX28" s="14">
        <f>IF(AND(S28=1,AG28&gt;0),AG28*(B28-1),IF(AND(S28=0,AG28&gt;0),-AG28,""))</f>
        <v>9.5</v>
      </c>
      <c r="AY28" s="14" t="str">
        <f>IF(AND(T28=1,AH28&gt;0),AH28*(C28-1),IF(AND(T28=0,AH28&gt;0),-AH28,""))</f>
        <v/>
      </c>
      <c r="AZ28" s="14" t="str">
        <f>IF(AND(U28=1,AI28&gt;0),AI28*(D28-1),IF(AND(U28=0,AI28&gt;0),-AI28,""))</f>
        <v/>
      </c>
      <c r="BA28" s="14">
        <f>IF(AND(V28=1,AJ28&gt;0),AJ28*(E28-1),IF(AND(V28=0,AJ28&gt;0),-AJ28,""))</f>
        <v>5.7000000000000011</v>
      </c>
      <c r="BB28" s="14" t="str">
        <f>IF(AND(W28=1,AK28&gt;0),AK28*(F28-1),IF(AND(W28=0,AK28&gt;0),-AK28,""))</f>
        <v/>
      </c>
      <c r="BC28" s="14">
        <f>IF(AND(X28=1,AL28&gt;0),AL28*(G28-1),IF(AND(X28=0,AL28&gt;0),-AL28,""))</f>
        <v>1.9999999999999996</v>
      </c>
      <c r="BD28" s="14" t="str">
        <f>IF(AND(Y28=1,AM28&gt;0),AM28*(H28-1),IF(AND(Y28=0,AM28&gt;0),-AM28,""))</f>
        <v/>
      </c>
      <c r="BE28" s="14">
        <f>IF(AND(Z28=1,AN28&gt;0),AN28*(I28-1),IF(AND(Z28=0,AN28&gt;0),-AN28,""))</f>
        <v>6.6</v>
      </c>
      <c r="BF28" s="14" t="str">
        <f>IF(AND(AA28=1,AO28&gt;0),AO28*(J28-1),IF(AND(AA28=0,AO28&gt;0),-AO28,""))</f>
        <v/>
      </c>
      <c r="BG28" s="14" t="str">
        <f>IF(AND(AB28=1,AP28&gt;0),AP28*(K28-1),IF(AND(AB28=0,AP28&gt;0),-AP28,""))</f>
        <v/>
      </c>
      <c r="BH28" s="14">
        <f>IF(AND(AC28=1,AQ28&gt;0),AQ28*(L28-1),IF(AND(AC28=0,AQ28&gt;0),-AQ28,""))</f>
        <v>80</v>
      </c>
      <c r="BI28" s="14" t="str">
        <f>IF(AND(AD28=1,AR28&gt;0),AR28*(M28-1),IF(AND(AD28=0,AR28&gt;0),-AR28,""))</f>
        <v/>
      </c>
      <c r="BJ28" s="13" t="str">
        <f>IF(AND(AE28=1,AS28&gt;0),AS28*(N28-1),IF(AND(AE28=0,AS28&gt;0),-AS28,""))</f>
        <v/>
      </c>
      <c r="BK28" s="13" t="str">
        <f>IF(AND(AX28=1,P28&gt;0),P28,IF(AND(AX28=0,P28&gt;0),-P28,""))</f>
        <v/>
      </c>
      <c r="BL28" s="13">
        <f t="shared" si="19"/>
        <v>103.8</v>
      </c>
      <c r="BM28" s="13">
        <f t="shared" si="23"/>
        <v>1410.1000000000001</v>
      </c>
      <c r="BN28" s="16">
        <f t="shared" si="24"/>
        <v>22</v>
      </c>
    </row>
    <row r="29" spans="1:66" x14ac:dyDescent="0.25">
      <c r="A29" s="2">
        <f t="shared" si="20"/>
        <v>23</v>
      </c>
      <c r="B29" s="5">
        <v>2.2000000000000002</v>
      </c>
      <c r="C29" s="5">
        <v>3.6</v>
      </c>
      <c r="D29" s="5">
        <v>3.1</v>
      </c>
      <c r="E29" s="5">
        <v>1.57</v>
      </c>
      <c r="F29" s="5">
        <v>2.25</v>
      </c>
      <c r="G29" s="5">
        <v>1.22</v>
      </c>
      <c r="H29" s="5">
        <v>4.33</v>
      </c>
      <c r="I29" s="5">
        <v>1.66</v>
      </c>
      <c r="J29" s="5">
        <v>2.2000000000000002</v>
      </c>
      <c r="K29" s="5">
        <v>10</v>
      </c>
      <c r="L29" s="5">
        <v>9</v>
      </c>
      <c r="M29" s="5">
        <v>7</v>
      </c>
      <c r="N29" s="5">
        <v>1.4455937000000001</v>
      </c>
      <c r="P29">
        <v>23</v>
      </c>
      <c r="Q29" s="2">
        <v>2</v>
      </c>
      <c r="R29" s="2">
        <v>2</v>
      </c>
      <c r="S29">
        <f t="shared" si="5"/>
        <v>0</v>
      </c>
      <c r="T29">
        <f t="shared" si="6"/>
        <v>1</v>
      </c>
      <c r="U29">
        <f t="shared" si="7"/>
        <v>0</v>
      </c>
      <c r="V29">
        <f t="shared" si="8"/>
        <v>1</v>
      </c>
      <c r="W29">
        <f t="shared" si="9"/>
        <v>0</v>
      </c>
      <c r="X29">
        <f t="shared" si="10"/>
        <v>1</v>
      </c>
      <c r="Y29">
        <f t="shared" si="11"/>
        <v>0</v>
      </c>
      <c r="Z29">
        <f t="shared" si="12"/>
        <v>1</v>
      </c>
      <c r="AA29">
        <f t="shared" si="13"/>
        <v>0</v>
      </c>
      <c r="AB29">
        <f t="shared" si="14"/>
        <v>0</v>
      </c>
      <c r="AC29" s="22">
        <f t="shared" si="15"/>
        <v>0</v>
      </c>
      <c r="AD29">
        <f t="shared" si="16"/>
        <v>0</v>
      </c>
      <c r="AE29">
        <f t="shared" si="17"/>
        <v>1</v>
      </c>
      <c r="AF29" s="2">
        <f t="shared" si="21"/>
        <v>23</v>
      </c>
      <c r="AG29">
        <v>0</v>
      </c>
      <c r="AH29">
        <v>10</v>
      </c>
      <c r="AI29">
        <v>0</v>
      </c>
      <c r="AJ29">
        <v>10</v>
      </c>
      <c r="AK29">
        <v>0</v>
      </c>
      <c r="AL29">
        <v>10</v>
      </c>
      <c r="AM29">
        <v>0</v>
      </c>
      <c r="AN29">
        <v>10</v>
      </c>
      <c r="AO29">
        <v>0</v>
      </c>
      <c r="AP29">
        <v>0</v>
      </c>
      <c r="AQ29">
        <v>0</v>
      </c>
      <c r="AR29">
        <v>0</v>
      </c>
      <c r="AS29">
        <v>10</v>
      </c>
      <c r="AU29">
        <f t="shared" si="18"/>
        <v>40</v>
      </c>
      <c r="AW29" s="2">
        <f t="shared" si="22"/>
        <v>23</v>
      </c>
      <c r="AX29" s="14" t="str">
        <f>IF(AND(S29=1,AG29&gt;0),AG29*(B29-1),IF(AND(S29=0,AG29&gt;0),-AG29,""))</f>
        <v/>
      </c>
      <c r="AY29" s="14">
        <f>IF(AND(T29=1,AH29&gt;0),AH29*(C29-1),IF(AND(T29=0,AH29&gt;0),-AH29,""))</f>
        <v>26</v>
      </c>
      <c r="AZ29" s="14" t="str">
        <f>IF(AND(U29=1,AI29&gt;0),AI29*(D29-1),IF(AND(U29=0,AI29&gt;0),-AI29,""))</f>
        <v/>
      </c>
      <c r="BA29" s="15">
        <f>IF(AND(V29=1,AJ29&gt;0),AJ29*(E29-1),IF(AND(V29=0,AJ29&gt;0),-AJ29,""))</f>
        <v>5.7000000000000011</v>
      </c>
      <c r="BB29" s="15" t="str">
        <f>IF(AND(W29=1,AK29&gt;0),AK29*(F29-1),IF(AND(W29=0,AK29&gt;0),-AK29,""))</f>
        <v/>
      </c>
      <c r="BC29" s="14">
        <f>IF(AND(X29=1,AL29&gt;0),AL29*(G29-1),IF(AND(X29=0,AL29&gt;0),-AL29,""))</f>
        <v>2.1999999999999997</v>
      </c>
      <c r="BD29" s="14" t="str">
        <f>IF(AND(Y29=1,AM29&gt;0),AM29*(H29-1),IF(AND(Y29=0,AM29&gt;0),-AM29,""))</f>
        <v/>
      </c>
      <c r="BE29" s="15">
        <f>IF(AND(Z29=1,AN29&gt;0),AN29*(I29-1),IF(AND(Z29=0,AN29&gt;0),-AN29,""))</f>
        <v>6.6</v>
      </c>
      <c r="BF29" s="15" t="str">
        <f>IF(AND(AA29=1,AO29&gt;0),AO29*(J29-1),IF(AND(AA29=0,AO29&gt;0),-AO29,""))</f>
        <v/>
      </c>
      <c r="BG29" s="14" t="str">
        <f>IF(AND(AB29=1,AP29&gt;0),AP29*(K29-1),IF(AND(AB29=0,AP29&gt;0),-AP29,""))</f>
        <v/>
      </c>
      <c r="BH29" s="14" t="str">
        <f>IF(AND(AC29=1,AQ29&gt;0),AQ29*(L29-1),IF(AND(AC29=0,AQ29&gt;0),-AQ29,""))</f>
        <v/>
      </c>
      <c r="BI29" s="14" t="str">
        <f>IF(AND(AD29=1,AR29&gt;0),AR29*(M29-1),IF(AND(AD29=0,AR29&gt;0),-AR29,""))</f>
        <v/>
      </c>
      <c r="BJ29" s="11">
        <f>IF(AND(AE29=1,AS29&gt;0),AS29*(N29-1),IF(AND(AE29=0,AS29&gt;0),-AS29,""))</f>
        <v>4.4559370000000005</v>
      </c>
      <c r="BK29" s="9" t="str">
        <f>IF(AND(AX29=1,P29&gt;0),P29,IF(AND(AX29=0,P29&gt;0),-P29,""))</f>
        <v/>
      </c>
      <c r="BL29" s="9">
        <f t="shared" si="19"/>
        <v>40.500000000000007</v>
      </c>
      <c r="BM29" s="9">
        <f t="shared" si="23"/>
        <v>1450.6000000000001</v>
      </c>
      <c r="BN29" s="2">
        <f t="shared" si="24"/>
        <v>23</v>
      </c>
    </row>
    <row r="30" spans="1:66" s="18" customFormat="1" x14ac:dyDescent="0.25">
      <c r="A30" s="16">
        <f t="shared" si="20"/>
        <v>24</v>
      </c>
      <c r="B30" s="17">
        <v>2</v>
      </c>
      <c r="C30" s="17">
        <v>3.2</v>
      </c>
      <c r="D30" s="17">
        <v>4.2</v>
      </c>
      <c r="E30" s="17">
        <v>2.2000000000000002</v>
      </c>
      <c r="F30" s="17">
        <v>1.61</v>
      </c>
      <c r="G30" s="17">
        <v>1.53</v>
      </c>
      <c r="H30" s="17">
        <v>2.5</v>
      </c>
      <c r="I30" s="17">
        <v>2.5</v>
      </c>
      <c r="J30" s="17">
        <v>1.53</v>
      </c>
      <c r="K30" s="17">
        <v>5.5</v>
      </c>
      <c r="L30" s="17">
        <v>9.5</v>
      </c>
      <c r="M30" s="17">
        <v>6</v>
      </c>
      <c r="N30" s="17">
        <v>1.6914796999999999</v>
      </c>
      <c r="P30" s="18">
        <v>24</v>
      </c>
      <c r="Q30" s="16">
        <v>1</v>
      </c>
      <c r="R30" s="16">
        <v>0</v>
      </c>
      <c r="S30" s="18">
        <f t="shared" si="5"/>
        <v>1</v>
      </c>
      <c r="T30" s="18">
        <f t="shared" si="6"/>
        <v>0</v>
      </c>
      <c r="U30" s="18">
        <f t="shared" si="7"/>
        <v>0</v>
      </c>
      <c r="V30" s="18">
        <f t="shared" si="8"/>
        <v>0</v>
      </c>
      <c r="W30" s="18">
        <f t="shared" si="9"/>
        <v>1</v>
      </c>
      <c r="X30" s="18">
        <f t="shared" si="10"/>
        <v>0</v>
      </c>
      <c r="Y30" s="18">
        <f t="shared" si="11"/>
        <v>1</v>
      </c>
      <c r="Z30" s="18">
        <f t="shared" si="12"/>
        <v>0</v>
      </c>
      <c r="AA30" s="18">
        <f t="shared" si="13"/>
        <v>1</v>
      </c>
      <c r="AB30" s="18">
        <f t="shared" si="14"/>
        <v>1</v>
      </c>
      <c r="AC30" s="18">
        <f t="shared" si="15"/>
        <v>0</v>
      </c>
      <c r="AD30" s="18">
        <f t="shared" si="16"/>
        <v>0</v>
      </c>
      <c r="AE30" s="18">
        <f t="shared" si="17"/>
        <v>0</v>
      </c>
      <c r="AF30" s="16">
        <f t="shared" si="21"/>
        <v>24</v>
      </c>
      <c r="AG30" s="18">
        <v>10</v>
      </c>
      <c r="AH30" s="18">
        <v>0</v>
      </c>
      <c r="AI30" s="18">
        <v>0</v>
      </c>
      <c r="AJ30" s="18">
        <v>0</v>
      </c>
      <c r="AK30" s="18">
        <v>10</v>
      </c>
      <c r="AL30" s="18">
        <v>0</v>
      </c>
      <c r="AM30" s="18">
        <v>10</v>
      </c>
      <c r="AN30" s="18">
        <v>0</v>
      </c>
      <c r="AO30" s="18">
        <v>10</v>
      </c>
      <c r="AP30" s="18">
        <v>10</v>
      </c>
      <c r="AQ30" s="18">
        <v>0</v>
      </c>
      <c r="AR30" s="18">
        <v>0</v>
      </c>
      <c r="AS30" s="18">
        <v>0</v>
      </c>
      <c r="AU30" s="18">
        <f t="shared" si="18"/>
        <v>50</v>
      </c>
      <c r="AW30" s="16">
        <f t="shared" si="22"/>
        <v>24</v>
      </c>
      <c r="AX30" s="14">
        <f>IF(AND(S30=1,AG30&gt;0),AG30*(B30-1),IF(AND(S30=0,AG30&gt;0),-AG30,""))</f>
        <v>10</v>
      </c>
      <c r="AY30" s="14" t="str">
        <f>IF(AND(T30=1,AH30&gt;0),AH30*(C30-1),IF(AND(T30=0,AH30&gt;0),-AH30,""))</f>
        <v/>
      </c>
      <c r="AZ30" s="14" t="str">
        <f>IF(AND(U30=1,AI30&gt;0),AI30*(D30-1),IF(AND(U30=0,AI30&gt;0),-AI30,""))</f>
        <v/>
      </c>
      <c r="BA30" s="14" t="str">
        <f>IF(AND(V30=1,AJ30&gt;0),AJ30*(E30-1),IF(AND(V30=0,AJ30&gt;0),-AJ30,""))</f>
        <v/>
      </c>
      <c r="BB30" s="14">
        <f>IF(AND(W30=1,AK30&gt;0),AK30*(F30-1),IF(AND(W30=0,AK30&gt;0),-AK30,""))</f>
        <v>6.1000000000000014</v>
      </c>
      <c r="BC30" s="14" t="str">
        <f>IF(AND(X30=1,AL30&gt;0),AL30*(G30-1),IF(AND(X30=0,AL30&gt;0),-AL30,""))</f>
        <v/>
      </c>
      <c r="BD30" s="14">
        <f>IF(AND(Y30=1,AM30&gt;0),AM30*(H30-1),IF(AND(Y30=0,AM30&gt;0),-AM30,""))</f>
        <v>15</v>
      </c>
      <c r="BE30" s="14" t="str">
        <f>IF(AND(Z30=1,AN30&gt;0),AN30*(I30-1),IF(AND(Z30=0,AN30&gt;0),-AN30,""))</f>
        <v/>
      </c>
      <c r="BF30" s="14">
        <f>IF(AND(AA30=1,AO30&gt;0),AO30*(J30-1),IF(AND(AA30=0,AO30&gt;0),-AO30,""))</f>
        <v>5.3000000000000007</v>
      </c>
      <c r="BG30" s="14">
        <f>IF(AND(AB30=1,AP30&gt;0),AP30*(K30-1),IF(AND(AB30=0,AP30&gt;0),-AP30,""))</f>
        <v>45</v>
      </c>
      <c r="BH30" s="14" t="str">
        <f>IF(AND(AC30=1,AQ30&gt;0),AQ30*(L30-1),IF(AND(AC30=0,AQ30&gt;0),-AQ30,""))</f>
        <v/>
      </c>
      <c r="BI30" s="14" t="str">
        <f>IF(AND(AD30=1,AR30&gt;0),AR30*(M30-1),IF(AND(AD30=0,AR30&gt;0),-AR30,""))</f>
        <v/>
      </c>
      <c r="BJ30" s="13" t="str">
        <f>IF(AND(AE30=1,AS30&gt;0),AS30*(N30-1),IF(AND(AE30=0,AS30&gt;0),-AS30,""))</f>
        <v/>
      </c>
      <c r="BK30" s="13" t="str">
        <f>IF(AND(AX30=1,P30&gt;0),P30,IF(AND(AX30=0,P30&gt;0),-P30,""))</f>
        <v/>
      </c>
      <c r="BL30" s="13">
        <f t="shared" si="19"/>
        <v>81.400000000000006</v>
      </c>
      <c r="BM30" s="13">
        <f t="shared" si="23"/>
        <v>1532.0000000000002</v>
      </c>
      <c r="BN30" s="16">
        <f t="shared" si="24"/>
        <v>24</v>
      </c>
    </row>
    <row r="31" spans="1:66" x14ac:dyDescent="0.25">
      <c r="A31" s="2">
        <f t="shared" si="20"/>
        <v>25</v>
      </c>
      <c r="B31" s="5">
        <v>1.61</v>
      </c>
      <c r="C31" s="5">
        <v>3.6</v>
      </c>
      <c r="D31" s="5">
        <v>6</v>
      </c>
      <c r="E31" s="5">
        <v>2</v>
      </c>
      <c r="F31" s="5">
        <v>1.72</v>
      </c>
      <c r="G31" s="5">
        <v>1.33</v>
      </c>
      <c r="H31" s="5">
        <v>3.25</v>
      </c>
      <c r="I31" s="5">
        <v>2.1</v>
      </c>
      <c r="J31" s="5">
        <v>1.7</v>
      </c>
      <c r="K31" s="5">
        <v>6</v>
      </c>
      <c r="L31" s="5">
        <v>8.5</v>
      </c>
      <c r="M31" s="5">
        <v>7</v>
      </c>
      <c r="N31" s="5">
        <v>1.6158153</v>
      </c>
      <c r="P31">
        <v>25</v>
      </c>
      <c r="Q31" s="2">
        <v>4</v>
      </c>
      <c r="R31" s="2">
        <v>1</v>
      </c>
      <c r="S31">
        <f t="shared" si="5"/>
        <v>1</v>
      </c>
      <c r="T31">
        <f t="shared" si="6"/>
        <v>0</v>
      </c>
      <c r="U31">
        <f t="shared" si="7"/>
        <v>0</v>
      </c>
      <c r="V31">
        <f t="shared" si="8"/>
        <v>1</v>
      </c>
      <c r="W31">
        <f t="shared" si="9"/>
        <v>0</v>
      </c>
      <c r="X31">
        <f t="shared" si="10"/>
        <v>1</v>
      </c>
      <c r="Y31">
        <f t="shared" si="11"/>
        <v>0</v>
      </c>
      <c r="Z31">
        <f t="shared" si="12"/>
        <v>1</v>
      </c>
      <c r="AA31">
        <f t="shared" si="13"/>
        <v>0</v>
      </c>
      <c r="AB31">
        <f t="shared" si="14"/>
        <v>0</v>
      </c>
      <c r="AC31" s="22">
        <f t="shared" si="15"/>
        <v>0</v>
      </c>
      <c r="AD31">
        <f t="shared" si="16"/>
        <v>0</v>
      </c>
      <c r="AE31">
        <f t="shared" si="17"/>
        <v>1</v>
      </c>
      <c r="AF31" s="2">
        <f t="shared" si="21"/>
        <v>25</v>
      </c>
      <c r="AG31">
        <v>10</v>
      </c>
      <c r="AH31">
        <v>0</v>
      </c>
      <c r="AI31">
        <v>0</v>
      </c>
      <c r="AJ31">
        <v>10</v>
      </c>
      <c r="AK31">
        <v>0</v>
      </c>
      <c r="AL31">
        <v>10</v>
      </c>
      <c r="AM31">
        <v>0</v>
      </c>
      <c r="AN31">
        <v>10</v>
      </c>
      <c r="AO31">
        <v>0</v>
      </c>
      <c r="AP31">
        <v>0</v>
      </c>
      <c r="AQ31">
        <v>0</v>
      </c>
      <c r="AR31">
        <v>0</v>
      </c>
      <c r="AS31">
        <v>10</v>
      </c>
      <c r="AU31">
        <f t="shared" si="18"/>
        <v>40</v>
      </c>
      <c r="AW31" s="2">
        <f t="shared" si="22"/>
        <v>25</v>
      </c>
      <c r="AX31" s="14">
        <f>IF(AND(S31=1,AG31&gt;0),AG31*(B31-1),IF(AND(S31=0,AG31&gt;0),-AG31,""))</f>
        <v>6.1000000000000014</v>
      </c>
      <c r="AY31" s="14" t="str">
        <f>IF(AND(T31=1,AH31&gt;0),AH31*(C31-1),IF(AND(T31=0,AH31&gt;0),-AH31,""))</f>
        <v/>
      </c>
      <c r="AZ31" s="14" t="str">
        <f>IF(AND(U31=1,AI31&gt;0),AI31*(D31-1),IF(AND(U31=0,AI31&gt;0),-AI31,""))</f>
        <v/>
      </c>
      <c r="BA31" s="15">
        <f>IF(AND(V31=1,AJ31&gt;0),AJ31*(E31-1),IF(AND(V31=0,AJ31&gt;0),-AJ31,""))</f>
        <v>10</v>
      </c>
      <c r="BB31" s="15" t="str">
        <f>IF(AND(W31=1,AK31&gt;0),AK31*(F31-1),IF(AND(W31=0,AK31&gt;0),-AK31,""))</f>
        <v/>
      </c>
      <c r="BC31" s="14">
        <f>IF(AND(X31=1,AL31&gt;0),AL31*(G31-1),IF(AND(X31=0,AL31&gt;0),-AL31,""))</f>
        <v>3.3000000000000007</v>
      </c>
      <c r="BD31" s="14" t="str">
        <f>IF(AND(Y31=1,AM31&gt;0),AM31*(H31-1),IF(AND(Y31=0,AM31&gt;0),-AM31,""))</f>
        <v/>
      </c>
      <c r="BE31" s="15">
        <f>IF(AND(Z31=1,AN31&gt;0),AN31*(I31-1),IF(AND(Z31=0,AN31&gt;0),-AN31,""))</f>
        <v>11</v>
      </c>
      <c r="BF31" s="15" t="str">
        <f>IF(AND(AA31=1,AO31&gt;0),AO31*(J31-1),IF(AND(AA31=0,AO31&gt;0),-AO31,""))</f>
        <v/>
      </c>
      <c r="BG31" s="14" t="str">
        <f>IF(AND(AB31=1,AP31&gt;0),AP31*(K31-1),IF(AND(AB31=0,AP31&gt;0),-AP31,""))</f>
        <v/>
      </c>
      <c r="BH31" s="14" t="str">
        <f>IF(AND(AC31=1,AQ31&gt;0),AQ31*(L31-1),IF(AND(AC31=0,AQ31&gt;0),-AQ31,""))</f>
        <v/>
      </c>
      <c r="BI31" s="14" t="str">
        <f>IF(AND(AD31=1,AR31&gt;0),AR31*(M31-1),IF(AND(AD31=0,AR31&gt;0),-AR31,""))</f>
        <v/>
      </c>
      <c r="BJ31" s="11">
        <f>IF(AND(AE31=1,AS31&gt;0),AS31*(N31-1),IF(AND(AE31=0,AS31&gt;0),-AS31,""))</f>
        <v>6.1581529999999995</v>
      </c>
      <c r="BK31" s="9" t="str">
        <f>IF(AND(AX31=1,P31&gt;0),P31,IF(AND(AX31=0,P31&gt;0),-P31,""))</f>
        <v/>
      </c>
      <c r="BL31" s="9">
        <f t="shared" si="19"/>
        <v>30.400000000000002</v>
      </c>
      <c r="BM31" s="9">
        <f t="shared" si="23"/>
        <v>1562.4000000000003</v>
      </c>
      <c r="BN31" s="2">
        <f t="shared" si="24"/>
        <v>25</v>
      </c>
    </row>
    <row r="32" spans="1:66" s="18" customFormat="1" x14ac:dyDescent="0.25">
      <c r="A32" s="16">
        <f t="shared" si="20"/>
        <v>26</v>
      </c>
      <c r="B32" s="17">
        <v>2.15</v>
      </c>
      <c r="C32" s="17">
        <v>3.25</v>
      </c>
      <c r="D32" s="17">
        <v>3.6</v>
      </c>
      <c r="E32" s="17">
        <v>1.9</v>
      </c>
      <c r="F32" s="17">
        <v>1.9</v>
      </c>
      <c r="G32" s="17">
        <v>1.36</v>
      </c>
      <c r="H32" s="17">
        <v>3.2</v>
      </c>
      <c r="I32" s="17">
        <v>2.2000000000000002</v>
      </c>
      <c r="J32" s="17">
        <v>1.66</v>
      </c>
      <c r="K32" s="17">
        <v>7</v>
      </c>
      <c r="L32" s="17">
        <v>9</v>
      </c>
      <c r="M32" s="17">
        <v>6</v>
      </c>
      <c r="N32" s="17">
        <v>1.5988678999999999</v>
      </c>
      <c r="P32" s="18">
        <v>26</v>
      </c>
      <c r="Q32" s="16">
        <v>0</v>
      </c>
      <c r="R32" s="16">
        <v>1</v>
      </c>
      <c r="S32" s="18">
        <f t="shared" si="5"/>
        <v>0</v>
      </c>
      <c r="T32" s="18">
        <f t="shared" si="6"/>
        <v>0</v>
      </c>
      <c r="U32" s="18">
        <f t="shared" si="7"/>
        <v>1</v>
      </c>
      <c r="V32" s="18">
        <f t="shared" si="8"/>
        <v>0</v>
      </c>
      <c r="W32" s="18">
        <f t="shared" si="9"/>
        <v>1</v>
      </c>
      <c r="X32" s="18">
        <f t="shared" si="10"/>
        <v>0</v>
      </c>
      <c r="Y32" s="18">
        <f t="shared" si="11"/>
        <v>1</v>
      </c>
      <c r="Z32" s="18">
        <f t="shared" si="12"/>
        <v>0</v>
      </c>
      <c r="AA32" s="18">
        <f t="shared" si="13"/>
        <v>1</v>
      </c>
      <c r="AB32" s="18">
        <f t="shared" si="14"/>
        <v>0</v>
      </c>
      <c r="AC32" s="18">
        <f t="shared" si="15"/>
        <v>0</v>
      </c>
      <c r="AD32" s="18">
        <f t="shared" si="16"/>
        <v>0</v>
      </c>
      <c r="AE32" s="18">
        <f t="shared" si="17"/>
        <v>1</v>
      </c>
      <c r="AF32" s="16">
        <f t="shared" si="21"/>
        <v>26</v>
      </c>
      <c r="AG32" s="18">
        <v>0</v>
      </c>
      <c r="AH32" s="18">
        <v>0</v>
      </c>
      <c r="AI32" s="18">
        <v>10</v>
      </c>
      <c r="AJ32" s="18">
        <v>0</v>
      </c>
      <c r="AK32" s="18">
        <v>10</v>
      </c>
      <c r="AL32" s="18">
        <v>0</v>
      </c>
      <c r="AM32" s="18">
        <v>10</v>
      </c>
      <c r="AN32" s="18">
        <v>0</v>
      </c>
      <c r="AO32" s="18">
        <v>10</v>
      </c>
      <c r="AP32" s="18">
        <v>0</v>
      </c>
      <c r="AQ32" s="18">
        <v>0</v>
      </c>
      <c r="AR32" s="18">
        <v>0</v>
      </c>
      <c r="AS32" s="18">
        <v>10</v>
      </c>
      <c r="AU32" s="18">
        <f t="shared" si="18"/>
        <v>40</v>
      </c>
      <c r="AW32" s="16">
        <f t="shared" si="22"/>
        <v>26</v>
      </c>
      <c r="AX32" s="14" t="str">
        <f>IF(AND(S32=1,AG32&gt;0),AG32*(B32-1),IF(AND(S32=0,AG32&gt;0),-AG32,""))</f>
        <v/>
      </c>
      <c r="AY32" s="14" t="str">
        <f>IF(AND(T32=1,AH32&gt;0),AH32*(C32-1),IF(AND(T32=0,AH32&gt;0),-AH32,""))</f>
        <v/>
      </c>
      <c r="AZ32" s="14">
        <f>IF(AND(U32=1,AI32&gt;0),AI32*(D32-1),IF(AND(U32=0,AI32&gt;0),-AI32,""))</f>
        <v>26</v>
      </c>
      <c r="BA32" s="14" t="str">
        <f>IF(AND(V32=1,AJ32&gt;0),AJ32*(E32-1),IF(AND(V32=0,AJ32&gt;0),-AJ32,""))</f>
        <v/>
      </c>
      <c r="BB32" s="14">
        <f>IF(AND(W32=1,AK32&gt;0),AK32*(F32-1),IF(AND(W32=0,AK32&gt;0),-AK32,""))</f>
        <v>9</v>
      </c>
      <c r="BC32" s="14" t="str">
        <f>IF(AND(X32=1,AL32&gt;0),AL32*(G32-1),IF(AND(X32=0,AL32&gt;0),-AL32,""))</f>
        <v/>
      </c>
      <c r="BD32" s="14">
        <f>IF(AND(Y32=1,AM32&gt;0),AM32*(H32-1),IF(AND(Y32=0,AM32&gt;0),-AM32,""))</f>
        <v>22</v>
      </c>
      <c r="BE32" s="14" t="str">
        <f>IF(AND(Z32=1,AN32&gt;0),AN32*(I32-1),IF(AND(Z32=0,AN32&gt;0),-AN32,""))</f>
        <v/>
      </c>
      <c r="BF32" s="14">
        <f>IF(AND(AA32=1,AO32&gt;0),AO32*(J32-1),IF(AND(AA32=0,AO32&gt;0),-AO32,""))</f>
        <v>6.6</v>
      </c>
      <c r="BG32" s="14" t="str">
        <f>IF(AND(AB32=1,AP32&gt;0),AP32*(K32-1),IF(AND(AB32=0,AP32&gt;0),-AP32,""))</f>
        <v/>
      </c>
      <c r="BH32" s="14" t="str">
        <f>IF(AND(AC32=1,AQ32&gt;0),AQ32*(L32-1),IF(AND(AC32=0,AQ32&gt;0),-AQ32,""))</f>
        <v/>
      </c>
      <c r="BI32" s="14" t="str">
        <f>IF(AND(AD32=1,AR32&gt;0),AR32*(M32-1),IF(AND(AD32=0,AR32&gt;0),-AR32,""))</f>
        <v/>
      </c>
      <c r="BJ32" s="13">
        <f>IF(AND(AE32=1,AS32&gt;0),AS32*(N32-1),IF(AND(AE32=0,AS32&gt;0),-AS32,""))</f>
        <v>5.9886789999999994</v>
      </c>
      <c r="BK32" s="13" t="str">
        <f>IF(AND(AX32=1,P32&gt;0),P32,IF(AND(AX32=0,P32&gt;0),-P32,""))</f>
        <v/>
      </c>
      <c r="BL32" s="13">
        <f t="shared" si="19"/>
        <v>63.6</v>
      </c>
      <c r="BM32" s="13">
        <f t="shared" si="23"/>
        <v>1626.0000000000002</v>
      </c>
      <c r="BN32" s="16">
        <f t="shared" si="24"/>
        <v>26</v>
      </c>
    </row>
    <row r="33" spans="1:66" x14ac:dyDescent="0.25">
      <c r="A33" s="2">
        <f t="shared" si="20"/>
        <v>27</v>
      </c>
      <c r="B33" s="5">
        <v>3.2</v>
      </c>
      <c r="C33" s="5">
        <v>3.5</v>
      </c>
      <c r="D33" s="5">
        <v>2.2000000000000002</v>
      </c>
      <c r="E33" s="5">
        <v>1.75</v>
      </c>
      <c r="F33" s="5">
        <v>2</v>
      </c>
      <c r="G33" s="5">
        <v>1.3</v>
      </c>
      <c r="H33" s="5">
        <v>3.5</v>
      </c>
      <c r="I33" s="5">
        <v>1.9</v>
      </c>
      <c r="J33" s="5">
        <v>1.9</v>
      </c>
      <c r="K33" s="5">
        <v>10</v>
      </c>
      <c r="L33" s="5">
        <v>11</v>
      </c>
      <c r="M33" s="5">
        <v>6.5</v>
      </c>
      <c r="N33" s="5">
        <v>1.4276785000000001</v>
      </c>
      <c r="P33">
        <v>27</v>
      </c>
      <c r="Q33" s="2">
        <v>2</v>
      </c>
      <c r="R33" s="2">
        <v>1</v>
      </c>
      <c r="S33">
        <f t="shared" si="5"/>
        <v>1</v>
      </c>
      <c r="T33">
        <f t="shared" si="6"/>
        <v>0</v>
      </c>
      <c r="U33">
        <f t="shared" si="7"/>
        <v>0</v>
      </c>
      <c r="V33">
        <f t="shared" si="8"/>
        <v>1</v>
      </c>
      <c r="W33">
        <f t="shared" si="9"/>
        <v>0</v>
      </c>
      <c r="X33">
        <f t="shared" si="10"/>
        <v>1</v>
      </c>
      <c r="Y33">
        <f t="shared" si="11"/>
        <v>0</v>
      </c>
      <c r="Z33">
        <f t="shared" si="12"/>
        <v>1</v>
      </c>
      <c r="AA33">
        <f t="shared" si="13"/>
        <v>0</v>
      </c>
      <c r="AB33">
        <f t="shared" si="14"/>
        <v>0</v>
      </c>
      <c r="AC33" s="22">
        <f t="shared" si="15"/>
        <v>1</v>
      </c>
      <c r="AD33">
        <f t="shared" si="16"/>
        <v>0</v>
      </c>
      <c r="AE33">
        <f t="shared" si="17"/>
        <v>0</v>
      </c>
      <c r="AF33" s="2">
        <f t="shared" si="21"/>
        <v>27</v>
      </c>
      <c r="AG33">
        <v>10</v>
      </c>
      <c r="AH33">
        <v>0</v>
      </c>
      <c r="AI33">
        <v>0</v>
      </c>
      <c r="AJ33">
        <v>10</v>
      </c>
      <c r="AK33">
        <v>0</v>
      </c>
      <c r="AL33">
        <v>10</v>
      </c>
      <c r="AM33">
        <v>0</v>
      </c>
      <c r="AN33">
        <v>10</v>
      </c>
      <c r="AO33">
        <v>0</v>
      </c>
      <c r="AP33">
        <v>0</v>
      </c>
      <c r="AQ33">
        <v>10</v>
      </c>
      <c r="AR33">
        <v>0</v>
      </c>
      <c r="AS33">
        <v>0</v>
      </c>
      <c r="AU33">
        <f t="shared" si="18"/>
        <v>50</v>
      </c>
      <c r="AW33" s="2">
        <f t="shared" si="22"/>
        <v>27</v>
      </c>
      <c r="AX33" s="14">
        <f>IF(AND(S33=1,AG33&gt;0),AG33*(B33-1),IF(AND(S33=0,AG33&gt;0),-AG33,""))</f>
        <v>22</v>
      </c>
      <c r="AY33" s="14" t="str">
        <f>IF(AND(T33=1,AH33&gt;0),AH33*(C33-1),IF(AND(T33=0,AH33&gt;0),-AH33,""))</f>
        <v/>
      </c>
      <c r="AZ33" s="14" t="str">
        <f>IF(AND(U33=1,AI33&gt;0),AI33*(D33-1),IF(AND(U33=0,AI33&gt;0),-AI33,""))</f>
        <v/>
      </c>
      <c r="BA33" s="15">
        <f>IF(AND(V33=1,AJ33&gt;0),AJ33*(E33-1),IF(AND(V33=0,AJ33&gt;0),-AJ33,""))</f>
        <v>7.5</v>
      </c>
      <c r="BB33" s="15" t="str">
        <f>IF(AND(W33=1,AK33&gt;0),AK33*(F33-1),IF(AND(W33=0,AK33&gt;0),-AK33,""))</f>
        <v/>
      </c>
      <c r="BC33" s="14">
        <f>IF(AND(X33=1,AL33&gt;0),AL33*(G33-1),IF(AND(X33=0,AL33&gt;0),-AL33,""))</f>
        <v>3.0000000000000004</v>
      </c>
      <c r="BD33" s="14" t="str">
        <f>IF(AND(Y33=1,AM33&gt;0),AM33*(H33-1),IF(AND(Y33=0,AM33&gt;0),-AM33,""))</f>
        <v/>
      </c>
      <c r="BE33" s="15">
        <f>IF(AND(Z33=1,AN33&gt;0),AN33*(I33-1),IF(AND(Z33=0,AN33&gt;0),-AN33,""))</f>
        <v>9</v>
      </c>
      <c r="BF33" s="15" t="str">
        <f>IF(AND(AA33=1,AO33&gt;0),AO33*(J33-1),IF(AND(AA33=0,AO33&gt;0),-AO33,""))</f>
        <v/>
      </c>
      <c r="BG33" s="14" t="str">
        <f>IF(AND(AB33=1,AP33&gt;0),AP33*(K33-1),IF(AND(AB33=0,AP33&gt;0),-AP33,""))</f>
        <v/>
      </c>
      <c r="BH33" s="14">
        <f>IF(AND(AC33=1,AQ33&gt;0),AQ33*(L33-1),IF(AND(AC33=0,AQ33&gt;0),-AQ33,""))</f>
        <v>100</v>
      </c>
      <c r="BI33" s="14" t="str">
        <f>IF(AND(AD33=1,AR33&gt;0),AR33*(M33-1),IF(AND(AD33=0,AR33&gt;0),-AR33,""))</f>
        <v/>
      </c>
      <c r="BJ33" s="11" t="str">
        <f>IF(AND(AE33=1,AS33&gt;0),AS33*(N33-1),IF(AND(AE33=0,AS33&gt;0),-AS33,""))</f>
        <v/>
      </c>
      <c r="BK33" s="9" t="str">
        <f>IF(AND(AX33=1,P33&gt;0),P33,IF(AND(AX33=0,P33&gt;0),-P33,""))</f>
        <v/>
      </c>
      <c r="BL33" s="9">
        <f t="shared" si="19"/>
        <v>141.5</v>
      </c>
      <c r="BM33" s="9">
        <f t="shared" si="23"/>
        <v>1767.5000000000002</v>
      </c>
      <c r="BN33" s="2">
        <f t="shared" si="24"/>
        <v>27</v>
      </c>
    </row>
    <row r="34" spans="1:66" s="18" customFormat="1" x14ac:dyDescent="0.25">
      <c r="A34" s="16">
        <f t="shared" si="20"/>
        <v>28</v>
      </c>
      <c r="B34" s="17">
        <v>3.3</v>
      </c>
      <c r="C34" s="17">
        <v>3.2</v>
      </c>
      <c r="D34" s="17">
        <v>2.2999999999999998</v>
      </c>
      <c r="E34" s="17">
        <v>1.95</v>
      </c>
      <c r="F34" s="17">
        <v>1.8</v>
      </c>
      <c r="G34" s="17">
        <v>1.4</v>
      </c>
      <c r="H34" s="17">
        <v>3</v>
      </c>
      <c r="I34" s="17">
        <v>2.2999999999999998</v>
      </c>
      <c r="J34" s="17">
        <v>1.61</v>
      </c>
      <c r="K34" s="17">
        <v>8.5</v>
      </c>
      <c r="L34" s="17">
        <v>12</v>
      </c>
      <c r="M34" s="17">
        <v>6</v>
      </c>
      <c r="N34" s="17">
        <v>1.4751879000000001</v>
      </c>
      <c r="P34" s="18">
        <v>28</v>
      </c>
      <c r="Q34" s="16">
        <v>2</v>
      </c>
      <c r="R34" s="16">
        <v>1</v>
      </c>
      <c r="S34" s="18">
        <f t="shared" si="5"/>
        <v>1</v>
      </c>
      <c r="T34" s="18">
        <f t="shared" si="6"/>
        <v>0</v>
      </c>
      <c r="U34" s="18">
        <f t="shared" si="7"/>
        <v>0</v>
      </c>
      <c r="V34" s="18">
        <f t="shared" si="8"/>
        <v>1</v>
      </c>
      <c r="W34" s="18">
        <f t="shared" si="9"/>
        <v>0</v>
      </c>
      <c r="X34" s="18">
        <f t="shared" si="10"/>
        <v>1</v>
      </c>
      <c r="Y34" s="18">
        <f t="shared" si="11"/>
        <v>0</v>
      </c>
      <c r="Z34" s="18">
        <f t="shared" si="12"/>
        <v>1</v>
      </c>
      <c r="AA34" s="18">
        <f t="shared" si="13"/>
        <v>0</v>
      </c>
      <c r="AB34" s="18">
        <f t="shared" si="14"/>
        <v>0</v>
      </c>
      <c r="AC34" s="18">
        <f t="shared" si="15"/>
        <v>1</v>
      </c>
      <c r="AD34" s="18">
        <f t="shared" si="16"/>
        <v>0</v>
      </c>
      <c r="AE34" s="18">
        <f t="shared" si="17"/>
        <v>0</v>
      </c>
      <c r="AF34" s="16">
        <f t="shared" si="21"/>
        <v>28</v>
      </c>
      <c r="AG34" s="18">
        <v>10</v>
      </c>
      <c r="AH34" s="18">
        <v>0</v>
      </c>
      <c r="AI34" s="18">
        <v>0</v>
      </c>
      <c r="AJ34" s="18">
        <v>10</v>
      </c>
      <c r="AK34" s="18">
        <v>0</v>
      </c>
      <c r="AL34" s="18">
        <v>10</v>
      </c>
      <c r="AM34" s="18">
        <v>0</v>
      </c>
      <c r="AN34" s="18">
        <v>10</v>
      </c>
      <c r="AO34" s="18">
        <v>0</v>
      </c>
      <c r="AP34" s="18">
        <v>0</v>
      </c>
      <c r="AQ34" s="18">
        <v>10</v>
      </c>
      <c r="AR34" s="18">
        <v>0</v>
      </c>
      <c r="AS34" s="18">
        <v>0</v>
      </c>
      <c r="AU34" s="18">
        <f t="shared" si="18"/>
        <v>50</v>
      </c>
      <c r="AW34" s="16">
        <f t="shared" si="22"/>
        <v>28</v>
      </c>
      <c r="AX34" s="14">
        <f>IF(AND(S34=1,AG34&gt;0),AG34*(B34-1),IF(AND(S34=0,AG34&gt;0),-AG34,""))</f>
        <v>23</v>
      </c>
      <c r="AY34" s="14" t="str">
        <f>IF(AND(T34=1,AH34&gt;0),AH34*(C34-1),IF(AND(T34=0,AH34&gt;0),-AH34,""))</f>
        <v/>
      </c>
      <c r="AZ34" s="14" t="str">
        <f>IF(AND(U34=1,AI34&gt;0),AI34*(D34-1),IF(AND(U34=0,AI34&gt;0),-AI34,""))</f>
        <v/>
      </c>
      <c r="BA34" s="14">
        <f>IF(AND(V34=1,AJ34&gt;0),AJ34*(E34-1),IF(AND(V34=0,AJ34&gt;0),-AJ34,""))</f>
        <v>9.5</v>
      </c>
      <c r="BB34" s="14" t="str">
        <f>IF(AND(W34=1,AK34&gt;0),AK34*(F34-1),IF(AND(W34=0,AK34&gt;0),-AK34,""))</f>
        <v/>
      </c>
      <c r="BC34" s="14">
        <f>IF(AND(X34=1,AL34&gt;0),AL34*(G34-1),IF(AND(X34=0,AL34&gt;0),-AL34,""))</f>
        <v>3.9999999999999991</v>
      </c>
      <c r="BD34" s="14" t="str">
        <f>IF(AND(Y34=1,AM34&gt;0),AM34*(H34-1),IF(AND(Y34=0,AM34&gt;0),-AM34,""))</f>
        <v/>
      </c>
      <c r="BE34" s="14">
        <f>IF(AND(Z34=1,AN34&gt;0),AN34*(I34-1),IF(AND(Z34=0,AN34&gt;0),-AN34,""))</f>
        <v>12.999999999999998</v>
      </c>
      <c r="BF34" s="14" t="str">
        <f>IF(AND(AA34=1,AO34&gt;0),AO34*(J34-1),IF(AND(AA34=0,AO34&gt;0),-AO34,""))</f>
        <v/>
      </c>
      <c r="BG34" s="14" t="str">
        <f>IF(AND(AB34=1,AP34&gt;0),AP34*(K34-1),IF(AND(AB34=0,AP34&gt;0),-AP34,""))</f>
        <v/>
      </c>
      <c r="BH34" s="14">
        <f>IF(AND(AC34=1,AQ34&gt;0),AQ34*(L34-1),IF(AND(AC34=0,AQ34&gt;0),-AQ34,""))</f>
        <v>110</v>
      </c>
      <c r="BI34" s="14" t="str">
        <f>IF(AND(AD34=1,AR34&gt;0),AR34*(M34-1),IF(AND(AD34=0,AR34&gt;0),-AR34,""))</f>
        <v/>
      </c>
      <c r="BJ34" s="13" t="str">
        <f>IF(AND(AE34=1,AS34&gt;0),AS34*(N34-1),IF(AND(AE34=0,AS34&gt;0),-AS34,""))</f>
        <v/>
      </c>
      <c r="BK34" s="13" t="str">
        <f>IF(AND(AX34=1,P34&gt;0),P34,IF(AND(AX34=0,P34&gt;0),-P34,""))</f>
        <v/>
      </c>
      <c r="BL34" s="13">
        <f t="shared" si="19"/>
        <v>159.5</v>
      </c>
      <c r="BM34" s="13">
        <f t="shared" si="23"/>
        <v>1927.0000000000002</v>
      </c>
      <c r="BN34" s="16">
        <f t="shared" si="24"/>
        <v>28</v>
      </c>
    </row>
    <row r="35" spans="1:66" x14ac:dyDescent="0.25">
      <c r="A35" s="2">
        <f t="shared" si="20"/>
        <v>29</v>
      </c>
      <c r="B35" s="5">
        <v>1.57</v>
      </c>
      <c r="C35" s="5">
        <v>4.2</v>
      </c>
      <c r="D35" s="5">
        <v>6.5</v>
      </c>
      <c r="E35" s="5">
        <v>1.75</v>
      </c>
      <c r="F35" s="5">
        <v>2</v>
      </c>
      <c r="G35" s="5">
        <v>1.2</v>
      </c>
      <c r="H35" s="5">
        <v>4.33</v>
      </c>
      <c r="I35" s="5">
        <v>1.65</v>
      </c>
      <c r="J35" s="5">
        <v>2.2000000000000002</v>
      </c>
      <c r="K35" s="5">
        <v>8</v>
      </c>
      <c r="L35" s="5">
        <v>10</v>
      </c>
      <c r="M35" s="5">
        <v>7.5</v>
      </c>
      <c r="N35" s="5">
        <v>1.4543751</v>
      </c>
      <c r="P35">
        <v>29</v>
      </c>
      <c r="Q35" s="2">
        <v>2</v>
      </c>
      <c r="R35" s="2">
        <v>0</v>
      </c>
      <c r="S35">
        <f t="shared" si="5"/>
        <v>1</v>
      </c>
      <c r="T35">
        <f t="shared" si="6"/>
        <v>0</v>
      </c>
      <c r="U35">
        <f t="shared" si="7"/>
        <v>0</v>
      </c>
      <c r="V35">
        <f t="shared" si="8"/>
        <v>0</v>
      </c>
      <c r="W35">
        <f t="shared" si="9"/>
        <v>1</v>
      </c>
      <c r="X35">
        <f t="shared" si="10"/>
        <v>1</v>
      </c>
      <c r="Y35">
        <f t="shared" si="11"/>
        <v>0</v>
      </c>
      <c r="Z35">
        <f t="shared" si="12"/>
        <v>0</v>
      </c>
      <c r="AA35">
        <f t="shared" si="13"/>
        <v>1</v>
      </c>
      <c r="AB35">
        <f t="shared" si="14"/>
        <v>0</v>
      </c>
      <c r="AC35" s="22">
        <f t="shared" si="15"/>
        <v>0</v>
      </c>
      <c r="AD35">
        <f t="shared" si="16"/>
        <v>0</v>
      </c>
      <c r="AE35">
        <f t="shared" si="17"/>
        <v>1</v>
      </c>
      <c r="AF35" s="2">
        <f t="shared" si="21"/>
        <v>29</v>
      </c>
      <c r="AG35">
        <v>10</v>
      </c>
      <c r="AH35">
        <v>0</v>
      </c>
      <c r="AI35">
        <v>0</v>
      </c>
      <c r="AJ35">
        <v>0</v>
      </c>
      <c r="AK35">
        <v>10</v>
      </c>
      <c r="AL35">
        <v>10</v>
      </c>
      <c r="AM35">
        <v>0</v>
      </c>
      <c r="AN35">
        <v>0</v>
      </c>
      <c r="AO35">
        <v>10</v>
      </c>
      <c r="AP35">
        <v>0</v>
      </c>
      <c r="AQ35">
        <v>0</v>
      </c>
      <c r="AR35">
        <v>0</v>
      </c>
      <c r="AS35">
        <v>10</v>
      </c>
      <c r="AU35">
        <f t="shared" si="18"/>
        <v>40</v>
      </c>
      <c r="AW35" s="2">
        <f t="shared" si="22"/>
        <v>29</v>
      </c>
      <c r="AX35" s="14">
        <f>IF(AND(S35=1,AG35&gt;0),AG35*(B35-1),IF(AND(S35=0,AG35&gt;0),-AG35,""))</f>
        <v>5.7000000000000011</v>
      </c>
      <c r="AY35" s="14" t="str">
        <f>IF(AND(T35=1,AH35&gt;0),AH35*(C35-1),IF(AND(T35=0,AH35&gt;0),-AH35,""))</f>
        <v/>
      </c>
      <c r="AZ35" s="14" t="str">
        <f>IF(AND(U35=1,AI35&gt;0),AI35*(D35-1),IF(AND(U35=0,AI35&gt;0),-AI35,""))</f>
        <v/>
      </c>
      <c r="BA35" s="15" t="str">
        <f>IF(AND(V35=1,AJ35&gt;0),AJ35*(E35-1),IF(AND(V35=0,AJ35&gt;0),-AJ35,""))</f>
        <v/>
      </c>
      <c r="BB35" s="15">
        <f>IF(AND(W35=1,AK35&gt;0),AK35*(F35-1),IF(AND(W35=0,AK35&gt;0),-AK35,""))</f>
        <v>10</v>
      </c>
      <c r="BC35" s="14">
        <f>IF(AND(X35=1,AL35&gt;0),AL35*(G35-1),IF(AND(X35=0,AL35&gt;0),-AL35,""))</f>
        <v>1.9999999999999996</v>
      </c>
      <c r="BD35" s="14" t="str">
        <f>IF(AND(Y35=1,AM35&gt;0),AM35*(H35-1),IF(AND(Y35=0,AM35&gt;0),-AM35,""))</f>
        <v/>
      </c>
      <c r="BE35" s="15" t="str">
        <f>IF(AND(Z35=1,AN35&gt;0),AN35*(I35-1),IF(AND(Z35=0,AN35&gt;0),-AN35,""))</f>
        <v/>
      </c>
      <c r="BF35" s="15">
        <f>IF(AND(AA35=1,AO35&gt;0),AO35*(J35-1),IF(AND(AA35=0,AO35&gt;0),-AO35,""))</f>
        <v>12.000000000000002</v>
      </c>
      <c r="BG35" s="14" t="str">
        <f>IF(AND(AB35=1,AP35&gt;0),AP35*(K35-1),IF(AND(AB35=0,AP35&gt;0),-AP35,""))</f>
        <v/>
      </c>
      <c r="BH35" s="14" t="str">
        <f>IF(AND(AC35=1,AQ35&gt;0),AQ35*(L35-1),IF(AND(AC35=0,AQ35&gt;0),-AQ35,""))</f>
        <v/>
      </c>
      <c r="BI35" s="14" t="str">
        <f>IF(AND(AD35=1,AR35&gt;0),AR35*(M35-1),IF(AND(AD35=0,AR35&gt;0),-AR35,""))</f>
        <v/>
      </c>
      <c r="BJ35" s="11">
        <f>IF(AND(AE35=1,AS35&gt;0),AS35*(N35-1),IF(AND(AE35=0,AS35&gt;0),-AS35,""))</f>
        <v>4.5437510000000003</v>
      </c>
      <c r="BK35" s="9" t="str">
        <f>IF(AND(AX35=1,P35&gt;0),P35,IF(AND(AX35=0,P35&gt;0),-P35,""))</f>
        <v/>
      </c>
      <c r="BL35" s="9">
        <f t="shared" si="19"/>
        <v>29.700000000000003</v>
      </c>
      <c r="BM35" s="9">
        <f t="shared" si="23"/>
        <v>1956.7000000000003</v>
      </c>
      <c r="BN35" s="2">
        <f t="shared" si="24"/>
        <v>29</v>
      </c>
    </row>
    <row r="36" spans="1:66" s="18" customFormat="1" x14ac:dyDescent="0.25">
      <c r="A36" s="16">
        <f t="shared" si="20"/>
        <v>30</v>
      </c>
      <c r="B36" s="17">
        <v>1.95</v>
      </c>
      <c r="C36" s="17">
        <v>3.6</v>
      </c>
      <c r="D36" s="17">
        <v>4.2</v>
      </c>
      <c r="E36" s="17">
        <v>1.75</v>
      </c>
      <c r="F36" s="17">
        <v>2</v>
      </c>
      <c r="G36" s="17">
        <v>1.28</v>
      </c>
      <c r="H36" s="17">
        <v>3.5</v>
      </c>
      <c r="I36" s="17">
        <v>1.95</v>
      </c>
      <c r="J36" s="17">
        <v>1.85</v>
      </c>
      <c r="K36" s="17">
        <v>7.5</v>
      </c>
      <c r="L36" s="17">
        <v>8.5</v>
      </c>
      <c r="M36" s="17">
        <v>6.5</v>
      </c>
      <c r="N36" s="17">
        <v>1.558692</v>
      </c>
      <c r="P36" s="18">
        <v>30</v>
      </c>
      <c r="Q36" s="16">
        <v>1</v>
      </c>
      <c r="R36" s="16">
        <v>1</v>
      </c>
      <c r="S36" s="18">
        <f t="shared" si="5"/>
        <v>0</v>
      </c>
      <c r="T36" s="18">
        <f t="shared" si="6"/>
        <v>1</v>
      </c>
      <c r="U36" s="18">
        <f t="shared" si="7"/>
        <v>0</v>
      </c>
      <c r="V36" s="18">
        <f t="shared" si="8"/>
        <v>1</v>
      </c>
      <c r="W36" s="18">
        <f t="shared" si="9"/>
        <v>0</v>
      </c>
      <c r="X36" s="18">
        <f t="shared" si="10"/>
        <v>1</v>
      </c>
      <c r="Y36" s="18">
        <f t="shared" si="11"/>
        <v>0</v>
      </c>
      <c r="Z36" s="18">
        <f t="shared" si="12"/>
        <v>0</v>
      </c>
      <c r="AA36" s="18">
        <f t="shared" si="13"/>
        <v>1</v>
      </c>
      <c r="AB36" s="18">
        <f t="shared" si="14"/>
        <v>0</v>
      </c>
      <c r="AC36" s="18">
        <f t="shared" si="15"/>
        <v>0</v>
      </c>
      <c r="AD36" s="18">
        <f t="shared" si="16"/>
        <v>1</v>
      </c>
      <c r="AE36" s="18">
        <f t="shared" si="17"/>
        <v>0</v>
      </c>
      <c r="AF36" s="16">
        <f t="shared" si="21"/>
        <v>30</v>
      </c>
      <c r="AG36" s="18">
        <v>0</v>
      </c>
      <c r="AH36" s="18">
        <v>10</v>
      </c>
      <c r="AI36" s="18">
        <v>0</v>
      </c>
      <c r="AJ36" s="18">
        <v>10</v>
      </c>
      <c r="AK36" s="18">
        <v>0</v>
      </c>
      <c r="AL36" s="18">
        <v>10</v>
      </c>
      <c r="AM36" s="18">
        <v>0</v>
      </c>
      <c r="AN36" s="18">
        <v>0</v>
      </c>
      <c r="AO36" s="18">
        <v>10</v>
      </c>
      <c r="AP36" s="18">
        <v>0</v>
      </c>
      <c r="AQ36" s="18">
        <v>0</v>
      </c>
      <c r="AR36" s="18">
        <v>10</v>
      </c>
      <c r="AS36" s="18">
        <v>0</v>
      </c>
      <c r="AU36" s="18">
        <f t="shared" si="18"/>
        <v>50</v>
      </c>
      <c r="AW36" s="16">
        <f t="shared" si="22"/>
        <v>30</v>
      </c>
      <c r="AX36" s="14" t="str">
        <f>IF(AND(S36=1,AG36&gt;0),AG36*(B36-1),IF(AND(S36=0,AG36&gt;0),-AG36,""))</f>
        <v/>
      </c>
      <c r="AY36" s="14">
        <f>IF(AND(T36=1,AH36&gt;0),AH36*(C36-1),IF(AND(T36=0,AH36&gt;0),-AH36,""))</f>
        <v>26</v>
      </c>
      <c r="AZ36" s="14" t="str">
        <f>IF(AND(U36=1,AI36&gt;0),AI36*(D36-1),IF(AND(U36=0,AI36&gt;0),-AI36,""))</f>
        <v/>
      </c>
      <c r="BA36" s="14">
        <f>IF(AND(V36=1,AJ36&gt;0),AJ36*(E36-1),IF(AND(V36=0,AJ36&gt;0),-AJ36,""))</f>
        <v>7.5</v>
      </c>
      <c r="BB36" s="14" t="str">
        <f>IF(AND(W36=1,AK36&gt;0),AK36*(F36-1),IF(AND(W36=0,AK36&gt;0),-AK36,""))</f>
        <v/>
      </c>
      <c r="BC36" s="14">
        <f>IF(AND(X36=1,AL36&gt;0),AL36*(G36-1),IF(AND(X36=0,AL36&gt;0),-AL36,""))</f>
        <v>2.8000000000000003</v>
      </c>
      <c r="BD36" s="14" t="str">
        <f>IF(AND(Y36=1,AM36&gt;0),AM36*(H36-1),IF(AND(Y36=0,AM36&gt;0),-AM36,""))</f>
        <v/>
      </c>
      <c r="BE36" s="14" t="str">
        <f>IF(AND(Z36=1,AN36&gt;0),AN36*(I36-1),IF(AND(Z36=0,AN36&gt;0),-AN36,""))</f>
        <v/>
      </c>
      <c r="BF36" s="14">
        <f>IF(AND(AA36=1,AO36&gt;0),AO36*(J36-1),IF(AND(AA36=0,AO36&gt;0),-AO36,""))</f>
        <v>8.5</v>
      </c>
      <c r="BG36" s="14" t="str">
        <f>IF(AND(AB36=1,AP36&gt;0),AP36*(K36-1),IF(AND(AB36=0,AP36&gt;0),-AP36,""))</f>
        <v/>
      </c>
      <c r="BH36" s="14" t="str">
        <f>IF(AND(AC36=1,AQ36&gt;0),AQ36*(L36-1),IF(AND(AC36=0,AQ36&gt;0),-AQ36,""))</f>
        <v/>
      </c>
      <c r="BI36" s="14">
        <f>IF(AND(AD36=1,AR36&gt;0),AR36*(M36-1),IF(AND(AD36=0,AR36&gt;0),-AR36,""))</f>
        <v>55</v>
      </c>
      <c r="BJ36" s="13" t="str">
        <f>IF(AND(AE36=1,AS36&gt;0),AS36*(N36-1),IF(AND(AE36=0,AS36&gt;0),-AS36,""))</f>
        <v/>
      </c>
      <c r="BK36" s="13" t="str">
        <f>IF(AND(AX36=1,P36&gt;0),P36,IF(AND(AX36=0,P36&gt;0),-P36,""))</f>
        <v/>
      </c>
      <c r="BL36" s="13">
        <f t="shared" si="19"/>
        <v>99.8</v>
      </c>
      <c r="BM36" s="13">
        <f t="shared" si="23"/>
        <v>2056.5000000000005</v>
      </c>
      <c r="BN36" s="16">
        <f t="shared" si="24"/>
        <v>30</v>
      </c>
    </row>
    <row r="37" spans="1:66" x14ac:dyDescent="0.25">
      <c r="A37" s="2">
        <f t="shared" si="20"/>
        <v>31</v>
      </c>
      <c r="B37" s="5">
        <v>1.08</v>
      </c>
      <c r="C37" s="5">
        <v>13</v>
      </c>
      <c r="D37" s="5">
        <v>20</v>
      </c>
      <c r="E37" s="5">
        <v>2.25</v>
      </c>
      <c r="F37" s="5">
        <v>1.57</v>
      </c>
      <c r="G37" s="5">
        <v>1.08</v>
      </c>
      <c r="H37" s="5">
        <v>8</v>
      </c>
      <c r="I37" s="5">
        <v>1.28</v>
      </c>
      <c r="J37" s="5">
        <v>3.6</v>
      </c>
      <c r="K37" s="5">
        <v>10</v>
      </c>
      <c r="L37" s="5">
        <v>12</v>
      </c>
      <c r="M37" s="5">
        <v>20</v>
      </c>
      <c r="N37" s="5">
        <v>1.2263598</v>
      </c>
      <c r="P37">
        <v>31</v>
      </c>
      <c r="Q37" s="2">
        <v>2</v>
      </c>
      <c r="R37" s="2">
        <v>0</v>
      </c>
      <c r="S37">
        <f t="shared" si="5"/>
        <v>1</v>
      </c>
      <c r="T37">
        <f t="shared" si="6"/>
        <v>0</v>
      </c>
      <c r="U37">
        <f t="shared" si="7"/>
        <v>0</v>
      </c>
      <c r="V37">
        <f t="shared" si="8"/>
        <v>0</v>
      </c>
      <c r="W37">
        <f t="shared" si="9"/>
        <v>1</v>
      </c>
      <c r="X37">
        <f t="shared" si="10"/>
        <v>1</v>
      </c>
      <c r="Y37">
        <f t="shared" si="11"/>
        <v>0</v>
      </c>
      <c r="Z37">
        <f t="shared" si="12"/>
        <v>0</v>
      </c>
      <c r="AA37">
        <f t="shared" si="13"/>
        <v>1</v>
      </c>
      <c r="AB37">
        <f t="shared" si="14"/>
        <v>0</v>
      </c>
      <c r="AC37" s="22">
        <f t="shared" si="15"/>
        <v>0</v>
      </c>
      <c r="AD37">
        <f t="shared" si="16"/>
        <v>0</v>
      </c>
      <c r="AE37">
        <f t="shared" si="17"/>
        <v>1</v>
      </c>
      <c r="AF37" s="2">
        <f t="shared" si="21"/>
        <v>31</v>
      </c>
      <c r="AG37">
        <v>10</v>
      </c>
      <c r="AH37">
        <v>0</v>
      </c>
      <c r="AI37">
        <v>0</v>
      </c>
      <c r="AJ37">
        <v>0</v>
      </c>
      <c r="AK37">
        <v>10</v>
      </c>
      <c r="AL37">
        <v>10</v>
      </c>
      <c r="AM37">
        <v>0</v>
      </c>
      <c r="AN37">
        <v>0</v>
      </c>
      <c r="AO37">
        <v>10</v>
      </c>
      <c r="AP37">
        <v>0</v>
      </c>
      <c r="AQ37">
        <v>0</v>
      </c>
      <c r="AR37">
        <v>0</v>
      </c>
      <c r="AS37">
        <v>10</v>
      </c>
      <c r="AU37">
        <f t="shared" si="18"/>
        <v>40</v>
      </c>
      <c r="AW37" s="2">
        <f t="shared" si="22"/>
        <v>31</v>
      </c>
      <c r="AX37" s="14">
        <f>IF(AND(S37=1,AG37&gt;0),AG37*(B37-1),IF(AND(S37=0,AG37&gt;0),-AG37,""))</f>
        <v>0.80000000000000071</v>
      </c>
      <c r="AY37" s="14" t="str">
        <f>IF(AND(T37=1,AH37&gt;0),AH37*(C37-1),IF(AND(T37=0,AH37&gt;0),-AH37,""))</f>
        <v/>
      </c>
      <c r="AZ37" s="14" t="str">
        <f>IF(AND(U37=1,AI37&gt;0),AI37*(D37-1),IF(AND(U37=0,AI37&gt;0),-AI37,""))</f>
        <v/>
      </c>
      <c r="BA37" s="15" t="str">
        <f>IF(AND(V37=1,AJ37&gt;0),AJ37*(E37-1),IF(AND(V37=0,AJ37&gt;0),-AJ37,""))</f>
        <v/>
      </c>
      <c r="BB37" s="15">
        <f>IF(AND(W37=1,AK37&gt;0),AK37*(F37-1),IF(AND(W37=0,AK37&gt;0),-AK37,""))</f>
        <v>5.7000000000000011</v>
      </c>
      <c r="BC37" s="14">
        <f>IF(AND(X37=1,AL37&gt;0),AL37*(G37-1),IF(AND(X37=0,AL37&gt;0),-AL37,""))</f>
        <v>0.80000000000000071</v>
      </c>
      <c r="BD37" s="14" t="str">
        <f>IF(AND(Y37=1,AM37&gt;0),AM37*(H37-1),IF(AND(Y37=0,AM37&gt;0),-AM37,""))</f>
        <v/>
      </c>
      <c r="BE37" s="15" t="str">
        <f>IF(AND(Z37=1,AN37&gt;0),AN37*(I37-1),IF(AND(Z37=0,AN37&gt;0),-AN37,""))</f>
        <v/>
      </c>
      <c r="BF37" s="15">
        <f>IF(AND(AA37=1,AO37&gt;0),AO37*(J37-1),IF(AND(AA37=0,AO37&gt;0),-AO37,""))</f>
        <v>26</v>
      </c>
      <c r="BG37" s="14" t="str">
        <f>IF(AND(AB37=1,AP37&gt;0),AP37*(K37-1),IF(AND(AB37=0,AP37&gt;0),-AP37,""))</f>
        <v/>
      </c>
      <c r="BH37" s="14" t="str">
        <f>IF(AND(AC37=1,AQ37&gt;0),AQ37*(L37-1),IF(AND(AC37=0,AQ37&gt;0),-AQ37,""))</f>
        <v/>
      </c>
      <c r="BI37" s="14" t="str">
        <f>IF(AND(AD37=1,AR37&gt;0),AR37*(M37-1),IF(AND(AD37=0,AR37&gt;0),-AR37,""))</f>
        <v/>
      </c>
      <c r="BJ37" s="11">
        <f>IF(AND(AE37=1,AS37&gt;0),AS37*(N37-1),IF(AND(AE37=0,AS37&gt;0),-AS37,""))</f>
        <v>2.263598</v>
      </c>
      <c r="BK37" s="9" t="str">
        <f>IF(AND(AX37=1,P37&gt;0),P37,IF(AND(AX37=0,P37&gt;0),-P37,""))</f>
        <v/>
      </c>
      <c r="BL37" s="9">
        <f t="shared" si="19"/>
        <v>33.300000000000004</v>
      </c>
      <c r="BM37" s="9">
        <f t="shared" si="23"/>
        <v>2089.8000000000006</v>
      </c>
      <c r="BN37" s="2">
        <f t="shared" si="24"/>
        <v>31</v>
      </c>
    </row>
    <row r="38" spans="1:66" s="18" customFormat="1" x14ac:dyDescent="0.25">
      <c r="A38" s="16">
        <f t="shared" si="20"/>
        <v>32</v>
      </c>
      <c r="B38" s="17">
        <v>3.5</v>
      </c>
      <c r="C38" s="17">
        <v>3.4</v>
      </c>
      <c r="D38" s="17">
        <v>2.25</v>
      </c>
      <c r="E38" s="17">
        <v>1.75</v>
      </c>
      <c r="F38" s="17">
        <v>2</v>
      </c>
      <c r="G38" s="17">
        <v>1.3</v>
      </c>
      <c r="H38" s="17">
        <v>3.4</v>
      </c>
      <c r="I38" s="17">
        <v>1.95</v>
      </c>
      <c r="J38" s="17">
        <v>1.85</v>
      </c>
      <c r="K38" s="17">
        <v>10</v>
      </c>
      <c r="L38" s="17">
        <v>12</v>
      </c>
      <c r="M38" s="17">
        <v>6</v>
      </c>
      <c r="N38" s="17">
        <v>1.4387743</v>
      </c>
      <c r="P38" s="18">
        <v>32</v>
      </c>
      <c r="Q38" s="16">
        <v>2</v>
      </c>
      <c r="R38" s="16">
        <v>2</v>
      </c>
      <c r="S38" s="18">
        <f t="shared" si="5"/>
        <v>0</v>
      </c>
      <c r="T38" s="18">
        <f t="shared" si="6"/>
        <v>1</v>
      </c>
      <c r="U38" s="18">
        <f t="shared" si="7"/>
        <v>0</v>
      </c>
      <c r="V38" s="18">
        <f t="shared" si="8"/>
        <v>1</v>
      </c>
      <c r="W38" s="18">
        <f t="shared" si="9"/>
        <v>0</v>
      </c>
      <c r="X38" s="18">
        <f t="shared" si="10"/>
        <v>1</v>
      </c>
      <c r="Y38" s="18">
        <f t="shared" si="11"/>
        <v>0</v>
      </c>
      <c r="Z38" s="18">
        <f t="shared" si="12"/>
        <v>1</v>
      </c>
      <c r="AA38" s="18">
        <f t="shared" si="13"/>
        <v>0</v>
      </c>
      <c r="AB38" s="18">
        <f t="shared" si="14"/>
        <v>0</v>
      </c>
      <c r="AC38" s="18">
        <f t="shared" si="15"/>
        <v>0</v>
      </c>
      <c r="AD38" s="18">
        <f t="shared" si="16"/>
        <v>0</v>
      </c>
      <c r="AE38" s="18">
        <f t="shared" si="17"/>
        <v>1</v>
      </c>
      <c r="AF38" s="16">
        <f t="shared" si="21"/>
        <v>32</v>
      </c>
      <c r="AG38" s="18">
        <v>0</v>
      </c>
      <c r="AH38" s="18">
        <v>10</v>
      </c>
      <c r="AI38" s="18">
        <v>0</v>
      </c>
      <c r="AJ38" s="18">
        <v>10</v>
      </c>
      <c r="AK38" s="18">
        <v>0</v>
      </c>
      <c r="AL38" s="18">
        <v>10</v>
      </c>
      <c r="AM38" s="18">
        <v>0</v>
      </c>
      <c r="AN38" s="18">
        <v>10</v>
      </c>
      <c r="AO38" s="18">
        <v>0</v>
      </c>
      <c r="AP38" s="18">
        <v>0</v>
      </c>
      <c r="AQ38" s="18">
        <v>0</v>
      </c>
      <c r="AR38" s="18">
        <v>0</v>
      </c>
      <c r="AS38" s="18">
        <v>10</v>
      </c>
      <c r="AU38" s="18">
        <f t="shared" si="18"/>
        <v>40</v>
      </c>
      <c r="AW38" s="16">
        <f t="shared" si="22"/>
        <v>32</v>
      </c>
      <c r="AX38" s="14" t="str">
        <f>IF(AND(S38=1,AG38&gt;0),AG38*(B38-1),IF(AND(S38=0,AG38&gt;0),-AG38,""))</f>
        <v/>
      </c>
      <c r="AY38" s="14">
        <f>IF(AND(T38=1,AH38&gt;0),AH38*(C38-1),IF(AND(T38=0,AH38&gt;0),-AH38,""))</f>
        <v>24</v>
      </c>
      <c r="AZ38" s="14" t="str">
        <f>IF(AND(U38=1,AI38&gt;0),AI38*(D38-1),IF(AND(U38=0,AI38&gt;0),-AI38,""))</f>
        <v/>
      </c>
      <c r="BA38" s="14">
        <f>IF(AND(V38=1,AJ38&gt;0),AJ38*(E38-1),IF(AND(V38=0,AJ38&gt;0),-AJ38,""))</f>
        <v>7.5</v>
      </c>
      <c r="BB38" s="14" t="str">
        <f>IF(AND(W38=1,AK38&gt;0),AK38*(F38-1),IF(AND(W38=0,AK38&gt;0),-AK38,""))</f>
        <v/>
      </c>
      <c r="BC38" s="14">
        <f>IF(AND(X38=1,AL38&gt;0),AL38*(G38-1),IF(AND(X38=0,AL38&gt;0),-AL38,""))</f>
        <v>3.0000000000000004</v>
      </c>
      <c r="BD38" s="14" t="str">
        <f>IF(AND(Y38=1,AM38&gt;0),AM38*(H38-1),IF(AND(Y38=0,AM38&gt;0),-AM38,""))</f>
        <v/>
      </c>
      <c r="BE38" s="14">
        <f>IF(AND(Z38=1,AN38&gt;0),AN38*(I38-1),IF(AND(Z38=0,AN38&gt;0),-AN38,""))</f>
        <v>9.5</v>
      </c>
      <c r="BF38" s="14" t="str">
        <f>IF(AND(AA38=1,AO38&gt;0),AO38*(J38-1),IF(AND(AA38=0,AO38&gt;0),-AO38,""))</f>
        <v/>
      </c>
      <c r="BG38" s="14" t="str">
        <f>IF(AND(AB38=1,AP38&gt;0),AP38*(K38-1),IF(AND(AB38=0,AP38&gt;0),-AP38,""))</f>
        <v/>
      </c>
      <c r="BH38" s="14" t="str">
        <f>IF(AND(AC38=1,AQ38&gt;0),AQ38*(L38-1),IF(AND(AC38=0,AQ38&gt;0),-AQ38,""))</f>
        <v/>
      </c>
      <c r="BI38" s="14" t="str">
        <f>IF(AND(AD38=1,AR38&gt;0),AR38*(M38-1),IF(AND(AD38=0,AR38&gt;0),-AR38,""))</f>
        <v/>
      </c>
      <c r="BJ38" s="13">
        <f>IF(AND(AE38=1,AS38&gt;0),AS38*(N38-1),IF(AND(AE38=0,AS38&gt;0),-AS38,""))</f>
        <v>4.3877429999999995</v>
      </c>
      <c r="BK38" s="13" t="str">
        <f>IF(AND(AX38=1,P38&gt;0),P38,IF(AND(AX38=0,P38&gt;0),-P38,""))</f>
        <v/>
      </c>
      <c r="BL38" s="13">
        <f t="shared" si="19"/>
        <v>44</v>
      </c>
      <c r="BM38" s="13">
        <f t="shared" si="23"/>
        <v>2133.8000000000006</v>
      </c>
      <c r="BN38" s="16">
        <f t="shared" si="24"/>
        <v>32</v>
      </c>
    </row>
    <row r="39" spans="1:66" x14ac:dyDescent="0.25">
      <c r="A39" s="2">
        <f t="shared" si="20"/>
        <v>33</v>
      </c>
      <c r="B39" s="5">
        <v>1.1100000000000001</v>
      </c>
      <c r="C39" s="5">
        <v>11</v>
      </c>
      <c r="D39" s="5">
        <v>20</v>
      </c>
      <c r="E39" s="5">
        <v>2.2000000000000002</v>
      </c>
      <c r="F39" s="5">
        <v>1.61</v>
      </c>
      <c r="G39" s="5">
        <v>1.07</v>
      </c>
      <c r="H39" s="5">
        <v>9</v>
      </c>
      <c r="I39" s="5">
        <v>1.25</v>
      </c>
      <c r="J39" s="5">
        <v>4</v>
      </c>
      <c r="K39" s="5">
        <v>12</v>
      </c>
      <c r="L39" s="5">
        <v>13</v>
      </c>
      <c r="M39" s="5">
        <v>19</v>
      </c>
      <c r="N39" s="5">
        <v>1.2140217</v>
      </c>
      <c r="P39">
        <v>33</v>
      </c>
      <c r="Q39" s="2">
        <v>1</v>
      </c>
      <c r="R39" s="2">
        <v>0</v>
      </c>
      <c r="S39">
        <f t="shared" si="5"/>
        <v>1</v>
      </c>
      <c r="T39">
        <f t="shared" si="6"/>
        <v>0</v>
      </c>
      <c r="U39">
        <f t="shared" si="7"/>
        <v>0</v>
      </c>
      <c r="V39">
        <f t="shared" si="8"/>
        <v>0</v>
      </c>
      <c r="W39">
        <f t="shared" si="9"/>
        <v>1</v>
      </c>
      <c r="X39">
        <f t="shared" si="10"/>
        <v>0</v>
      </c>
      <c r="Y39">
        <f t="shared" si="11"/>
        <v>1</v>
      </c>
      <c r="Z39">
        <f t="shared" si="12"/>
        <v>0</v>
      </c>
      <c r="AA39">
        <f t="shared" si="13"/>
        <v>1</v>
      </c>
      <c r="AB39">
        <f t="shared" si="14"/>
        <v>1</v>
      </c>
      <c r="AC39" s="22">
        <f t="shared" si="15"/>
        <v>0</v>
      </c>
      <c r="AD39">
        <f t="shared" si="16"/>
        <v>0</v>
      </c>
      <c r="AE39">
        <f t="shared" si="17"/>
        <v>0</v>
      </c>
      <c r="AF39" s="2">
        <f t="shared" si="21"/>
        <v>33</v>
      </c>
      <c r="AG39">
        <v>10</v>
      </c>
      <c r="AH39">
        <v>0</v>
      </c>
      <c r="AI39">
        <v>0</v>
      </c>
      <c r="AJ39">
        <v>0</v>
      </c>
      <c r="AK39">
        <v>10</v>
      </c>
      <c r="AL39">
        <v>0</v>
      </c>
      <c r="AM39">
        <v>10</v>
      </c>
      <c r="AN39">
        <v>0</v>
      </c>
      <c r="AO39">
        <v>10</v>
      </c>
      <c r="AP39">
        <v>10</v>
      </c>
      <c r="AQ39">
        <v>0</v>
      </c>
      <c r="AR39">
        <v>0</v>
      </c>
      <c r="AS39">
        <v>0</v>
      </c>
      <c r="AU39">
        <f t="shared" si="18"/>
        <v>50</v>
      </c>
      <c r="AW39" s="2">
        <f t="shared" si="22"/>
        <v>33</v>
      </c>
      <c r="AX39" s="14">
        <f>IF(AND(S39=1,AG39&gt;0),AG39*(B39-1),IF(AND(S39=0,AG39&gt;0),-AG39,""))</f>
        <v>1.100000000000001</v>
      </c>
      <c r="AY39" s="14" t="str">
        <f>IF(AND(T39=1,AH39&gt;0),AH39*(C39-1),IF(AND(T39=0,AH39&gt;0),-AH39,""))</f>
        <v/>
      </c>
      <c r="AZ39" s="14" t="str">
        <f>IF(AND(U39=1,AI39&gt;0),AI39*(D39-1),IF(AND(U39=0,AI39&gt;0),-AI39,""))</f>
        <v/>
      </c>
      <c r="BA39" s="15" t="str">
        <f>IF(AND(V39=1,AJ39&gt;0),AJ39*(E39-1),IF(AND(V39=0,AJ39&gt;0),-AJ39,""))</f>
        <v/>
      </c>
      <c r="BB39" s="15">
        <f>IF(AND(W39=1,AK39&gt;0),AK39*(F39-1),IF(AND(W39=0,AK39&gt;0),-AK39,""))</f>
        <v>6.1000000000000014</v>
      </c>
      <c r="BC39" s="14" t="str">
        <f>IF(AND(X39=1,AL39&gt;0),AL39*(G39-1),IF(AND(X39=0,AL39&gt;0),-AL39,""))</f>
        <v/>
      </c>
      <c r="BD39" s="14">
        <f>IF(AND(Y39=1,AM39&gt;0),AM39*(H39-1),IF(AND(Y39=0,AM39&gt;0),-AM39,""))</f>
        <v>80</v>
      </c>
      <c r="BE39" s="15" t="str">
        <f>IF(AND(Z39=1,AN39&gt;0),AN39*(I39-1),IF(AND(Z39=0,AN39&gt;0),-AN39,""))</f>
        <v/>
      </c>
      <c r="BF39" s="15">
        <f>IF(AND(AA39=1,AO39&gt;0),AO39*(J39-1),IF(AND(AA39=0,AO39&gt;0),-AO39,""))</f>
        <v>30</v>
      </c>
      <c r="BG39" s="14">
        <f>IF(AND(AB39=1,AP39&gt;0),AP39*(K39-1),IF(AND(AB39=0,AP39&gt;0),-AP39,""))</f>
        <v>110</v>
      </c>
      <c r="BH39" s="14" t="str">
        <f>IF(AND(AC39=1,AQ39&gt;0),AQ39*(L39-1),IF(AND(AC39=0,AQ39&gt;0),-AQ39,""))</f>
        <v/>
      </c>
      <c r="BI39" s="14" t="str">
        <f>IF(AND(AD39=1,AR39&gt;0),AR39*(M39-1),IF(AND(AD39=0,AR39&gt;0),-AR39,""))</f>
        <v/>
      </c>
      <c r="BJ39" s="11" t="str">
        <f>IF(AND(AE39=1,AS39&gt;0),AS39*(N39-1),IF(AND(AE39=0,AS39&gt;0),-AS39,""))</f>
        <v/>
      </c>
      <c r="BK39" s="9" t="str">
        <f>IF(AND(AX39=1,P39&gt;0),P39,IF(AND(AX39=0,P39&gt;0),-P39,""))</f>
        <v/>
      </c>
      <c r="BL39" s="9">
        <f t="shared" si="19"/>
        <v>227.2</v>
      </c>
      <c r="BM39" s="9">
        <f t="shared" si="23"/>
        <v>2361.0000000000005</v>
      </c>
      <c r="BN39" s="2">
        <f t="shared" si="24"/>
        <v>33</v>
      </c>
    </row>
    <row r="40" spans="1:66" s="18" customFormat="1" x14ac:dyDescent="0.25">
      <c r="A40" s="16">
        <f t="shared" si="20"/>
        <v>34</v>
      </c>
      <c r="B40" s="17">
        <v>1.2</v>
      </c>
      <c r="C40" s="17">
        <v>7.5</v>
      </c>
      <c r="D40" s="17">
        <v>17</v>
      </c>
      <c r="E40" s="17">
        <v>1.95</v>
      </c>
      <c r="F40" s="17">
        <v>1.8</v>
      </c>
      <c r="G40" s="17">
        <v>1.1399999999999999</v>
      </c>
      <c r="H40" s="17">
        <v>5.5</v>
      </c>
      <c r="I40" s="17">
        <v>1.44</v>
      </c>
      <c r="J40" s="17">
        <v>2.7</v>
      </c>
      <c r="K40" s="17">
        <v>7.5</v>
      </c>
      <c r="L40" s="17">
        <v>8.5</v>
      </c>
      <c r="M40" s="17">
        <v>12</v>
      </c>
      <c r="N40" s="17">
        <v>1.4070260000000001</v>
      </c>
      <c r="P40" s="18">
        <v>34</v>
      </c>
      <c r="Q40" s="16">
        <v>2</v>
      </c>
      <c r="R40" s="16">
        <v>0</v>
      </c>
      <c r="S40" s="18">
        <f t="shared" si="5"/>
        <v>1</v>
      </c>
      <c r="T40" s="18">
        <f t="shared" si="6"/>
        <v>0</v>
      </c>
      <c r="U40" s="18">
        <f t="shared" si="7"/>
        <v>0</v>
      </c>
      <c r="V40" s="18">
        <f t="shared" si="8"/>
        <v>0</v>
      </c>
      <c r="W40" s="18">
        <f t="shared" si="9"/>
        <v>1</v>
      </c>
      <c r="X40" s="18">
        <f t="shared" si="10"/>
        <v>1</v>
      </c>
      <c r="Y40" s="18">
        <f t="shared" si="11"/>
        <v>0</v>
      </c>
      <c r="Z40" s="18">
        <f t="shared" si="12"/>
        <v>0</v>
      </c>
      <c r="AA40" s="18">
        <f t="shared" si="13"/>
        <v>1</v>
      </c>
      <c r="AB40" s="18">
        <f t="shared" si="14"/>
        <v>0</v>
      </c>
      <c r="AC40" s="18">
        <f t="shared" si="15"/>
        <v>0</v>
      </c>
      <c r="AD40" s="18">
        <f t="shared" si="16"/>
        <v>0</v>
      </c>
      <c r="AE40" s="18">
        <f t="shared" si="17"/>
        <v>1</v>
      </c>
      <c r="AF40" s="16">
        <f t="shared" si="21"/>
        <v>34</v>
      </c>
      <c r="AG40" s="18">
        <v>10</v>
      </c>
      <c r="AH40" s="18">
        <v>0</v>
      </c>
      <c r="AI40" s="18">
        <v>0</v>
      </c>
      <c r="AJ40" s="18">
        <v>0</v>
      </c>
      <c r="AK40" s="18">
        <v>10</v>
      </c>
      <c r="AL40" s="18">
        <v>10</v>
      </c>
      <c r="AM40" s="18">
        <v>0</v>
      </c>
      <c r="AN40" s="18">
        <v>0</v>
      </c>
      <c r="AO40" s="18">
        <v>10</v>
      </c>
      <c r="AP40" s="18">
        <v>0</v>
      </c>
      <c r="AQ40" s="18">
        <v>0</v>
      </c>
      <c r="AR40" s="18">
        <v>0</v>
      </c>
      <c r="AS40" s="18">
        <v>10</v>
      </c>
      <c r="AU40" s="18">
        <f t="shared" si="18"/>
        <v>40</v>
      </c>
      <c r="AW40" s="16">
        <f t="shared" si="22"/>
        <v>34</v>
      </c>
      <c r="AX40" s="14">
        <f>IF(AND(S40=1,AG40&gt;0),AG40*(B40-1),IF(AND(S40=0,AG40&gt;0),-AG40,""))</f>
        <v>1.9999999999999996</v>
      </c>
      <c r="AY40" s="14" t="str">
        <f>IF(AND(T40=1,AH40&gt;0),AH40*(C40-1),IF(AND(T40=0,AH40&gt;0),-AH40,""))</f>
        <v/>
      </c>
      <c r="AZ40" s="14" t="str">
        <f>IF(AND(U40=1,AI40&gt;0),AI40*(D40-1),IF(AND(U40=0,AI40&gt;0),-AI40,""))</f>
        <v/>
      </c>
      <c r="BA40" s="14" t="str">
        <f>IF(AND(V40=1,AJ40&gt;0),AJ40*(E40-1),IF(AND(V40=0,AJ40&gt;0),-AJ40,""))</f>
        <v/>
      </c>
      <c r="BB40" s="14">
        <f>IF(AND(W40=1,AK40&gt;0),AK40*(F40-1),IF(AND(W40=0,AK40&gt;0),-AK40,""))</f>
        <v>8</v>
      </c>
      <c r="BC40" s="14">
        <f>IF(AND(X40=1,AL40&gt;0),AL40*(G40-1),IF(AND(X40=0,AL40&gt;0),-AL40,""))</f>
        <v>1.399999999999999</v>
      </c>
      <c r="BD40" s="14" t="str">
        <f>IF(AND(Y40=1,AM40&gt;0),AM40*(H40-1),IF(AND(Y40=0,AM40&gt;0),-AM40,""))</f>
        <v/>
      </c>
      <c r="BE40" s="14" t="str">
        <f>IF(AND(Z40=1,AN40&gt;0),AN40*(I40-1),IF(AND(Z40=0,AN40&gt;0),-AN40,""))</f>
        <v/>
      </c>
      <c r="BF40" s="14">
        <f>IF(AND(AA40=1,AO40&gt;0),AO40*(J40-1),IF(AND(AA40=0,AO40&gt;0),-AO40,""))</f>
        <v>17</v>
      </c>
      <c r="BG40" s="14" t="str">
        <f>IF(AND(AB40=1,AP40&gt;0),AP40*(K40-1),IF(AND(AB40=0,AP40&gt;0),-AP40,""))</f>
        <v/>
      </c>
      <c r="BH40" s="14" t="str">
        <f>IF(AND(AC40=1,AQ40&gt;0),AQ40*(L40-1),IF(AND(AC40=0,AQ40&gt;0),-AQ40,""))</f>
        <v/>
      </c>
      <c r="BI40" s="14" t="str">
        <f>IF(AND(AD40=1,AR40&gt;0),AR40*(M40-1),IF(AND(AD40=0,AR40&gt;0),-AR40,""))</f>
        <v/>
      </c>
      <c r="BJ40" s="13">
        <f>IF(AND(AE40=1,AS40&gt;0),AS40*(N40-1),IF(AND(AE40=0,AS40&gt;0),-AS40,""))</f>
        <v>4.0702600000000011</v>
      </c>
      <c r="BK40" s="13" t="str">
        <f>IF(AND(AX40=1,P40&gt;0),P40,IF(AND(AX40=0,P40&gt;0),-P40,""))</f>
        <v/>
      </c>
      <c r="BL40" s="13">
        <f t="shared" si="19"/>
        <v>28.4</v>
      </c>
      <c r="BM40" s="13">
        <f t="shared" si="23"/>
        <v>2389.4000000000005</v>
      </c>
      <c r="BN40" s="16">
        <f t="shared" si="24"/>
        <v>34</v>
      </c>
    </row>
  </sheetData>
  <mergeCells count="4">
    <mergeCell ref="P3:AE3"/>
    <mergeCell ref="AG3:AS3"/>
    <mergeCell ref="AX3:BJ3"/>
    <mergeCell ref="B3: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D8CB-C12C-4C1D-8B99-97D3B050C80E}">
  <dimension ref="C1:W38"/>
  <sheetViews>
    <sheetView topLeftCell="K3" workbookViewId="0">
      <selection activeCell="K2" sqref="K2:W36"/>
    </sheetView>
  </sheetViews>
  <sheetFormatPr defaultRowHeight="15" x14ac:dyDescent="0.25"/>
  <cols>
    <col min="11" max="23" width="18.28515625" style="4" customWidth="1"/>
  </cols>
  <sheetData>
    <row r="1" spans="3:23" x14ac:dyDescent="0.25">
      <c r="C1" s="2"/>
      <c r="D1" s="2"/>
    </row>
    <row r="2" spans="3:23" x14ac:dyDescent="0.25">
      <c r="C2" s="2"/>
      <c r="D2" s="2"/>
      <c r="K2" s="4">
        <v>2</v>
      </c>
      <c r="L2" s="4">
        <v>3.6</v>
      </c>
      <c r="M2" s="4">
        <v>4</v>
      </c>
      <c r="N2" s="4">
        <v>1.75</v>
      </c>
      <c r="O2" s="4">
        <v>2</v>
      </c>
      <c r="P2" s="4">
        <v>1.3</v>
      </c>
      <c r="Q2" s="4">
        <v>3.5</v>
      </c>
      <c r="R2" s="4">
        <v>1.9</v>
      </c>
      <c r="S2" s="4">
        <v>1.9</v>
      </c>
      <c r="T2" s="4">
        <v>8</v>
      </c>
      <c r="U2" s="4">
        <v>9.5</v>
      </c>
      <c r="V2" s="4">
        <v>7</v>
      </c>
      <c r="W2" s="4">
        <v>1.4857412999999999</v>
      </c>
    </row>
    <row r="3" spans="3:23" x14ac:dyDescent="0.25">
      <c r="C3" s="2"/>
      <c r="D3" s="2"/>
      <c r="K3" s="4">
        <v>9</v>
      </c>
      <c r="L3" s="4">
        <v>5</v>
      </c>
      <c r="M3" s="4">
        <v>1.4</v>
      </c>
      <c r="N3" s="4">
        <v>1.8</v>
      </c>
      <c r="O3" s="4">
        <v>1.95</v>
      </c>
      <c r="P3" s="4">
        <v>1.2</v>
      </c>
      <c r="Q3" s="4">
        <v>4.5</v>
      </c>
      <c r="R3" s="4">
        <v>1.61</v>
      </c>
      <c r="S3" s="4">
        <v>2.2999999999999998</v>
      </c>
      <c r="T3" s="4">
        <v>20</v>
      </c>
      <c r="U3" s="4">
        <v>20</v>
      </c>
      <c r="V3" s="4">
        <v>10</v>
      </c>
      <c r="W3" s="4">
        <v>1.1752056</v>
      </c>
    </row>
    <row r="4" spans="3:23" x14ac:dyDescent="0.25">
      <c r="C4" s="2"/>
      <c r="D4" s="2"/>
      <c r="K4" s="4">
        <v>1.36</v>
      </c>
      <c r="L4" s="4">
        <v>5.5</v>
      </c>
      <c r="M4" s="4">
        <v>9</v>
      </c>
      <c r="N4" s="4">
        <v>1.75</v>
      </c>
      <c r="O4" s="4">
        <v>2</v>
      </c>
      <c r="P4" s="4">
        <v>1.1599999999999999</v>
      </c>
      <c r="Q4" s="4">
        <v>5</v>
      </c>
      <c r="R4" s="4">
        <v>1.53</v>
      </c>
      <c r="S4" s="4">
        <v>2.5</v>
      </c>
      <c r="T4" s="4">
        <v>8.5</v>
      </c>
      <c r="U4" s="4">
        <v>7.5</v>
      </c>
      <c r="V4" s="4">
        <v>11</v>
      </c>
      <c r="W4" s="4">
        <v>1.4214875</v>
      </c>
    </row>
    <row r="5" spans="3:23" x14ac:dyDescent="0.25">
      <c r="C5" s="2"/>
      <c r="D5" s="2"/>
      <c r="K5" s="4">
        <v>3.75</v>
      </c>
      <c r="L5" s="4">
        <v>3.4</v>
      </c>
      <c r="M5" s="4">
        <v>2.14</v>
      </c>
      <c r="N5" s="4">
        <v>1.83</v>
      </c>
      <c r="O5" s="4">
        <v>1.83</v>
      </c>
      <c r="P5" s="4">
        <v>1.36</v>
      </c>
      <c r="Q5" s="4">
        <v>3.2</v>
      </c>
      <c r="R5" s="4">
        <v>2.2000000000000002</v>
      </c>
      <c r="S5" s="4">
        <v>1.66</v>
      </c>
      <c r="T5" s="4">
        <v>9</v>
      </c>
      <c r="U5" s="4">
        <v>12</v>
      </c>
      <c r="V5" s="4">
        <v>6</v>
      </c>
      <c r="W5" s="4">
        <v>1.4614236</v>
      </c>
    </row>
    <row r="6" spans="3:23" x14ac:dyDescent="0.25">
      <c r="C6" s="2"/>
      <c r="D6" s="2"/>
      <c r="K6" s="4">
        <v>2.2000000000000002</v>
      </c>
      <c r="L6" s="4">
        <v>3.1</v>
      </c>
      <c r="M6" s="4">
        <v>4</v>
      </c>
      <c r="N6" s="4">
        <v>1.9</v>
      </c>
      <c r="O6" s="4">
        <v>1.8</v>
      </c>
      <c r="P6" s="4">
        <v>1.4</v>
      </c>
      <c r="Q6" s="4">
        <v>3</v>
      </c>
      <c r="R6" s="4">
        <v>2.2999999999999998</v>
      </c>
      <c r="S6" s="4">
        <v>1.61</v>
      </c>
      <c r="T6" s="4">
        <v>6.5</v>
      </c>
      <c r="U6" s="4">
        <v>9.5</v>
      </c>
      <c r="V6" s="4">
        <v>5.5</v>
      </c>
      <c r="W6" s="4">
        <v>1.654377</v>
      </c>
    </row>
    <row r="7" spans="3:23" x14ac:dyDescent="0.25">
      <c r="C7" s="2"/>
      <c r="D7" s="2"/>
      <c r="K7" s="4">
        <v>3</v>
      </c>
      <c r="L7" s="4">
        <v>3.2</v>
      </c>
      <c r="M7" s="4">
        <v>2.62</v>
      </c>
      <c r="N7" s="4">
        <v>2</v>
      </c>
      <c r="O7" s="4">
        <v>1.72</v>
      </c>
      <c r="P7" s="4">
        <v>1.5</v>
      </c>
      <c r="Q7" s="4">
        <v>2.62</v>
      </c>
      <c r="R7" s="4">
        <v>2.5</v>
      </c>
      <c r="S7" s="4">
        <v>1.53</v>
      </c>
      <c r="T7" s="4">
        <v>7</v>
      </c>
      <c r="U7" s="4">
        <v>11</v>
      </c>
      <c r="V7" s="4">
        <v>6</v>
      </c>
      <c r="W7" s="4">
        <v>1.5492208999999999</v>
      </c>
    </row>
    <row r="8" spans="3:23" x14ac:dyDescent="0.25">
      <c r="C8" s="2"/>
      <c r="D8" s="2"/>
      <c r="K8" s="4">
        <v>3</v>
      </c>
      <c r="L8" s="4">
        <v>3.4</v>
      </c>
      <c r="M8" s="4">
        <v>2.5</v>
      </c>
      <c r="N8" s="4">
        <v>1.72</v>
      </c>
      <c r="O8" s="4">
        <v>2</v>
      </c>
      <c r="P8" s="4">
        <v>1.3</v>
      </c>
      <c r="Q8" s="4">
        <v>3.5</v>
      </c>
      <c r="R8" s="4">
        <v>2</v>
      </c>
      <c r="S8" s="4">
        <v>1.8</v>
      </c>
      <c r="T8" s="4">
        <v>9.5</v>
      </c>
      <c r="U8" s="4">
        <v>10</v>
      </c>
      <c r="V8" s="4">
        <v>6</v>
      </c>
      <c r="W8" s="4">
        <v>1.4840709999999999</v>
      </c>
    </row>
    <row r="9" spans="3:23" x14ac:dyDescent="0.25">
      <c r="C9" s="2"/>
      <c r="D9" s="2"/>
      <c r="K9" s="4">
        <v>3.5</v>
      </c>
      <c r="L9" s="4">
        <v>3.5</v>
      </c>
      <c r="M9" s="4">
        <v>2.2000000000000002</v>
      </c>
      <c r="N9" s="4">
        <v>1.61</v>
      </c>
      <c r="O9" s="4">
        <v>2.2000000000000002</v>
      </c>
      <c r="P9" s="4">
        <v>1.25</v>
      </c>
      <c r="Q9" s="4">
        <v>4</v>
      </c>
      <c r="R9" s="4">
        <v>1.8</v>
      </c>
      <c r="S9" s="4">
        <v>2</v>
      </c>
      <c r="T9" s="4">
        <v>12</v>
      </c>
      <c r="U9" s="4">
        <v>12</v>
      </c>
      <c r="V9" s="4">
        <v>6.5</v>
      </c>
      <c r="W9" s="4">
        <v>1.382071</v>
      </c>
    </row>
    <row r="10" spans="3:23" x14ac:dyDescent="0.25">
      <c r="C10" s="2"/>
      <c r="D10" s="2"/>
      <c r="K10" s="4">
        <v>3.7</v>
      </c>
      <c r="L10" s="4">
        <v>3.4</v>
      </c>
      <c r="M10" s="4">
        <v>2.14</v>
      </c>
      <c r="N10" s="4">
        <v>1.8</v>
      </c>
      <c r="O10" s="4">
        <v>1.9</v>
      </c>
      <c r="P10" s="4">
        <v>1.33</v>
      </c>
      <c r="Q10" s="4">
        <v>3.4</v>
      </c>
      <c r="R10" s="4">
        <v>2</v>
      </c>
      <c r="S10" s="4">
        <v>1.8</v>
      </c>
      <c r="T10" s="4">
        <v>10</v>
      </c>
      <c r="U10" s="4">
        <v>12</v>
      </c>
      <c r="V10" s="4">
        <v>6</v>
      </c>
      <c r="W10" s="4">
        <v>1.4387743</v>
      </c>
    </row>
    <row r="11" spans="3:23" x14ac:dyDescent="0.25">
      <c r="C11" s="2"/>
      <c r="D11" s="2"/>
      <c r="K11" s="4">
        <v>3.6</v>
      </c>
      <c r="L11" s="4">
        <v>3.2</v>
      </c>
      <c r="M11" s="4">
        <v>2.2999999999999998</v>
      </c>
      <c r="N11" s="4">
        <v>2.2000000000000002</v>
      </c>
      <c r="O11" s="4">
        <v>1.61</v>
      </c>
      <c r="P11" s="4">
        <v>1.53</v>
      </c>
      <c r="Q11" s="4">
        <v>2.5</v>
      </c>
      <c r="R11" s="4">
        <v>2.5</v>
      </c>
      <c r="S11" s="4">
        <v>1.53</v>
      </c>
      <c r="T11" s="4">
        <v>7.5</v>
      </c>
      <c r="U11" s="4">
        <v>13</v>
      </c>
      <c r="V11" s="4">
        <v>6</v>
      </c>
      <c r="W11" s="4">
        <v>1.4955993000000001</v>
      </c>
    </row>
    <row r="12" spans="3:23" x14ac:dyDescent="0.25">
      <c r="C12" s="2"/>
      <c r="D12" s="2"/>
      <c r="K12" s="4">
        <v>1.9</v>
      </c>
      <c r="L12" s="4">
        <v>3.3</v>
      </c>
      <c r="M12" s="4">
        <v>5</v>
      </c>
      <c r="N12" s="4">
        <v>2</v>
      </c>
      <c r="O12" s="4">
        <v>1.72</v>
      </c>
      <c r="P12" s="4">
        <v>1.44</v>
      </c>
      <c r="Q12" s="4">
        <v>2.75</v>
      </c>
      <c r="R12" s="4">
        <v>2.2999999999999998</v>
      </c>
      <c r="S12" s="4">
        <v>1.61</v>
      </c>
      <c r="T12" s="4">
        <v>6</v>
      </c>
      <c r="U12" s="4">
        <v>9</v>
      </c>
      <c r="V12" s="4">
        <v>6</v>
      </c>
      <c r="W12" s="4">
        <v>1.6637644</v>
      </c>
    </row>
    <row r="13" spans="3:23" x14ac:dyDescent="0.25">
      <c r="C13" s="2"/>
      <c r="D13" s="2"/>
      <c r="K13" s="4">
        <v>2.4</v>
      </c>
      <c r="L13" s="4">
        <v>3.2</v>
      </c>
      <c r="M13" s="4">
        <v>3.4</v>
      </c>
      <c r="N13" s="4">
        <v>1.83</v>
      </c>
      <c r="O13" s="4">
        <v>1.83</v>
      </c>
      <c r="P13" s="4">
        <v>1.36</v>
      </c>
      <c r="Q13" s="4">
        <v>3.2</v>
      </c>
      <c r="R13" s="4">
        <v>2.2000000000000002</v>
      </c>
      <c r="S13" s="4">
        <v>1.66</v>
      </c>
      <c r="T13" s="4">
        <v>7</v>
      </c>
      <c r="U13" s="4">
        <v>9.5</v>
      </c>
      <c r="V13" s="4">
        <v>5.5</v>
      </c>
      <c r="W13" s="4">
        <v>1.6241589999999999</v>
      </c>
    </row>
    <row r="14" spans="3:23" x14ac:dyDescent="0.25">
      <c r="C14" s="2"/>
      <c r="D14" s="2"/>
      <c r="K14" s="4">
        <v>2.54</v>
      </c>
      <c r="L14" s="4">
        <v>3.6</v>
      </c>
      <c r="M14" s="4">
        <v>2.8</v>
      </c>
      <c r="N14" s="4">
        <v>1.57</v>
      </c>
      <c r="O14" s="4">
        <v>2.25</v>
      </c>
      <c r="P14" s="4">
        <v>1.22</v>
      </c>
      <c r="Q14" s="4">
        <v>4.33</v>
      </c>
      <c r="R14" s="4">
        <v>1.66</v>
      </c>
      <c r="S14" s="4">
        <v>2.2000000000000002</v>
      </c>
      <c r="T14" s="4">
        <v>10</v>
      </c>
      <c r="U14" s="4">
        <v>9.5</v>
      </c>
      <c r="V14" s="4">
        <v>6.5</v>
      </c>
      <c r="W14" s="4">
        <v>1.4564744999999999</v>
      </c>
    </row>
    <row r="15" spans="3:23" x14ac:dyDescent="0.25">
      <c r="C15" s="2"/>
      <c r="D15" s="2"/>
      <c r="K15" s="4">
        <v>3.1</v>
      </c>
      <c r="L15" s="4">
        <v>3.6</v>
      </c>
      <c r="M15" s="4">
        <v>2.35</v>
      </c>
      <c r="N15" s="4">
        <v>1.57</v>
      </c>
      <c r="O15" s="4">
        <v>2.25</v>
      </c>
      <c r="P15" s="4">
        <v>1.22</v>
      </c>
      <c r="Q15" s="4">
        <v>4.33</v>
      </c>
      <c r="R15" s="4">
        <v>1.72</v>
      </c>
      <c r="S15" s="4">
        <v>2.1</v>
      </c>
      <c r="T15" s="4">
        <v>12</v>
      </c>
      <c r="U15" s="4">
        <v>11</v>
      </c>
      <c r="V15" s="4">
        <v>6.5</v>
      </c>
      <c r="W15" s="4">
        <v>1.3959371</v>
      </c>
    </row>
    <row r="16" spans="3:23" x14ac:dyDescent="0.25">
      <c r="C16" s="2"/>
      <c r="D16" s="2"/>
      <c r="K16" s="4">
        <v>1.9</v>
      </c>
      <c r="L16" s="4">
        <v>3.75</v>
      </c>
      <c r="M16" s="4">
        <v>4.33</v>
      </c>
      <c r="N16" s="4">
        <v>1.53</v>
      </c>
      <c r="O16" s="4">
        <v>2.37</v>
      </c>
      <c r="P16" s="4">
        <v>1.2</v>
      </c>
      <c r="Q16" s="4">
        <v>4.5</v>
      </c>
      <c r="R16" s="4">
        <v>1.61</v>
      </c>
      <c r="S16" s="4">
        <v>2.2999999999999998</v>
      </c>
      <c r="T16" s="4">
        <v>9.5</v>
      </c>
      <c r="U16" s="4">
        <v>8.5</v>
      </c>
      <c r="V16" s="4">
        <v>7</v>
      </c>
      <c r="W16" s="4">
        <v>1.4699776</v>
      </c>
    </row>
    <row r="17" spans="3:23" x14ac:dyDescent="0.25">
      <c r="C17" s="2"/>
      <c r="D17" s="2"/>
      <c r="K17" s="4">
        <v>2.2999999999999998</v>
      </c>
      <c r="L17" s="4">
        <v>3.2</v>
      </c>
      <c r="M17" s="4">
        <v>3.6</v>
      </c>
      <c r="N17" s="4">
        <v>1.95</v>
      </c>
      <c r="O17" s="4">
        <v>1.8</v>
      </c>
      <c r="P17" s="4">
        <v>1.44</v>
      </c>
      <c r="Q17" s="4">
        <v>2.75</v>
      </c>
      <c r="R17" s="4">
        <v>2.2999999999999998</v>
      </c>
      <c r="S17" s="4">
        <v>1.61</v>
      </c>
      <c r="T17" s="4">
        <v>7</v>
      </c>
      <c r="U17" s="4">
        <v>10</v>
      </c>
      <c r="V17" s="4">
        <v>6.5</v>
      </c>
      <c r="W17" s="4">
        <v>1.5396516</v>
      </c>
    </row>
    <row r="18" spans="3:23" x14ac:dyDescent="0.25">
      <c r="C18" s="2"/>
      <c r="D18" s="2"/>
      <c r="K18" s="4">
        <v>2</v>
      </c>
      <c r="L18" s="4">
        <v>3.6</v>
      </c>
      <c r="M18" s="4">
        <v>4</v>
      </c>
      <c r="N18" s="4">
        <v>1.75</v>
      </c>
      <c r="O18" s="4">
        <v>2</v>
      </c>
      <c r="P18" s="4">
        <v>1.3</v>
      </c>
      <c r="Q18" s="4">
        <v>3.5</v>
      </c>
      <c r="R18" s="4">
        <v>1.9</v>
      </c>
      <c r="S18" s="4">
        <v>1.9</v>
      </c>
      <c r="T18" s="4">
        <v>8</v>
      </c>
      <c r="U18" s="4">
        <v>9.5</v>
      </c>
      <c r="V18" s="4">
        <v>7</v>
      </c>
      <c r="W18" s="4">
        <v>1.4857412999999999</v>
      </c>
    </row>
    <row r="19" spans="3:23" x14ac:dyDescent="0.25">
      <c r="C19" s="2"/>
      <c r="D19" s="2"/>
      <c r="K19" s="4">
        <v>6</v>
      </c>
      <c r="L19" s="4">
        <v>4.2</v>
      </c>
      <c r="M19" s="4">
        <v>1.6</v>
      </c>
      <c r="N19" s="4">
        <v>1.8</v>
      </c>
      <c r="O19" s="4">
        <v>1.95</v>
      </c>
      <c r="P19" s="4">
        <v>1.25</v>
      </c>
      <c r="Q19" s="4">
        <v>4</v>
      </c>
      <c r="R19" s="4">
        <v>1.8</v>
      </c>
      <c r="S19" s="4">
        <v>2</v>
      </c>
      <c r="T19" s="4">
        <v>17</v>
      </c>
      <c r="U19" s="4">
        <v>19</v>
      </c>
      <c r="V19" s="4">
        <v>8</v>
      </c>
      <c r="W19" s="4">
        <v>1.2470114000000001</v>
      </c>
    </row>
    <row r="20" spans="3:23" x14ac:dyDescent="0.25">
      <c r="C20" s="2"/>
      <c r="D20" s="2"/>
      <c r="K20" s="4">
        <v>2.4500000000000002</v>
      </c>
      <c r="L20" s="4">
        <v>3.1</v>
      </c>
      <c r="M20" s="4">
        <v>3.4</v>
      </c>
      <c r="N20" s="4">
        <v>2.0499999999999998</v>
      </c>
      <c r="O20" s="4">
        <v>1.7</v>
      </c>
      <c r="P20" s="4">
        <v>1.5</v>
      </c>
      <c r="Q20" s="4">
        <v>2.62</v>
      </c>
      <c r="R20" s="4">
        <v>2.5</v>
      </c>
      <c r="S20" s="4">
        <v>1.53</v>
      </c>
      <c r="T20" s="4">
        <v>7</v>
      </c>
      <c r="U20" s="4">
        <v>11</v>
      </c>
      <c r="V20" s="4">
        <v>6</v>
      </c>
      <c r="W20" s="4">
        <v>1.5492208999999999</v>
      </c>
    </row>
    <row r="21" spans="3:23" x14ac:dyDescent="0.25">
      <c r="C21" s="2"/>
      <c r="D21" s="2"/>
      <c r="K21" s="4">
        <v>1.28</v>
      </c>
      <c r="L21" s="4">
        <v>6</v>
      </c>
      <c r="M21" s="4">
        <v>13</v>
      </c>
      <c r="N21" s="4">
        <v>1.95</v>
      </c>
      <c r="O21" s="4">
        <v>1.8</v>
      </c>
      <c r="P21" s="4">
        <v>1.1599999999999999</v>
      </c>
      <c r="Q21" s="4">
        <v>5</v>
      </c>
      <c r="R21" s="4">
        <v>1.53</v>
      </c>
      <c r="S21" s="4">
        <v>2.5</v>
      </c>
      <c r="T21" s="4">
        <v>8</v>
      </c>
      <c r="U21" s="4">
        <v>9</v>
      </c>
      <c r="V21" s="4">
        <v>12</v>
      </c>
      <c r="W21" s="4">
        <v>1.3792230999999999</v>
      </c>
    </row>
    <row r="22" spans="3:23" x14ac:dyDescent="0.25">
      <c r="C22" s="2"/>
      <c r="D22" s="2"/>
      <c r="K22" s="4">
        <v>2.5499999999999998</v>
      </c>
      <c r="L22" s="4">
        <v>3.6</v>
      </c>
      <c r="M22" s="4">
        <v>2.8</v>
      </c>
      <c r="N22" s="4">
        <v>1.53</v>
      </c>
      <c r="O22" s="4">
        <v>2.37</v>
      </c>
      <c r="P22" s="4">
        <v>1.2</v>
      </c>
      <c r="Q22" s="4">
        <v>4.5</v>
      </c>
      <c r="R22" s="4">
        <v>1.66</v>
      </c>
      <c r="S22" s="4">
        <v>2.2000000000000002</v>
      </c>
      <c r="T22" s="4">
        <v>12</v>
      </c>
      <c r="U22" s="4">
        <v>11</v>
      </c>
      <c r="V22" s="4">
        <v>7</v>
      </c>
      <c r="W22" s="4">
        <v>1.3754286</v>
      </c>
    </row>
    <row r="23" spans="3:23" x14ac:dyDescent="0.25">
      <c r="C23" s="2"/>
      <c r="D23" s="2"/>
      <c r="K23" s="4">
        <v>4.75</v>
      </c>
      <c r="L23" s="4">
        <v>4</v>
      </c>
      <c r="M23" s="4">
        <v>1.7</v>
      </c>
      <c r="N23" s="4">
        <v>1.53</v>
      </c>
      <c r="O23" s="4">
        <v>2.37</v>
      </c>
      <c r="P23" s="4">
        <v>1.1599999999999999</v>
      </c>
      <c r="Q23" s="4">
        <v>5</v>
      </c>
      <c r="R23" s="4">
        <v>1.53</v>
      </c>
      <c r="S23" s="4">
        <v>2.5</v>
      </c>
      <c r="T23" s="4">
        <v>19</v>
      </c>
      <c r="U23" s="4">
        <v>15</v>
      </c>
      <c r="V23" s="4">
        <v>7.5</v>
      </c>
      <c r="W23" s="4">
        <v>1.2705854999999999</v>
      </c>
    </row>
    <row r="24" spans="3:23" x14ac:dyDescent="0.25">
      <c r="C24" s="2"/>
      <c r="D24" s="2"/>
      <c r="K24" s="4">
        <v>1.95</v>
      </c>
      <c r="L24" s="4">
        <v>3.9</v>
      </c>
      <c r="M24" s="4">
        <v>3.9</v>
      </c>
      <c r="N24" s="4">
        <v>1.57</v>
      </c>
      <c r="O24" s="4">
        <v>2.25</v>
      </c>
      <c r="P24" s="4">
        <v>1.2</v>
      </c>
      <c r="Q24" s="4">
        <v>4.5</v>
      </c>
      <c r="R24" s="4">
        <v>1.66</v>
      </c>
      <c r="S24" s="4">
        <v>2.2000000000000002</v>
      </c>
      <c r="T24" s="4">
        <v>10</v>
      </c>
      <c r="U24" s="4">
        <v>9</v>
      </c>
      <c r="V24" s="4">
        <v>8</v>
      </c>
      <c r="W24" s="4">
        <v>1.410072</v>
      </c>
    </row>
    <row r="25" spans="3:23" x14ac:dyDescent="0.25">
      <c r="C25" s="2"/>
      <c r="D25" s="2"/>
      <c r="K25" s="4">
        <v>2.2000000000000002</v>
      </c>
      <c r="L25" s="4">
        <v>3.6</v>
      </c>
      <c r="M25" s="4">
        <v>3.1</v>
      </c>
      <c r="N25" s="4">
        <v>1.57</v>
      </c>
      <c r="O25" s="4">
        <v>2.25</v>
      </c>
      <c r="P25" s="4">
        <v>1.22</v>
      </c>
      <c r="Q25" s="4">
        <v>4.33</v>
      </c>
      <c r="R25" s="4">
        <v>1.66</v>
      </c>
      <c r="S25" s="4">
        <v>2.2000000000000002</v>
      </c>
      <c r="T25" s="4">
        <v>10</v>
      </c>
      <c r="U25" s="4">
        <v>9</v>
      </c>
      <c r="V25" s="4">
        <v>7</v>
      </c>
      <c r="W25" s="4">
        <v>1.4455937000000001</v>
      </c>
    </row>
    <row r="26" spans="3:23" x14ac:dyDescent="0.25">
      <c r="C26" s="2"/>
      <c r="D26" s="2"/>
      <c r="K26" s="4">
        <v>2</v>
      </c>
      <c r="L26" s="4">
        <v>3.2</v>
      </c>
      <c r="M26" s="4">
        <v>4.2</v>
      </c>
      <c r="N26" s="4">
        <v>2.2000000000000002</v>
      </c>
      <c r="O26" s="4">
        <v>1.61</v>
      </c>
      <c r="P26" s="4">
        <v>1.53</v>
      </c>
      <c r="Q26" s="4">
        <v>2.5</v>
      </c>
      <c r="R26" s="4">
        <v>2.5</v>
      </c>
      <c r="S26" s="4">
        <v>1.53</v>
      </c>
      <c r="T26" s="4">
        <v>5.5</v>
      </c>
      <c r="U26" s="4">
        <v>9.5</v>
      </c>
      <c r="V26" s="4">
        <v>6</v>
      </c>
      <c r="W26" s="4">
        <v>1.6914796999999999</v>
      </c>
    </row>
    <row r="27" spans="3:23" x14ac:dyDescent="0.25">
      <c r="C27" s="2"/>
      <c r="D27" s="2"/>
      <c r="K27" s="4">
        <v>1.61</v>
      </c>
      <c r="L27" s="4">
        <v>3.6</v>
      </c>
      <c r="M27" s="4">
        <v>6</v>
      </c>
      <c r="N27" s="4">
        <v>2</v>
      </c>
      <c r="O27" s="4">
        <v>1.72</v>
      </c>
      <c r="P27" s="4">
        <v>1.33</v>
      </c>
      <c r="Q27" s="4">
        <v>3.25</v>
      </c>
      <c r="R27" s="4">
        <v>2.1</v>
      </c>
      <c r="S27" s="4">
        <v>1.7</v>
      </c>
      <c r="T27" s="4">
        <v>6</v>
      </c>
      <c r="U27" s="4">
        <v>8.5</v>
      </c>
      <c r="V27" s="4">
        <v>7</v>
      </c>
      <c r="W27" s="4">
        <v>1.6158153</v>
      </c>
    </row>
    <row r="28" spans="3:23" x14ac:dyDescent="0.25">
      <c r="C28" s="2"/>
      <c r="D28" s="2"/>
      <c r="K28" s="4">
        <v>2.15</v>
      </c>
      <c r="L28" s="4">
        <v>3.25</v>
      </c>
      <c r="M28" s="4">
        <v>3.6</v>
      </c>
      <c r="N28" s="4">
        <v>1.9</v>
      </c>
      <c r="O28" s="4">
        <v>1.9</v>
      </c>
      <c r="P28" s="4">
        <v>1.36</v>
      </c>
      <c r="Q28" s="4">
        <v>3.2</v>
      </c>
      <c r="R28" s="4">
        <v>2.2000000000000002</v>
      </c>
      <c r="S28" s="4">
        <v>1.66</v>
      </c>
      <c r="T28" s="4">
        <v>7</v>
      </c>
      <c r="U28" s="4">
        <v>9</v>
      </c>
      <c r="V28" s="4">
        <v>6</v>
      </c>
      <c r="W28" s="4">
        <v>1.5988678999999999</v>
      </c>
    </row>
    <row r="29" spans="3:23" x14ac:dyDescent="0.25">
      <c r="C29" s="2"/>
      <c r="D29" s="2"/>
      <c r="K29" s="4">
        <v>3.2</v>
      </c>
      <c r="L29" s="4">
        <v>3.5</v>
      </c>
      <c r="M29" s="4">
        <v>2.2000000000000002</v>
      </c>
      <c r="N29" s="4">
        <v>1.75</v>
      </c>
      <c r="O29" s="4">
        <v>2</v>
      </c>
      <c r="P29" s="4">
        <v>1.3</v>
      </c>
      <c r="Q29" s="4">
        <v>3.5</v>
      </c>
      <c r="R29" s="4">
        <v>1.9</v>
      </c>
      <c r="S29" s="4">
        <v>1.9</v>
      </c>
      <c r="T29" s="4">
        <v>10</v>
      </c>
      <c r="U29" s="4">
        <v>11</v>
      </c>
      <c r="V29" s="4">
        <v>6.5</v>
      </c>
      <c r="W29" s="4">
        <v>1.4276785000000001</v>
      </c>
    </row>
    <row r="30" spans="3:23" x14ac:dyDescent="0.25">
      <c r="C30" s="2"/>
      <c r="D30" s="2"/>
      <c r="K30" s="4">
        <v>3.3</v>
      </c>
      <c r="L30" s="4">
        <v>3.2</v>
      </c>
      <c r="M30" s="4">
        <v>2.2999999999999998</v>
      </c>
      <c r="N30" s="4">
        <v>1.95</v>
      </c>
      <c r="O30" s="4">
        <v>1.8</v>
      </c>
      <c r="P30" s="4">
        <v>1.4</v>
      </c>
      <c r="Q30" s="4">
        <v>3</v>
      </c>
      <c r="R30" s="4">
        <v>2.2999999999999998</v>
      </c>
      <c r="S30" s="4">
        <v>1.61</v>
      </c>
      <c r="T30" s="4">
        <v>8.5</v>
      </c>
      <c r="U30" s="4">
        <v>12</v>
      </c>
      <c r="V30" s="4">
        <v>6</v>
      </c>
      <c r="W30" s="4">
        <v>1.4751879000000001</v>
      </c>
    </row>
    <row r="31" spans="3:23" x14ac:dyDescent="0.25">
      <c r="C31" s="2"/>
      <c r="D31" s="2"/>
      <c r="K31" s="4">
        <v>1.57</v>
      </c>
      <c r="L31" s="4">
        <v>4.2</v>
      </c>
      <c r="M31" s="4">
        <v>6.5</v>
      </c>
      <c r="N31" s="4">
        <v>1.75</v>
      </c>
      <c r="O31" s="4">
        <v>2</v>
      </c>
      <c r="P31" s="4">
        <v>1.2</v>
      </c>
      <c r="Q31" s="4">
        <v>4.33</v>
      </c>
      <c r="R31" s="4">
        <v>1.65</v>
      </c>
      <c r="S31" s="4">
        <v>2.2000000000000002</v>
      </c>
      <c r="T31" s="4">
        <v>8</v>
      </c>
      <c r="U31" s="4">
        <v>10</v>
      </c>
      <c r="V31" s="4">
        <v>7.5</v>
      </c>
      <c r="W31" s="4">
        <v>1.4543751</v>
      </c>
    </row>
    <row r="32" spans="3:23" x14ac:dyDescent="0.25">
      <c r="C32" s="2"/>
      <c r="D32" s="2"/>
      <c r="K32" s="4">
        <v>1.95</v>
      </c>
      <c r="L32" s="4">
        <v>3.6</v>
      </c>
      <c r="M32" s="4">
        <v>4.2</v>
      </c>
      <c r="N32" s="4">
        <v>1.75</v>
      </c>
      <c r="O32" s="4">
        <v>2</v>
      </c>
      <c r="P32" s="4">
        <v>1.28</v>
      </c>
      <c r="Q32" s="4">
        <v>3.5</v>
      </c>
      <c r="R32" s="4">
        <v>1.95</v>
      </c>
      <c r="S32" s="4">
        <v>1.85</v>
      </c>
      <c r="T32" s="4">
        <v>7.5</v>
      </c>
      <c r="U32" s="4">
        <v>8.5</v>
      </c>
      <c r="V32" s="4">
        <v>6.5</v>
      </c>
      <c r="W32" s="4">
        <v>1.558692</v>
      </c>
    </row>
    <row r="33" spans="3:23" x14ac:dyDescent="0.25">
      <c r="C33" s="2"/>
      <c r="D33" s="2"/>
      <c r="K33" s="4">
        <v>1.08</v>
      </c>
      <c r="L33" s="4">
        <v>13</v>
      </c>
      <c r="M33" s="4">
        <v>20</v>
      </c>
      <c r="N33" s="4">
        <v>2.25</v>
      </c>
      <c r="O33" s="4">
        <v>1.57</v>
      </c>
      <c r="P33" s="4">
        <v>1.08</v>
      </c>
      <c r="Q33" s="4">
        <v>8</v>
      </c>
      <c r="R33" s="4">
        <v>1.28</v>
      </c>
      <c r="S33" s="4">
        <v>3.6</v>
      </c>
      <c r="T33" s="4">
        <v>10</v>
      </c>
      <c r="U33" s="4">
        <v>12</v>
      </c>
      <c r="V33" s="4">
        <v>20</v>
      </c>
      <c r="W33" s="4">
        <v>1.2263598</v>
      </c>
    </row>
    <row r="34" spans="3:23" x14ac:dyDescent="0.25">
      <c r="C34" s="2"/>
      <c r="D34" s="2"/>
      <c r="K34" s="4">
        <v>3.5</v>
      </c>
      <c r="L34" s="4">
        <v>3.4</v>
      </c>
      <c r="M34" s="4">
        <v>2.25</v>
      </c>
      <c r="N34" s="4">
        <v>1.75</v>
      </c>
      <c r="O34" s="4">
        <v>2</v>
      </c>
      <c r="P34" s="4">
        <v>1.3</v>
      </c>
      <c r="Q34" s="4">
        <v>3.4</v>
      </c>
      <c r="R34" s="4">
        <v>1.95</v>
      </c>
      <c r="S34" s="4">
        <v>1.85</v>
      </c>
      <c r="T34" s="4">
        <v>10</v>
      </c>
      <c r="U34" s="4">
        <v>12</v>
      </c>
      <c r="V34" s="4">
        <v>6</v>
      </c>
      <c r="W34" s="4">
        <v>1.4387743</v>
      </c>
    </row>
    <row r="35" spans="3:23" x14ac:dyDescent="0.25">
      <c r="C35" s="2"/>
      <c r="D35" s="2"/>
      <c r="K35" s="4">
        <v>1.1100000000000001</v>
      </c>
      <c r="L35" s="4">
        <v>11</v>
      </c>
      <c r="M35" s="4">
        <v>20</v>
      </c>
      <c r="N35" s="4">
        <v>2.2000000000000002</v>
      </c>
      <c r="O35" s="4">
        <v>1.61</v>
      </c>
      <c r="P35" s="4">
        <v>1.07</v>
      </c>
      <c r="Q35" s="4">
        <v>9</v>
      </c>
      <c r="R35" s="4">
        <v>1.25</v>
      </c>
      <c r="S35" s="4">
        <v>4</v>
      </c>
      <c r="T35" s="4">
        <v>12</v>
      </c>
      <c r="U35" s="4">
        <v>13</v>
      </c>
      <c r="V35" s="4">
        <v>19</v>
      </c>
      <c r="W35" s="4">
        <v>1.2140217</v>
      </c>
    </row>
    <row r="36" spans="3:23" x14ac:dyDescent="0.25">
      <c r="C36" s="2"/>
      <c r="D36" s="2"/>
      <c r="K36" s="4">
        <v>1.2</v>
      </c>
      <c r="L36" s="4">
        <v>7.5</v>
      </c>
      <c r="M36" s="4">
        <v>17</v>
      </c>
      <c r="N36" s="4">
        <v>1.95</v>
      </c>
      <c r="O36" s="4">
        <v>1.8</v>
      </c>
      <c r="P36" s="4">
        <v>1.1399999999999999</v>
      </c>
      <c r="Q36" s="4">
        <v>5.5</v>
      </c>
      <c r="R36" s="4">
        <v>1.44</v>
      </c>
      <c r="S36" s="4">
        <v>2.7</v>
      </c>
      <c r="T36" s="4">
        <v>7.5</v>
      </c>
      <c r="U36" s="4">
        <v>8.5</v>
      </c>
      <c r="V36" s="4">
        <v>12</v>
      </c>
      <c r="W36" s="4">
        <v>1.4070260000000001</v>
      </c>
    </row>
    <row r="37" spans="3:23" x14ac:dyDescent="0.25">
      <c r="C37" s="2"/>
      <c r="D37" s="2"/>
    </row>
    <row r="38" spans="3:23" x14ac:dyDescent="0.25">
      <c r="C38" s="2"/>
      <c r="D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C364-7E62-45A9-A56E-341586A3CAD1}">
  <dimension ref="B2:N36"/>
  <sheetViews>
    <sheetView workbookViewId="0">
      <selection activeCell="B1" sqref="B1:N1048576"/>
    </sheetView>
  </sheetViews>
  <sheetFormatPr defaultRowHeight="15" x14ac:dyDescent="0.25"/>
  <sheetData>
    <row r="2" spans="2:14" x14ac:dyDescent="0.25">
      <c r="B2" s="4">
        <v>2</v>
      </c>
      <c r="C2" s="4">
        <v>3.6</v>
      </c>
      <c r="D2" s="4">
        <v>4</v>
      </c>
      <c r="E2" s="4">
        <v>1.75</v>
      </c>
      <c r="F2" s="4">
        <v>2</v>
      </c>
      <c r="G2" s="4">
        <v>1.3</v>
      </c>
      <c r="H2" s="4">
        <v>3.5</v>
      </c>
      <c r="I2" s="4">
        <v>1.9</v>
      </c>
      <c r="J2" s="4">
        <v>1.9</v>
      </c>
      <c r="K2" s="4">
        <v>8</v>
      </c>
      <c r="L2" s="4">
        <v>9.5</v>
      </c>
      <c r="M2" s="4">
        <v>7</v>
      </c>
      <c r="N2" s="4">
        <v>1.4857412999999999</v>
      </c>
    </row>
    <row r="3" spans="2:14" x14ac:dyDescent="0.25">
      <c r="B3" s="4">
        <v>9</v>
      </c>
      <c r="C3" s="4">
        <v>5</v>
      </c>
      <c r="D3" s="4">
        <v>1.4</v>
      </c>
      <c r="E3" s="4">
        <v>1.8</v>
      </c>
      <c r="F3" s="4">
        <v>1.95</v>
      </c>
      <c r="G3" s="4">
        <v>1.2</v>
      </c>
      <c r="H3" s="4">
        <v>4.5</v>
      </c>
      <c r="I3" s="4">
        <v>1.61</v>
      </c>
      <c r="J3" s="4">
        <v>2.2999999999999998</v>
      </c>
      <c r="K3" s="4">
        <v>20</v>
      </c>
      <c r="L3" s="4">
        <v>20</v>
      </c>
      <c r="M3" s="4">
        <v>10</v>
      </c>
      <c r="N3" s="4">
        <v>1.1752056</v>
      </c>
    </row>
    <row r="4" spans="2:14" x14ac:dyDescent="0.25">
      <c r="B4" s="4">
        <v>1.36</v>
      </c>
      <c r="C4" s="4">
        <v>5.5</v>
      </c>
      <c r="D4" s="4">
        <v>9</v>
      </c>
      <c r="E4" s="4">
        <v>1.75</v>
      </c>
      <c r="F4" s="4">
        <v>2</v>
      </c>
      <c r="G4" s="4">
        <v>1.1599999999999999</v>
      </c>
      <c r="H4" s="4">
        <v>5</v>
      </c>
      <c r="I4" s="4">
        <v>1.53</v>
      </c>
      <c r="J4" s="4">
        <v>2.5</v>
      </c>
      <c r="K4" s="4">
        <v>8.5</v>
      </c>
      <c r="L4" s="4">
        <v>7.5</v>
      </c>
      <c r="M4" s="4">
        <v>11</v>
      </c>
      <c r="N4" s="4">
        <v>1.4214875</v>
      </c>
    </row>
    <row r="5" spans="2:14" x14ac:dyDescent="0.25">
      <c r="B5" s="4">
        <v>3.75</v>
      </c>
      <c r="C5" s="4">
        <v>3.4</v>
      </c>
      <c r="D5" s="4">
        <v>2.14</v>
      </c>
      <c r="E5" s="4">
        <v>1.83</v>
      </c>
      <c r="F5" s="4">
        <v>1.83</v>
      </c>
      <c r="G5" s="4">
        <v>1.36</v>
      </c>
      <c r="H5" s="4">
        <v>3.2</v>
      </c>
      <c r="I5" s="4">
        <v>2.2000000000000002</v>
      </c>
      <c r="J5" s="4">
        <v>1.66</v>
      </c>
      <c r="K5" s="4">
        <v>9</v>
      </c>
      <c r="L5" s="4">
        <v>12</v>
      </c>
      <c r="M5" s="4">
        <v>6</v>
      </c>
      <c r="N5" s="4">
        <v>1.4614236</v>
      </c>
    </row>
    <row r="6" spans="2:14" x14ac:dyDescent="0.25">
      <c r="B6" s="4">
        <v>2.2000000000000002</v>
      </c>
      <c r="C6" s="4">
        <v>3.1</v>
      </c>
      <c r="D6" s="4">
        <v>4</v>
      </c>
      <c r="E6" s="4">
        <v>1.9</v>
      </c>
      <c r="F6" s="4">
        <v>1.8</v>
      </c>
      <c r="G6" s="4">
        <v>1.4</v>
      </c>
      <c r="H6" s="4">
        <v>3</v>
      </c>
      <c r="I6" s="4">
        <v>2.2999999999999998</v>
      </c>
      <c r="J6" s="4">
        <v>1.61</v>
      </c>
      <c r="K6" s="4">
        <v>6.5</v>
      </c>
      <c r="L6" s="4">
        <v>9.5</v>
      </c>
      <c r="M6" s="4">
        <v>5.5</v>
      </c>
      <c r="N6" s="4">
        <v>1.654377</v>
      </c>
    </row>
    <row r="7" spans="2:14" x14ac:dyDescent="0.25">
      <c r="B7" s="4">
        <v>3</v>
      </c>
      <c r="C7" s="4">
        <v>3.2</v>
      </c>
      <c r="D7" s="4">
        <v>2.62</v>
      </c>
      <c r="E7" s="4">
        <v>2</v>
      </c>
      <c r="F7" s="4">
        <v>1.72</v>
      </c>
      <c r="G7" s="4">
        <v>1.5</v>
      </c>
      <c r="H7" s="4">
        <v>2.62</v>
      </c>
      <c r="I7" s="4">
        <v>2.5</v>
      </c>
      <c r="J7" s="4">
        <v>1.53</v>
      </c>
      <c r="K7" s="4">
        <v>7</v>
      </c>
      <c r="L7" s="4">
        <v>11</v>
      </c>
      <c r="M7" s="4">
        <v>6</v>
      </c>
      <c r="N7" s="4">
        <v>1.5492208999999999</v>
      </c>
    </row>
    <row r="8" spans="2:14" x14ac:dyDescent="0.25">
      <c r="B8" s="4">
        <v>3</v>
      </c>
      <c r="C8" s="4">
        <v>3.4</v>
      </c>
      <c r="D8" s="4">
        <v>2.5</v>
      </c>
      <c r="E8" s="4">
        <v>1.72</v>
      </c>
      <c r="F8" s="4">
        <v>2</v>
      </c>
      <c r="G8" s="4">
        <v>1.3</v>
      </c>
      <c r="H8" s="4">
        <v>3.5</v>
      </c>
      <c r="I8" s="4">
        <v>2</v>
      </c>
      <c r="J8" s="4">
        <v>1.8</v>
      </c>
      <c r="K8" s="4">
        <v>9.5</v>
      </c>
      <c r="L8" s="4">
        <v>10</v>
      </c>
      <c r="M8" s="4">
        <v>6</v>
      </c>
      <c r="N8" s="4">
        <v>1.4840709999999999</v>
      </c>
    </row>
    <row r="9" spans="2:14" x14ac:dyDescent="0.25">
      <c r="B9" s="4">
        <v>3.5</v>
      </c>
      <c r="C9" s="4">
        <v>3.5</v>
      </c>
      <c r="D9" s="4">
        <v>2.2000000000000002</v>
      </c>
      <c r="E9" s="4">
        <v>1.61</v>
      </c>
      <c r="F9" s="4">
        <v>2.2000000000000002</v>
      </c>
      <c r="G9" s="4">
        <v>1.25</v>
      </c>
      <c r="H9" s="4">
        <v>4</v>
      </c>
      <c r="I9" s="4">
        <v>1.8</v>
      </c>
      <c r="J9" s="4">
        <v>2</v>
      </c>
      <c r="K9" s="4">
        <v>12</v>
      </c>
      <c r="L9" s="4">
        <v>12</v>
      </c>
      <c r="M9" s="4">
        <v>6.5</v>
      </c>
      <c r="N9" s="4">
        <v>1.382071</v>
      </c>
    </row>
    <row r="10" spans="2:14" x14ac:dyDescent="0.25">
      <c r="B10" s="4">
        <v>3.7</v>
      </c>
      <c r="C10" s="4">
        <v>3.4</v>
      </c>
      <c r="D10" s="4">
        <v>2.14</v>
      </c>
      <c r="E10" s="4">
        <v>1.8</v>
      </c>
      <c r="F10" s="4">
        <v>1.9</v>
      </c>
      <c r="G10" s="4">
        <v>1.33</v>
      </c>
      <c r="H10" s="4">
        <v>3.4</v>
      </c>
      <c r="I10" s="4">
        <v>2</v>
      </c>
      <c r="J10" s="4">
        <v>1.8</v>
      </c>
      <c r="K10" s="4">
        <v>10</v>
      </c>
      <c r="L10" s="4">
        <v>12</v>
      </c>
      <c r="M10" s="4">
        <v>6</v>
      </c>
      <c r="N10" s="4">
        <v>1.4387743</v>
      </c>
    </row>
    <row r="11" spans="2:14" x14ac:dyDescent="0.25">
      <c r="B11" s="4">
        <v>3.6</v>
      </c>
      <c r="C11" s="4">
        <v>3.2</v>
      </c>
      <c r="D11" s="4">
        <v>2.2999999999999998</v>
      </c>
      <c r="E11" s="4">
        <v>2.2000000000000002</v>
      </c>
      <c r="F11" s="4">
        <v>1.61</v>
      </c>
      <c r="G11" s="4">
        <v>1.53</v>
      </c>
      <c r="H11" s="4">
        <v>2.5</v>
      </c>
      <c r="I11" s="4">
        <v>2.5</v>
      </c>
      <c r="J11" s="4">
        <v>1.53</v>
      </c>
      <c r="K11" s="4">
        <v>7.5</v>
      </c>
      <c r="L11" s="4">
        <v>13</v>
      </c>
      <c r="M11" s="4">
        <v>6</v>
      </c>
      <c r="N11" s="4">
        <v>1.4955993000000001</v>
      </c>
    </row>
    <row r="12" spans="2:14" x14ac:dyDescent="0.25">
      <c r="B12" s="4">
        <v>1.9</v>
      </c>
      <c r="C12" s="4">
        <v>3.3</v>
      </c>
      <c r="D12" s="4">
        <v>5</v>
      </c>
      <c r="E12" s="4">
        <v>2</v>
      </c>
      <c r="F12" s="4">
        <v>1.72</v>
      </c>
      <c r="G12" s="4">
        <v>1.44</v>
      </c>
      <c r="H12" s="4">
        <v>2.75</v>
      </c>
      <c r="I12" s="4">
        <v>2.2999999999999998</v>
      </c>
      <c r="J12" s="4">
        <v>1.61</v>
      </c>
      <c r="K12" s="4">
        <v>6</v>
      </c>
      <c r="L12" s="4">
        <v>9</v>
      </c>
      <c r="M12" s="4">
        <v>6</v>
      </c>
      <c r="N12" s="4">
        <v>1.6637644</v>
      </c>
    </row>
    <row r="13" spans="2:14" x14ac:dyDescent="0.25">
      <c r="B13" s="4">
        <v>2.4</v>
      </c>
      <c r="C13" s="4">
        <v>3.2</v>
      </c>
      <c r="D13" s="4">
        <v>3.4</v>
      </c>
      <c r="E13" s="4">
        <v>1.83</v>
      </c>
      <c r="F13" s="4">
        <v>1.83</v>
      </c>
      <c r="G13" s="4">
        <v>1.36</v>
      </c>
      <c r="H13" s="4">
        <v>3.2</v>
      </c>
      <c r="I13" s="4">
        <v>2.2000000000000002</v>
      </c>
      <c r="J13" s="4">
        <v>1.66</v>
      </c>
      <c r="K13" s="4">
        <v>7</v>
      </c>
      <c r="L13" s="4">
        <v>9.5</v>
      </c>
      <c r="M13" s="4">
        <v>5.5</v>
      </c>
      <c r="N13" s="4">
        <v>1.6241589999999999</v>
      </c>
    </row>
    <row r="14" spans="2:14" x14ac:dyDescent="0.25">
      <c r="B14" s="4">
        <v>2.54</v>
      </c>
      <c r="C14" s="4">
        <v>3.6</v>
      </c>
      <c r="D14" s="4">
        <v>2.8</v>
      </c>
      <c r="E14" s="4">
        <v>1.57</v>
      </c>
      <c r="F14" s="4">
        <v>2.25</v>
      </c>
      <c r="G14" s="4">
        <v>1.22</v>
      </c>
      <c r="H14" s="4">
        <v>4.33</v>
      </c>
      <c r="I14" s="4">
        <v>1.66</v>
      </c>
      <c r="J14" s="4">
        <v>2.2000000000000002</v>
      </c>
      <c r="K14" s="4">
        <v>10</v>
      </c>
      <c r="L14" s="4">
        <v>9.5</v>
      </c>
      <c r="M14" s="4">
        <v>6.5</v>
      </c>
      <c r="N14" s="4">
        <v>1.4564744999999999</v>
      </c>
    </row>
    <row r="15" spans="2:14" x14ac:dyDescent="0.25">
      <c r="B15" s="4">
        <v>3.1</v>
      </c>
      <c r="C15" s="4">
        <v>3.6</v>
      </c>
      <c r="D15" s="4">
        <v>2.35</v>
      </c>
      <c r="E15" s="4">
        <v>1.57</v>
      </c>
      <c r="F15" s="4">
        <v>2.25</v>
      </c>
      <c r="G15" s="4">
        <v>1.22</v>
      </c>
      <c r="H15" s="4">
        <v>4.33</v>
      </c>
      <c r="I15" s="4">
        <v>1.72</v>
      </c>
      <c r="J15" s="4">
        <v>2.1</v>
      </c>
      <c r="K15" s="4">
        <v>12</v>
      </c>
      <c r="L15" s="4">
        <v>11</v>
      </c>
      <c r="M15" s="4">
        <v>6.5</v>
      </c>
      <c r="N15" s="4">
        <v>1.3959371</v>
      </c>
    </row>
    <row r="16" spans="2:14" x14ac:dyDescent="0.25">
      <c r="B16" s="4">
        <v>1.9</v>
      </c>
      <c r="C16" s="4">
        <v>3.75</v>
      </c>
      <c r="D16" s="4">
        <v>4.33</v>
      </c>
      <c r="E16" s="4">
        <v>1.53</v>
      </c>
      <c r="F16" s="4">
        <v>2.37</v>
      </c>
      <c r="G16" s="4">
        <v>1.2</v>
      </c>
      <c r="H16" s="4">
        <v>4.5</v>
      </c>
      <c r="I16" s="4">
        <v>1.61</v>
      </c>
      <c r="J16" s="4">
        <v>2.2999999999999998</v>
      </c>
      <c r="K16" s="4">
        <v>9.5</v>
      </c>
      <c r="L16" s="4">
        <v>8.5</v>
      </c>
      <c r="M16" s="4">
        <v>7</v>
      </c>
      <c r="N16" s="4">
        <v>1.4699776</v>
      </c>
    </row>
    <row r="17" spans="2:14" x14ac:dyDescent="0.25">
      <c r="B17" s="4">
        <v>2.2999999999999998</v>
      </c>
      <c r="C17" s="4">
        <v>3.2</v>
      </c>
      <c r="D17" s="4">
        <v>3.6</v>
      </c>
      <c r="E17" s="4">
        <v>1.95</v>
      </c>
      <c r="F17" s="4">
        <v>1.8</v>
      </c>
      <c r="G17" s="4">
        <v>1.44</v>
      </c>
      <c r="H17" s="4">
        <v>2.75</v>
      </c>
      <c r="I17" s="4">
        <v>2.2999999999999998</v>
      </c>
      <c r="J17" s="4">
        <v>1.61</v>
      </c>
      <c r="K17" s="4">
        <v>7</v>
      </c>
      <c r="L17" s="4">
        <v>10</v>
      </c>
      <c r="M17" s="4">
        <v>6.5</v>
      </c>
      <c r="N17" s="4">
        <v>1.5396516</v>
      </c>
    </row>
    <row r="18" spans="2:14" x14ac:dyDescent="0.25">
      <c r="B18" s="4">
        <v>2</v>
      </c>
      <c r="C18" s="4">
        <v>3.6</v>
      </c>
      <c r="D18" s="4">
        <v>4</v>
      </c>
      <c r="E18" s="4">
        <v>1.75</v>
      </c>
      <c r="F18" s="4">
        <v>2</v>
      </c>
      <c r="G18" s="4">
        <v>1.3</v>
      </c>
      <c r="H18" s="4">
        <v>3.5</v>
      </c>
      <c r="I18" s="4">
        <v>1.9</v>
      </c>
      <c r="J18" s="4">
        <v>1.9</v>
      </c>
      <c r="K18" s="4">
        <v>8</v>
      </c>
      <c r="L18" s="4">
        <v>9.5</v>
      </c>
      <c r="M18" s="4">
        <v>7</v>
      </c>
      <c r="N18" s="4">
        <v>1.4857412999999999</v>
      </c>
    </row>
    <row r="19" spans="2:14" x14ac:dyDescent="0.25">
      <c r="B19" s="4">
        <v>6</v>
      </c>
      <c r="C19" s="4">
        <v>4.2</v>
      </c>
      <c r="D19" s="4">
        <v>1.6</v>
      </c>
      <c r="E19" s="4">
        <v>1.8</v>
      </c>
      <c r="F19" s="4">
        <v>1.95</v>
      </c>
      <c r="G19" s="4">
        <v>1.25</v>
      </c>
      <c r="H19" s="4">
        <v>4</v>
      </c>
      <c r="I19" s="4">
        <v>1.8</v>
      </c>
      <c r="J19" s="4">
        <v>2</v>
      </c>
      <c r="K19" s="4">
        <v>17</v>
      </c>
      <c r="L19" s="4">
        <v>19</v>
      </c>
      <c r="M19" s="4">
        <v>8</v>
      </c>
      <c r="N19" s="4">
        <v>1.2470114000000001</v>
      </c>
    </row>
    <row r="20" spans="2:14" x14ac:dyDescent="0.25">
      <c r="B20" s="4">
        <v>2.4500000000000002</v>
      </c>
      <c r="C20" s="4">
        <v>3.1</v>
      </c>
      <c r="D20" s="4">
        <v>3.4</v>
      </c>
      <c r="E20" s="4">
        <v>2.0499999999999998</v>
      </c>
      <c r="F20" s="4">
        <v>1.7</v>
      </c>
      <c r="G20" s="4">
        <v>1.5</v>
      </c>
      <c r="H20" s="4">
        <v>2.62</v>
      </c>
      <c r="I20" s="4">
        <v>2.5</v>
      </c>
      <c r="J20" s="4">
        <v>1.53</v>
      </c>
      <c r="K20" s="4">
        <v>7</v>
      </c>
      <c r="L20" s="4">
        <v>11</v>
      </c>
      <c r="M20" s="4">
        <v>6</v>
      </c>
      <c r="N20" s="4">
        <v>1.5492208999999999</v>
      </c>
    </row>
    <row r="21" spans="2:14" x14ac:dyDescent="0.25">
      <c r="B21" s="4">
        <v>1.28</v>
      </c>
      <c r="C21" s="4">
        <v>6</v>
      </c>
      <c r="D21" s="4">
        <v>13</v>
      </c>
      <c r="E21" s="4">
        <v>1.95</v>
      </c>
      <c r="F21" s="4">
        <v>1.8</v>
      </c>
      <c r="G21" s="4">
        <v>1.1599999999999999</v>
      </c>
      <c r="H21" s="4">
        <v>5</v>
      </c>
      <c r="I21" s="4">
        <v>1.53</v>
      </c>
      <c r="J21" s="4">
        <v>2.5</v>
      </c>
      <c r="K21" s="4">
        <v>8</v>
      </c>
      <c r="L21" s="4">
        <v>9</v>
      </c>
      <c r="M21" s="4">
        <v>12</v>
      </c>
      <c r="N21" s="4">
        <v>1.3792230999999999</v>
      </c>
    </row>
    <row r="22" spans="2:14" x14ac:dyDescent="0.25">
      <c r="B22" s="4">
        <v>2.5499999999999998</v>
      </c>
      <c r="C22" s="4">
        <v>3.6</v>
      </c>
      <c r="D22" s="4">
        <v>2.8</v>
      </c>
      <c r="E22" s="4">
        <v>1.53</v>
      </c>
      <c r="F22" s="4">
        <v>2.37</v>
      </c>
      <c r="G22" s="4">
        <v>1.2</v>
      </c>
      <c r="H22" s="4">
        <v>4.5</v>
      </c>
      <c r="I22" s="4">
        <v>1.66</v>
      </c>
      <c r="J22" s="4">
        <v>2.2000000000000002</v>
      </c>
      <c r="K22" s="4">
        <v>12</v>
      </c>
      <c r="L22" s="4">
        <v>11</v>
      </c>
      <c r="M22" s="4">
        <v>7</v>
      </c>
      <c r="N22" s="4">
        <v>1.3754286</v>
      </c>
    </row>
    <row r="23" spans="2:14" x14ac:dyDescent="0.25">
      <c r="B23" s="4">
        <v>4.75</v>
      </c>
      <c r="C23" s="4">
        <v>4</v>
      </c>
      <c r="D23" s="4">
        <v>1.7</v>
      </c>
      <c r="E23" s="4">
        <v>1.53</v>
      </c>
      <c r="F23" s="4">
        <v>2.37</v>
      </c>
      <c r="G23" s="4">
        <v>1.1599999999999999</v>
      </c>
      <c r="H23" s="4">
        <v>5</v>
      </c>
      <c r="I23" s="4">
        <v>1.53</v>
      </c>
      <c r="J23" s="4">
        <v>2.5</v>
      </c>
      <c r="K23" s="4">
        <v>19</v>
      </c>
      <c r="L23" s="4">
        <v>15</v>
      </c>
      <c r="M23" s="4">
        <v>7.5</v>
      </c>
      <c r="N23" s="4">
        <v>1.2705854999999999</v>
      </c>
    </row>
    <row r="24" spans="2:14" x14ac:dyDescent="0.25">
      <c r="B24" s="4">
        <v>1.95</v>
      </c>
      <c r="C24" s="4">
        <v>3.9</v>
      </c>
      <c r="D24" s="4">
        <v>3.9</v>
      </c>
      <c r="E24" s="4">
        <v>1.57</v>
      </c>
      <c r="F24" s="4">
        <v>2.25</v>
      </c>
      <c r="G24" s="4">
        <v>1.2</v>
      </c>
      <c r="H24" s="4">
        <v>4.5</v>
      </c>
      <c r="I24" s="4">
        <v>1.66</v>
      </c>
      <c r="J24" s="4">
        <v>2.2000000000000002</v>
      </c>
      <c r="K24" s="4">
        <v>10</v>
      </c>
      <c r="L24" s="4">
        <v>9</v>
      </c>
      <c r="M24" s="4">
        <v>8</v>
      </c>
      <c r="N24" s="4">
        <v>1.410072</v>
      </c>
    </row>
    <row r="25" spans="2:14" x14ac:dyDescent="0.25">
      <c r="B25" s="4">
        <v>2.2000000000000002</v>
      </c>
      <c r="C25" s="4">
        <v>3.6</v>
      </c>
      <c r="D25" s="4">
        <v>3.1</v>
      </c>
      <c r="E25" s="4">
        <v>1.57</v>
      </c>
      <c r="F25" s="4">
        <v>2.25</v>
      </c>
      <c r="G25" s="4">
        <v>1.22</v>
      </c>
      <c r="H25" s="4">
        <v>4.33</v>
      </c>
      <c r="I25" s="4">
        <v>1.66</v>
      </c>
      <c r="J25" s="4">
        <v>2.2000000000000002</v>
      </c>
      <c r="K25" s="4">
        <v>10</v>
      </c>
      <c r="L25" s="4">
        <v>9</v>
      </c>
      <c r="M25" s="4">
        <v>7</v>
      </c>
      <c r="N25" s="4">
        <v>1.4455937000000001</v>
      </c>
    </row>
    <row r="26" spans="2:14" x14ac:dyDescent="0.25">
      <c r="B26" s="4">
        <v>2</v>
      </c>
      <c r="C26" s="4">
        <v>3.2</v>
      </c>
      <c r="D26" s="4">
        <v>4.2</v>
      </c>
      <c r="E26" s="4">
        <v>2.2000000000000002</v>
      </c>
      <c r="F26" s="4">
        <v>1.61</v>
      </c>
      <c r="G26" s="4">
        <v>1.53</v>
      </c>
      <c r="H26" s="4">
        <v>2.5</v>
      </c>
      <c r="I26" s="4">
        <v>2.5</v>
      </c>
      <c r="J26" s="4">
        <v>1.53</v>
      </c>
      <c r="K26" s="4">
        <v>5.5</v>
      </c>
      <c r="L26" s="4">
        <v>9.5</v>
      </c>
      <c r="M26" s="4">
        <v>6</v>
      </c>
      <c r="N26" s="4">
        <v>1.6914796999999999</v>
      </c>
    </row>
    <row r="27" spans="2:14" x14ac:dyDescent="0.25">
      <c r="B27" s="4">
        <v>1.61</v>
      </c>
      <c r="C27" s="4">
        <v>3.6</v>
      </c>
      <c r="D27" s="4">
        <v>6</v>
      </c>
      <c r="E27" s="4">
        <v>2</v>
      </c>
      <c r="F27" s="4">
        <v>1.72</v>
      </c>
      <c r="G27" s="4">
        <v>1.33</v>
      </c>
      <c r="H27" s="4">
        <v>3.25</v>
      </c>
      <c r="I27" s="4">
        <v>2.1</v>
      </c>
      <c r="J27" s="4">
        <v>1.7</v>
      </c>
      <c r="K27" s="4">
        <v>6</v>
      </c>
      <c r="L27" s="4">
        <v>8.5</v>
      </c>
      <c r="M27" s="4">
        <v>7</v>
      </c>
      <c r="N27" s="4">
        <v>1.6158153</v>
      </c>
    </row>
    <row r="28" spans="2:14" x14ac:dyDescent="0.25">
      <c r="B28" s="4">
        <v>2.15</v>
      </c>
      <c r="C28" s="4">
        <v>3.25</v>
      </c>
      <c r="D28" s="4">
        <v>3.6</v>
      </c>
      <c r="E28" s="4">
        <v>1.9</v>
      </c>
      <c r="F28" s="4">
        <v>1.9</v>
      </c>
      <c r="G28" s="4">
        <v>1.36</v>
      </c>
      <c r="H28" s="4">
        <v>3.2</v>
      </c>
      <c r="I28" s="4">
        <v>2.2000000000000002</v>
      </c>
      <c r="J28" s="4">
        <v>1.66</v>
      </c>
      <c r="K28" s="4">
        <v>7</v>
      </c>
      <c r="L28" s="4">
        <v>9</v>
      </c>
      <c r="M28" s="4">
        <v>6</v>
      </c>
      <c r="N28" s="4">
        <v>1.5988678999999999</v>
      </c>
    </row>
    <row r="29" spans="2:14" x14ac:dyDescent="0.25">
      <c r="B29" s="4">
        <v>3.2</v>
      </c>
      <c r="C29" s="4">
        <v>3.5</v>
      </c>
      <c r="D29" s="4">
        <v>2.2000000000000002</v>
      </c>
      <c r="E29" s="4">
        <v>1.75</v>
      </c>
      <c r="F29" s="4">
        <v>2</v>
      </c>
      <c r="G29" s="4">
        <v>1.3</v>
      </c>
      <c r="H29" s="4">
        <v>3.5</v>
      </c>
      <c r="I29" s="4">
        <v>1.9</v>
      </c>
      <c r="J29" s="4">
        <v>1.9</v>
      </c>
      <c r="K29" s="4">
        <v>10</v>
      </c>
      <c r="L29" s="4">
        <v>11</v>
      </c>
      <c r="M29" s="4">
        <v>6.5</v>
      </c>
      <c r="N29" s="4">
        <v>1.4276785000000001</v>
      </c>
    </row>
    <row r="30" spans="2:14" x14ac:dyDescent="0.25">
      <c r="B30" s="4">
        <v>3.3</v>
      </c>
      <c r="C30" s="4">
        <v>3.2</v>
      </c>
      <c r="D30" s="4">
        <v>2.2999999999999998</v>
      </c>
      <c r="E30" s="4">
        <v>1.95</v>
      </c>
      <c r="F30" s="4">
        <v>1.8</v>
      </c>
      <c r="G30" s="4">
        <v>1.4</v>
      </c>
      <c r="H30" s="4">
        <v>3</v>
      </c>
      <c r="I30" s="4">
        <v>2.2999999999999998</v>
      </c>
      <c r="J30" s="4">
        <v>1.61</v>
      </c>
      <c r="K30" s="4">
        <v>8.5</v>
      </c>
      <c r="L30" s="4">
        <v>12</v>
      </c>
      <c r="M30" s="4">
        <v>6</v>
      </c>
      <c r="N30" s="4">
        <v>1.4751879000000001</v>
      </c>
    </row>
    <row r="31" spans="2:14" x14ac:dyDescent="0.25">
      <c r="B31" s="4">
        <v>1.57</v>
      </c>
      <c r="C31" s="4">
        <v>4.2</v>
      </c>
      <c r="D31" s="4">
        <v>6.5</v>
      </c>
      <c r="E31" s="4">
        <v>1.75</v>
      </c>
      <c r="F31" s="4">
        <v>2</v>
      </c>
      <c r="G31" s="4">
        <v>1.2</v>
      </c>
      <c r="H31" s="4">
        <v>4.33</v>
      </c>
      <c r="I31" s="4">
        <v>1.65</v>
      </c>
      <c r="J31" s="4">
        <v>2.2000000000000002</v>
      </c>
      <c r="K31" s="4">
        <v>8</v>
      </c>
      <c r="L31" s="4">
        <v>10</v>
      </c>
      <c r="M31" s="4">
        <v>7.5</v>
      </c>
      <c r="N31" s="4">
        <v>1.4543751</v>
      </c>
    </row>
    <row r="32" spans="2:14" x14ac:dyDescent="0.25">
      <c r="B32" s="4">
        <v>1.95</v>
      </c>
      <c r="C32" s="4">
        <v>3.6</v>
      </c>
      <c r="D32" s="4">
        <v>4.2</v>
      </c>
      <c r="E32" s="4">
        <v>1.75</v>
      </c>
      <c r="F32" s="4">
        <v>2</v>
      </c>
      <c r="G32" s="4">
        <v>1.28</v>
      </c>
      <c r="H32" s="4">
        <v>3.5</v>
      </c>
      <c r="I32" s="4">
        <v>1.95</v>
      </c>
      <c r="J32" s="4">
        <v>1.85</v>
      </c>
      <c r="K32" s="4">
        <v>7.5</v>
      </c>
      <c r="L32" s="4">
        <v>8.5</v>
      </c>
      <c r="M32" s="4">
        <v>6.5</v>
      </c>
      <c r="N32" s="4">
        <v>1.558692</v>
      </c>
    </row>
    <row r="33" spans="2:14" x14ac:dyDescent="0.25">
      <c r="B33" s="4">
        <v>1.08</v>
      </c>
      <c r="C33" s="4">
        <v>13</v>
      </c>
      <c r="D33" s="4">
        <v>20</v>
      </c>
      <c r="E33" s="4">
        <v>2.25</v>
      </c>
      <c r="F33" s="4">
        <v>1.57</v>
      </c>
      <c r="G33" s="4">
        <v>1.08</v>
      </c>
      <c r="H33" s="4">
        <v>8</v>
      </c>
      <c r="I33" s="4">
        <v>1.28</v>
      </c>
      <c r="J33" s="4">
        <v>3.6</v>
      </c>
      <c r="K33" s="4">
        <v>10</v>
      </c>
      <c r="L33" s="4">
        <v>12</v>
      </c>
      <c r="M33" s="4">
        <v>20</v>
      </c>
      <c r="N33" s="4">
        <v>1.2263598</v>
      </c>
    </row>
    <row r="34" spans="2:14" x14ac:dyDescent="0.25">
      <c r="B34" s="4">
        <v>3.5</v>
      </c>
      <c r="C34" s="4">
        <v>3.4</v>
      </c>
      <c r="D34" s="4">
        <v>2.25</v>
      </c>
      <c r="E34" s="4">
        <v>1.75</v>
      </c>
      <c r="F34" s="4">
        <v>2</v>
      </c>
      <c r="G34" s="4">
        <v>1.3</v>
      </c>
      <c r="H34" s="4">
        <v>3.4</v>
      </c>
      <c r="I34" s="4">
        <v>1.95</v>
      </c>
      <c r="J34" s="4">
        <v>1.85</v>
      </c>
      <c r="K34" s="4">
        <v>10</v>
      </c>
      <c r="L34" s="4">
        <v>12</v>
      </c>
      <c r="M34" s="4">
        <v>6</v>
      </c>
      <c r="N34" s="4">
        <v>1.4387743</v>
      </c>
    </row>
    <row r="35" spans="2:14" x14ac:dyDescent="0.25">
      <c r="B35" s="4">
        <v>1.1100000000000001</v>
      </c>
      <c r="C35" s="4">
        <v>11</v>
      </c>
      <c r="D35" s="4">
        <v>20</v>
      </c>
      <c r="E35" s="4">
        <v>2.2000000000000002</v>
      </c>
      <c r="F35" s="4">
        <v>1.61</v>
      </c>
      <c r="G35" s="4">
        <v>1.07</v>
      </c>
      <c r="H35" s="4">
        <v>9</v>
      </c>
      <c r="I35" s="4">
        <v>1.25</v>
      </c>
      <c r="J35" s="4">
        <v>4</v>
      </c>
      <c r="K35" s="4">
        <v>12</v>
      </c>
      <c r="L35" s="4">
        <v>13</v>
      </c>
      <c r="M35" s="4">
        <v>19</v>
      </c>
      <c r="N35" s="4">
        <v>1.2140217</v>
      </c>
    </row>
    <row r="36" spans="2:14" x14ac:dyDescent="0.25">
      <c r="B36" s="4">
        <v>1.2</v>
      </c>
      <c r="C36" s="4">
        <v>7.5</v>
      </c>
      <c r="D36" s="4">
        <v>17</v>
      </c>
      <c r="E36" s="4">
        <v>1.95</v>
      </c>
      <c r="F36" s="4">
        <v>1.8</v>
      </c>
      <c r="G36" s="4">
        <v>1.1399999999999999</v>
      </c>
      <c r="H36" s="4">
        <v>5.5</v>
      </c>
      <c r="I36" s="4">
        <v>1.44</v>
      </c>
      <c r="J36" s="4">
        <v>2.7</v>
      </c>
      <c r="K36" s="4">
        <v>7.5</v>
      </c>
      <c r="L36" s="4">
        <v>8.5</v>
      </c>
      <c r="M36" s="4">
        <v>12</v>
      </c>
      <c r="N36" s="4">
        <v>1.4070260000000001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Sheet1!happened_pred</vt:lpstr>
      <vt:lpstr>Sheet2!odds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2020-10-08T19:34:45Z</dcterms:created>
  <dcterms:modified xsi:type="dcterms:W3CDTF">2020-10-08T21:54:17Z</dcterms:modified>
</cp:coreProperties>
</file>