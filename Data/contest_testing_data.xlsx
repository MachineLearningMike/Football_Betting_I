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lients\Thomas\source\Data\"/>
    </mc:Choice>
  </mc:AlternateContent>
  <xr:revisionPtr revIDLastSave="0" documentId="13_ncr:1_{3DFC973B-2596-472F-87EA-E7992F7E2B7C}" xr6:coauthVersionLast="45" xr6:coauthVersionMax="45" xr10:uidLastSave="{00000000-0000-0000-0000-000000000000}"/>
  <bookViews>
    <workbookView xWindow="28845" yWindow="90" windowWidth="28740" windowHeight="14160" xr2:uid="{DD66C6EC-071D-4BE4-9D42-E131B4DCD7E8}"/>
  </bookViews>
  <sheets>
    <sheet name="Sheet2" sheetId="2" r:id="rId1"/>
    <sheet name="Sheet1" sheetId="1" r:id="rId2"/>
  </sheets>
  <definedNames>
    <definedName name="testing_data" localSheetId="0">Sheet2!$A$1:$CZ$501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F3" i="2"/>
  <c r="G3" i="2"/>
  <c r="E4" i="2"/>
  <c r="F4" i="2"/>
  <c r="G4" i="2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43" i="2"/>
  <c r="F43" i="2"/>
  <c r="G43" i="2"/>
  <c r="E44" i="2"/>
  <c r="F44" i="2"/>
  <c r="G44" i="2"/>
  <c r="E45" i="2"/>
  <c r="F45" i="2"/>
  <c r="G45" i="2"/>
  <c r="E46" i="2"/>
  <c r="F46" i="2"/>
  <c r="G46" i="2"/>
  <c r="E47" i="2"/>
  <c r="F47" i="2"/>
  <c r="G47" i="2"/>
  <c r="E48" i="2"/>
  <c r="F48" i="2"/>
  <c r="G48" i="2"/>
  <c r="E49" i="2"/>
  <c r="F49" i="2"/>
  <c r="G49" i="2"/>
  <c r="E50" i="2"/>
  <c r="F50" i="2"/>
  <c r="G50" i="2"/>
  <c r="E51" i="2"/>
  <c r="F51" i="2"/>
  <c r="G51" i="2"/>
  <c r="E52" i="2"/>
  <c r="F52" i="2"/>
  <c r="G52" i="2"/>
  <c r="E53" i="2"/>
  <c r="F53" i="2"/>
  <c r="G53" i="2"/>
  <c r="E54" i="2"/>
  <c r="F54" i="2"/>
  <c r="G54" i="2"/>
  <c r="E55" i="2"/>
  <c r="F55" i="2"/>
  <c r="G55" i="2"/>
  <c r="E56" i="2"/>
  <c r="F56" i="2"/>
  <c r="G56" i="2"/>
  <c r="E57" i="2"/>
  <c r="F57" i="2"/>
  <c r="G57" i="2"/>
  <c r="E58" i="2"/>
  <c r="F58" i="2"/>
  <c r="G58" i="2"/>
  <c r="E59" i="2"/>
  <c r="F59" i="2"/>
  <c r="G59" i="2"/>
  <c r="E60" i="2"/>
  <c r="F60" i="2"/>
  <c r="G60" i="2"/>
  <c r="E61" i="2"/>
  <c r="F61" i="2"/>
  <c r="G61" i="2"/>
  <c r="E62" i="2"/>
  <c r="F62" i="2"/>
  <c r="G62" i="2"/>
  <c r="E63" i="2"/>
  <c r="F63" i="2"/>
  <c r="G63" i="2"/>
  <c r="E64" i="2"/>
  <c r="F64" i="2"/>
  <c r="G64" i="2"/>
  <c r="E65" i="2"/>
  <c r="F65" i="2"/>
  <c r="G65" i="2"/>
  <c r="E66" i="2"/>
  <c r="F66" i="2"/>
  <c r="G66" i="2"/>
  <c r="E67" i="2"/>
  <c r="F67" i="2"/>
  <c r="G67" i="2"/>
  <c r="E68" i="2"/>
  <c r="F68" i="2"/>
  <c r="G68" i="2"/>
  <c r="E69" i="2"/>
  <c r="F69" i="2"/>
  <c r="G69" i="2"/>
  <c r="E70" i="2"/>
  <c r="F70" i="2"/>
  <c r="G70" i="2"/>
  <c r="E71" i="2"/>
  <c r="F71" i="2"/>
  <c r="G71" i="2"/>
  <c r="E72" i="2"/>
  <c r="F72" i="2"/>
  <c r="G72" i="2"/>
  <c r="E73" i="2"/>
  <c r="F73" i="2"/>
  <c r="G73" i="2"/>
  <c r="E74" i="2"/>
  <c r="F74" i="2"/>
  <c r="G74" i="2"/>
  <c r="E75" i="2"/>
  <c r="F75" i="2"/>
  <c r="G75" i="2"/>
  <c r="E76" i="2"/>
  <c r="F76" i="2"/>
  <c r="G76" i="2"/>
  <c r="E77" i="2"/>
  <c r="F77" i="2"/>
  <c r="G77" i="2"/>
  <c r="E78" i="2"/>
  <c r="F78" i="2"/>
  <c r="G78" i="2"/>
  <c r="E79" i="2"/>
  <c r="F79" i="2"/>
  <c r="G79" i="2"/>
  <c r="E80" i="2"/>
  <c r="F80" i="2"/>
  <c r="G80" i="2"/>
  <c r="E81" i="2"/>
  <c r="F81" i="2"/>
  <c r="G81" i="2"/>
  <c r="E82" i="2"/>
  <c r="F82" i="2"/>
  <c r="G82" i="2"/>
  <c r="E83" i="2"/>
  <c r="F83" i="2"/>
  <c r="G83" i="2"/>
  <c r="E84" i="2"/>
  <c r="F84" i="2"/>
  <c r="G84" i="2"/>
  <c r="E85" i="2"/>
  <c r="F85" i="2"/>
  <c r="G85" i="2"/>
  <c r="E86" i="2"/>
  <c r="F86" i="2"/>
  <c r="G86" i="2"/>
  <c r="E87" i="2"/>
  <c r="F87" i="2"/>
  <c r="G87" i="2"/>
  <c r="E88" i="2"/>
  <c r="F88" i="2"/>
  <c r="G88" i="2"/>
  <c r="E89" i="2"/>
  <c r="F89" i="2"/>
  <c r="G89" i="2"/>
  <c r="E90" i="2"/>
  <c r="F90" i="2"/>
  <c r="G90" i="2"/>
  <c r="E91" i="2"/>
  <c r="F91" i="2"/>
  <c r="G91" i="2"/>
  <c r="E92" i="2"/>
  <c r="F92" i="2"/>
  <c r="G92" i="2"/>
  <c r="E93" i="2"/>
  <c r="F93" i="2"/>
  <c r="G93" i="2"/>
  <c r="E94" i="2"/>
  <c r="F94" i="2"/>
  <c r="G94" i="2"/>
  <c r="E95" i="2"/>
  <c r="F95" i="2"/>
  <c r="G95" i="2"/>
  <c r="E96" i="2"/>
  <c r="F96" i="2"/>
  <c r="G96" i="2"/>
  <c r="E97" i="2"/>
  <c r="F97" i="2"/>
  <c r="G97" i="2"/>
  <c r="E98" i="2"/>
  <c r="F98" i="2"/>
  <c r="G98" i="2"/>
  <c r="E99" i="2"/>
  <c r="F99" i="2"/>
  <c r="G99" i="2"/>
  <c r="E100" i="2"/>
  <c r="F100" i="2"/>
  <c r="G100" i="2"/>
  <c r="E101" i="2"/>
  <c r="F101" i="2"/>
  <c r="G101" i="2"/>
  <c r="E102" i="2"/>
  <c r="F102" i="2"/>
  <c r="G102" i="2"/>
  <c r="E103" i="2"/>
  <c r="F103" i="2"/>
  <c r="G103" i="2"/>
  <c r="E104" i="2"/>
  <c r="F104" i="2"/>
  <c r="G104" i="2"/>
  <c r="E105" i="2"/>
  <c r="F105" i="2"/>
  <c r="G105" i="2"/>
  <c r="E106" i="2"/>
  <c r="F106" i="2"/>
  <c r="G106" i="2"/>
  <c r="E107" i="2"/>
  <c r="F107" i="2"/>
  <c r="G107" i="2"/>
  <c r="E108" i="2"/>
  <c r="F108" i="2"/>
  <c r="G108" i="2"/>
  <c r="E109" i="2"/>
  <c r="F109" i="2"/>
  <c r="G109" i="2"/>
  <c r="E110" i="2"/>
  <c r="F110" i="2"/>
  <c r="G110" i="2"/>
  <c r="E111" i="2"/>
  <c r="F111" i="2"/>
  <c r="G111" i="2"/>
  <c r="E112" i="2"/>
  <c r="F112" i="2"/>
  <c r="G112" i="2"/>
  <c r="E113" i="2"/>
  <c r="F113" i="2"/>
  <c r="G113" i="2"/>
  <c r="E114" i="2"/>
  <c r="F114" i="2"/>
  <c r="G114" i="2"/>
  <c r="E115" i="2"/>
  <c r="F115" i="2"/>
  <c r="G115" i="2"/>
  <c r="E116" i="2"/>
  <c r="F116" i="2"/>
  <c r="G116" i="2"/>
  <c r="E117" i="2"/>
  <c r="F117" i="2"/>
  <c r="G117" i="2"/>
  <c r="E118" i="2"/>
  <c r="F118" i="2"/>
  <c r="G118" i="2"/>
  <c r="E119" i="2"/>
  <c r="F119" i="2"/>
  <c r="G119" i="2"/>
  <c r="E120" i="2"/>
  <c r="F120" i="2"/>
  <c r="G120" i="2"/>
  <c r="E121" i="2"/>
  <c r="F121" i="2"/>
  <c r="G121" i="2"/>
  <c r="E122" i="2"/>
  <c r="F122" i="2"/>
  <c r="G122" i="2"/>
  <c r="E123" i="2"/>
  <c r="F123" i="2"/>
  <c r="G123" i="2"/>
  <c r="E124" i="2"/>
  <c r="F124" i="2"/>
  <c r="G124" i="2"/>
  <c r="E125" i="2"/>
  <c r="F125" i="2"/>
  <c r="G125" i="2"/>
  <c r="E126" i="2"/>
  <c r="F126" i="2"/>
  <c r="G126" i="2"/>
  <c r="E127" i="2"/>
  <c r="F127" i="2"/>
  <c r="G127" i="2"/>
  <c r="E128" i="2"/>
  <c r="F128" i="2"/>
  <c r="G128" i="2"/>
  <c r="E129" i="2"/>
  <c r="F129" i="2"/>
  <c r="G129" i="2"/>
  <c r="E130" i="2"/>
  <c r="F130" i="2"/>
  <c r="G130" i="2"/>
  <c r="E131" i="2"/>
  <c r="F131" i="2"/>
  <c r="G131" i="2"/>
  <c r="E132" i="2"/>
  <c r="F132" i="2"/>
  <c r="G132" i="2"/>
  <c r="E133" i="2"/>
  <c r="F133" i="2"/>
  <c r="G133" i="2"/>
  <c r="E134" i="2"/>
  <c r="F134" i="2"/>
  <c r="G134" i="2"/>
  <c r="E135" i="2"/>
  <c r="F135" i="2"/>
  <c r="G135" i="2"/>
  <c r="E136" i="2"/>
  <c r="F136" i="2"/>
  <c r="G136" i="2"/>
  <c r="E137" i="2"/>
  <c r="F137" i="2"/>
  <c r="G137" i="2"/>
  <c r="E138" i="2"/>
  <c r="F138" i="2"/>
  <c r="G138" i="2"/>
  <c r="E139" i="2"/>
  <c r="F139" i="2"/>
  <c r="G139" i="2"/>
  <c r="E140" i="2"/>
  <c r="F140" i="2"/>
  <c r="G140" i="2"/>
  <c r="E141" i="2"/>
  <c r="F141" i="2"/>
  <c r="G141" i="2"/>
  <c r="E142" i="2"/>
  <c r="F142" i="2"/>
  <c r="G142" i="2"/>
  <c r="E143" i="2"/>
  <c r="F143" i="2"/>
  <c r="G143" i="2"/>
  <c r="E144" i="2"/>
  <c r="F144" i="2"/>
  <c r="G144" i="2"/>
  <c r="E145" i="2"/>
  <c r="F145" i="2"/>
  <c r="G145" i="2"/>
  <c r="E146" i="2"/>
  <c r="F146" i="2"/>
  <c r="G146" i="2"/>
  <c r="E147" i="2"/>
  <c r="F147" i="2"/>
  <c r="G147" i="2"/>
  <c r="E148" i="2"/>
  <c r="F148" i="2"/>
  <c r="G148" i="2"/>
  <c r="E149" i="2"/>
  <c r="F149" i="2"/>
  <c r="G149" i="2"/>
  <c r="E150" i="2"/>
  <c r="F150" i="2"/>
  <c r="G150" i="2"/>
  <c r="E151" i="2"/>
  <c r="F151" i="2"/>
  <c r="G151" i="2"/>
  <c r="E152" i="2"/>
  <c r="F152" i="2"/>
  <c r="G152" i="2"/>
  <c r="E153" i="2"/>
  <c r="F153" i="2"/>
  <c r="G153" i="2"/>
  <c r="E154" i="2"/>
  <c r="F154" i="2"/>
  <c r="G154" i="2"/>
  <c r="E155" i="2"/>
  <c r="F155" i="2"/>
  <c r="G155" i="2"/>
  <c r="E156" i="2"/>
  <c r="F156" i="2"/>
  <c r="G156" i="2"/>
  <c r="E157" i="2"/>
  <c r="F157" i="2"/>
  <c r="G157" i="2"/>
  <c r="E158" i="2"/>
  <c r="F158" i="2"/>
  <c r="G158" i="2"/>
  <c r="E159" i="2"/>
  <c r="F159" i="2"/>
  <c r="G159" i="2"/>
  <c r="E160" i="2"/>
  <c r="F160" i="2"/>
  <c r="G160" i="2"/>
  <c r="E161" i="2"/>
  <c r="F161" i="2"/>
  <c r="G161" i="2"/>
  <c r="E162" i="2"/>
  <c r="F162" i="2"/>
  <c r="G162" i="2"/>
  <c r="E163" i="2"/>
  <c r="F163" i="2"/>
  <c r="G163" i="2"/>
  <c r="E164" i="2"/>
  <c r="F164" i="2"/>
  <c r="G164" i="2"/>
  <c r="E165" i="2"/>
  <c r="F165" i="2"/>
  <c r="G165" i="2"/>
  <c r="E166" i="2"/>
  <c r="F166" i="2"/>
  <c r="G166" i="2"/>
  <c r="E167" i="2"/>
  <c r="F167" i="2"/>
  <c r="G167" i="2"/>
  <c r="E168" i="2"/>
  <c r="F168" i="2"/>
  <c r="G168" i="2"/>
  <c r="E169" i="2"/>
  <c r="F169" i="2"/>
  <c r="G169" i="2"/>
  <c r="E170" i="2"/>
  <c r="F170" i="2"/>
  <c r="G170" i="2"/>
  <c r="E171" i="2"/>
  <c r="F171" i="2"/>
  <c r="G171" i="2"/>
  <c r="E172" i="2"/>
  <c r="F172" i="2"/>
  <c r="G172" i="2"/>
  <c r="E173" i="2"/>
  <c r="F173" i="2"/>
  <c r="G173" i="2"/>
  <c r="E174" i="2"/>
  <c r="F174" i="2"/>
  <c r="G174" i="2"/>
  <c r="E175" i="2"/>
  <c r="F175" i="2"/>
  <c r="G175" i="2"/>
  <c r="E176" i="2"/>
  <c r="F176" i="2"/>
  <c r="G176" i="2"/>
  <c r="E177" i="2"/>
  <c r="F177" i="2"/>
  <c r="G177" i="2"/>
  <c r="E178" i="2"/>
  <c r="F178" i="2"/>
  <c r="G178" i="2"/>
  <c r="E179" i="2"/>
  <c r="F179" i="2"/>
  <c r="G179" i="2"/>
  <c r="E180" i="2"/>
  <c r="F180" i="2"/>
  <c r="G180" i="2"/>
  <c r="E181" i="2"/>
  <c r="F181" i="2"/>
  <c r="G181" i="2"/>
  <c r="E182" i="2"/>
  <c r="F182" i="2"/>
  <c r="G182" i="2"/>
  <c r="E183" i="2"/>
  <c r="F183" i="2"/>
  <c r="G183" i="2"/>
  <c r="E184" i="2"/>
  <c r="F184" i="2"/>
  <c r="G184" i="2"/>
  <c r="E185" i="2"/>
  <c r="F185" i="2"/>
  <c r="G185" i="2"/>
  <c r="E186" i="2"/>
  <c r="F186" i="2"/>
  <c r="G186" i="2"/>
  <c r="E187" i="2"/>
  <c r="F187" i="2"/>
  <c r="G187" i="2"/>
  <c r="E188" i="2"/>
  <c r="F188" i="2"/>
  <c r="G188" i="2"/>
  <c r="E189" i="2"/>
  <c r="F189" i="2"/>
  <c r="G189" i="2"/>
  <c r="E190" i="2"/>
  <c r="F190" i="2"/>
  <c r="G190" i="2"/>
  <c r="E191" i="2"/>
  <c r="F191" i="2"/>
  <c r="G191" i="2"/>
  <c r="E192" i="2"/>
  <c r="F192" i="2"/>
  <c r="G192" i="2"/>
  <c r="E193" i="2"/>
  <c r="F193" i="2"/>
  <c r="G193" i="2"/>
  <c r="E194" i="2"/>
  <c r="F194" i="2"/>
  <c r="G194" i="2"/>
  <c r="E195" i="2"/>
  <c r="F195" i="2"/>
  <c r="G195" i="2"/>
  <c r="E196" i="2"/>
  <c r="F196" i="2"/>
  <c r="G196" i="2"/>
  <c r="E197" i="2"/>
  <c r="F197" i="2"/>
  <c r="G197" i="2"/>
  <c r="E198" i="2"/>
  <c r="F198" i="2"/>
  <c r="G198" i="2"/>
  <c r="E199" i="2"/>
  <c r="F199" i="2"/>
  <c r="G199" i="2"/>
  <c r="E200" i="2"/>
  <c r="F200" i="2"/>
  <c r="G200" i="2"/>
  <c r="E201" i="2"/>
  <c r="F201" i="2"/>
  <c r="G201" i="2"/>
  <c r="E202" i="2"/>
  <c r="F202" i="2"/>
  <c r="G202" i="2"/>
  <c r="E203" i="2"/>
  <c r="F203" i="2"/>
  <c r="G203" i="2"/>
  <c r="E204" i="2"/>
  <c r="F204" i="2"/>
  <c r="G204" i="2"/>
  <c r="E205" i="2"/>
  <c r="F205" i="2"/>
  <c r="G205" i="2"/>
  <c r="E206" i="2"/>
  <c r="F206" i="2"/>
  <c r="G206" i="2"/>
  <c r="E207" i="2"/>
  <c r="F207" i="2"/>
  <c r="G207" i="2"/>
  <c r="E208" i="2"/>
  <c r="F208" i="2"/>
  <c r="G208" i="2"/>
  <c r="E209" i="2"/>
  <c r="F209" i="2"/>
  <c r="G209" i="2"/>
  <c r="E210" i="2"/>
  <c r="F210" i="2"/>
  <c r="G210" i="2"/>
  <c r="E211" i="2"/>
  <c r="F211" i="2"/>
  <c r="G211" i="2"/>
  <c r="E212" i="2"/>
  <c r="F212" i="2"/>
  <c r="G212" i="2"/>
  <c r="E213" i="2"/>
  <c r="F213" i="2"/>
  <c r="G213" i="2"/>
  <c r="E214" i="2"/>
  <c r="F214" i="2"/>
  <c r="G214" i="2"/>
  <c r="E215" i="2"/>
  <c r="F215" i="2"/>
  <c r="G215" i="2"/>
  <c r="E216" i="2"/>
  <c r="F216" i="2"/>
  <c r="G216" i="2"/>
  <c r="E217" i="2"/>
  <c r="F217" i="2"/>
  <c r="G217" i="2"/>
  <c r="E218" i="2"/>
  <c r="F218" i="2"/>
  <c r="G218" i="2"/>
  <c r="E219" i="2"/>
  <c r="F219" i="2"/>
  <c r="G219" i="2"/>
  <c r="E220" i="2"/>
  <c r="F220" i="2"/>
  <c r="G220" i="2"/>
  <c r="E221" i="2"/>
  <c r="F221" i="2"/>
  <c r="G221" i="2"/>
  <c r="E222" i="2"/>
  <c r="F222" i="2"/>
  <c r="G222" i="2"/>
  <c r="E223" i="2"/>
  <c r="F223" i="2"/>
  <c r="G223" i="2"/>
  <c r="E224" i="2"/>
  <c r="F224" i="2"/>
  <c r="G224" i="2"/>
  <c r="E225" i="2"/>
  <c r="F225" i="2"/>
  <c r="G225" i="2"/>
  <c r="E226" i="2"/>
  <c r="F226" i="2"/>
  <c r="G226" i="2"/>
  <c r="E227" i="2"/>
  <c r="F227" i="2"/>
  <c r="G227" i="2"/>
  <c r="E228" i="2"/>
  <c r="F228" i="2"/>
  <c r="G228" i="2"/>
  <c r="E229" i="2"/>
  <c r="F229" i="2"/>
  <c r="G229" i="2"/>
  <c r="E230" i="2"/>
  <c r="F230" i="2"/>
  <c r="G230" i="2"/>
  <c r="E231" i="2"/>
  <c r="F231" i="2"/>
  <c r="G231" i="2"/>
  <c r="E232" i="2"/>
  <c r="F232" i="2"/>
  <c r="G232" i="2"/>
  <c r="E233" i="2"/>
  <c r="F233" i="2"/>
  <c r="G233" i="2"/>
  <c r="E234" i="2"/>
  <c r="F234" i="2"/>
  <c r="G234" i="2"/>
  <c r="E235" i="2"/>
  <c r="F235" i="2"/>
  <c r="G235" i="2"/>
  <c r="E236" i="2"/>
  <c r="F236" i="2"/>
  <c r="G236" i="2"/>
  <c r="E237" i="2"/>
  <c r="F237" i="2"/>
  <c r="G237" i="2"/>
  <c r="E238" i="2"/>
  <c r="F238" i="2"/>
  <c r="G238" i="2"/>
  <c r="E239" i="2"/>
  <c r="F239" i="2"/>
  <c r="G239" i="2"/>
  <c r="E240" i="2"/>
  <c r="F240" i="2"/>
  <c r="G240" i="2"/>
  <c r="E241" i="2"/>
  <c r="F241" i="2"/>
  <c r="G241" i="2"/>
  <c r="E242" i="2"/>
  <c r="F242" i="2"/>
  <c r="G242" i="2"/>
  <c r="E243" i="2"/>
  <c r="F243" i="2"/>
  <c r="G243" i="2"/>
  <c r="E244" i="2"/>
  <c r="F244" i="2"/>
  <c r="G244" i="2"/>
  <c r="E245" i="2"/>
  <c r="F245" i="2"/>
  <c r="G245" i="2"/>
  <c r="E246" i="2"/>
  <c r="F246" i="2"/>
  <c r="G246" i="2"/>
  <c r="E247" i="2"/>
  <c r="F247" i="2"/>
  <c r="G247" i="2"/>
  <c r="E248" i="2"/>
  <c r="F248" i="2"/>
  <c r="G248" i="2"/>
  <c r="E249" i="2"/>
  <c r="F249" i="2"/>
  <c r="G249" i="2"/>
  <c r="E250" i="2"/>
  <c r="F250" i="2"/>
  <c r="G250" i="2"/>
  <c r="E251" i="2"/>
  <c r="F251" i="2"/>
  <c r="G251" i="2"/>
  <c r="E252" i="2"/>
  <c r="F252" i="2"/>
  <c r="G252" i="2"/>
  <c r="E253" i="2"/>
  <c r="F253" i="2"/>
  <c r="G253" i="2"/>
  <c r="E254" i="2"/>
  <c r="F254" i="2"/>
  <c r="G254" i="2"/>
  <c r="E255" i="2"/>
  <c r="F255" i="2"/>
  <c r="G255" i="2"/>
  <c r="E256" i="2"/>
  <c r="F256" i="2"/>
  <c r="G256" i="2"/>
  <c r="E257" i="2"/>
  <c r="F257" i="2"/>
  <c r="G257" i="2"/>
  <c r="E258" i="2"/>
  <c r="F258" i="2"/>
  <c r="G258" i="2"/>
  <c r="E259" i="2"/>
  <c r="F259" i="2"/>
  <c r="G259" i="2"/>
  <c r="E260" i="2"/>
  <c r="F260" i="2"/>
  <c r="G260" i="2"/>
  <c r="E261" i="2"/>
  <c r="F261" i="2"/>
  <c r="G261" i="2"/>
  <c r="E262" i="2"/>
  <c r="F262" i="2"/>
  <c r="G262" i="2"/>
  <c r="E263" i="2"/>
  <c r="F263" i="2"/>
  <c r="G263" i="2"/>
  <c r="E264" i="2"/>
  <c r="F264" i="2"/>
  <c r="G264" i="2"/>
  <c r="E265" i="2"/>
  <c r="F265" i="2"/>
  <c r="G265" i="2"/>
  <c r="E266" i="2"/>
  <c r="F266" i="2"/>
  <c r="G266" i="2"/>
  <c r="E267" i="2"/>
  <c r="F267" i="2"/>
  <c r="G267" i="2"/>
  <c r="E268" i="2"/>
  <c r="F268" i="2"/>
  <c r="G268" i="2"/>
  <c r="E269" i="2"/>
  <c r="F269" i="2"/>
  <c r="G269" i="2"/>
  <c r="E270" i="2"/>
  <c r="F270" i="2"/>
  <c r="G270" i="2"/>
  <c r="E271" i="2"/>
  <c r="F271" i="2"/>
  <c r="G271" i="2"/>
  <c r="E272" i="2"/>
  <c r="F272" i="2"/>
  <c r="G272" i="2"/>
  <c r="E273" i="2"/>
  <c r="F273" i="2"/>
  <c r="G273" i="2"/>
  <c r="E274" i="2"/>
  <c r="F274" i="2"/>
  <c r="G274" i="2"/>
  <c r="E275" i="2"/>
  <c r="F275" i="2"/>
  <c r="G275" i="2"/>
  <c r="E276" i="2"/>
  <c r="F276" i="2"/>
  <c r="G276" i="2"/>
  <c r="E277" i="2"/>
  <c r="F277" i="2"/>
  <c r="G277" i="2"/>
  <c r="E278" i="2"/>
  <c r="F278" i="2"/>
  <c r="G278" i="2"/>
  <c r="E279" i="2"/>
  <c r="F279" i="2"/>
  <c r="G279" i="2"/>
  <c r="E280" i="2"/>
  <c r="F280" i="2"/>
  <c r="G280" i="2"/>
  <c r="E281" i="2"/>
  <c r="F281" i="2"/>
  <c r="G281" i="2"/>
  <c r="E282" i="2"/>
  <c r="F282" i="2"/>
  <c r="G282" i="2"/>
  <c r="E283" i="2"/>
  <c r="F283" i="2"/>
  <c r="G283" i="2"/>
  <c r="E284" i="2"/>
  <c r="F284" i="2"/>
  <c r="G284" i="2"/>
  <c r="E285" i="2"/>
  <c r="F285" i="2"/>
  <c r="G285" i="2"/>
  <c r="E286" i="2"/>
  <c r="F286" i="2"/>
  <c r="G286" i="2"/>
  <c r="E287" i="2"/>
  <c r="F287" i="2"/>
  <c r="G287" i="2"/>
  <c r="E288" i="2"/>
  <c r="F288" i="2"/>
  <c r="G288" i="2"/>
  <c r="E289" i="2"/>
  <c r="F289" i="2"/>
  <c r="G289" i="2"/>
  <c r="E290" i="2"/>
  <c r="F290" i="2"/>
  <c r="G290" i="2"/>
  <c r="E291" i="2"/>
  <c r="F291" i="2"/>
  <c r="G291" i="2"/>
  <c r="E292" i="2"/>
  <c r="F292" i="2"/>
  <c r="G292" i="2"/>
  <c r="E293" i="2"/>
  <c r="F293" i="2"/>
  <c r="G293" i="2"/>
  <c r="E294" i="2"/>
  <c r="F294" i="2"/>
  <c r="G294" i="2"/>
  <c r="E295" i="2"/>
  <c r="F295" i="2"/>
  <c r="G295" i="2"/>
  <c r="E296" i="2"/>
  <c r="F296" i="2"/>
  <c r="G296" i="2"/>
  <c r="E297" i="2"/>
  <c r="F297" i="2"/>
  <c r="G297" i="2"/>
  <c r="E298" i="2"/>
  <c r="F298" i="2"/>
  <c r="G298" i="2"/>
  <c r="E299" i="2"/>
  <c r="F299" i="2"/>
  <c r="G299" i="2"/>
  <c r="E300" i="2"/>
  <c r="F300" i="2"/>
  <c r="G300" i="2"/>
  <c r="E301" i="2"/>
  <c r="F301" i="2"/>
  <c r="G301" i="2"/>
  <c r="E302" i="2"/>
  <c r="F302" i="2"/>
  <c r="G302" i="2"/>
  <c r="E303" i="2"/>
  <c r="F303" i="2"/>
  <c r="G303" i="2"/>
  <c r="E304" i="2"/>
  <c r="F304" i="2"/>
  <c r="G304" i="2"/>
  <c r="E305" i="2"/>
  <c r="F305" i="2"/>
  <c r="G305" i="2"/>
  <c r="E306" i="2"/>
  <c r="F306" i="2"/>
  <c r="G306" i="2"/>
  <c r="E307" i="2"/>
  <c r="F307" i="2"/>
  <c r="G307" i="2"/>
  <c r="E308" i="2"/>
  <c r="F308" i="2"/>
  <c r="G308" i="2"/>
  <c r="E309" i="2"/>
  <c r="F309" i="2"/>
  <c r="G309" i="2"/>
  <c r="E310" i="2"/>
  <c r="F310" i="2"/>
  <c r="G310" i="2"/>
  <c r="E311" i="2"/>
  <c r="F311" i="2"/>
  <c r="G311" i="2"/>
  <c r="E312" i="2"/>
  <c r="F312" i="2"/>
  <c r="G312" i="2"/>
  <c r="E313" i="2"/>
  <c r="F313" i="2"/>
  <c r="G313" i="2"/>
  <c r="E314" i="2"/>
  <c r="F314" i="2"/>
  <c r="G314" i="2"/>
  <c r="E315" i="2"/>
  <c r="F315" i="2"/>
  <c r="G315" i="2"/>
  <c r="E316" i="2"/>
  <c r="F316" i="2"/>
  <c r="G316" i="2"/>
  <c r="E317" i="2"/>
  <c r="F317" i="2"/>
  <c r="G317" i="2"/>
  <c r="E318" i="2"/>
  <c r="F318" i="2"/>
  <c r="G318" i="2"/>
  <c r="E319" i="2"/>
  <c r="F319" i="2"/>
  <c r="G319" i="2"/>
  <c r="E320" i="2"/>
  <c r="F320" i="2"/>
  <c r="G320" i="2"/>
  <c r="E321" i="2"/>
  <c r="F321" i="2"/>
  <c r="G321" i="2"/>
  <c r="E322" i="2"/>
  <c r="F322" i="2"/>
  <c r="G322" i="2"/>
  <c r="E323" i="2"/>
  <c r="F323" i="2"/>
  <c r="G323" i="2"/>
  <c r="E324" i="2"/>
  <c r="F324" i="2"/>
  <c r="G324" i="2"/>
  <c r="E325" i="2"/>
  <c r="F325" i="2"/>
  <c r="G325" i="2"/>
  <c r="E326" i="2"/>
  <c r="F326" i="2"/>
  <c r="G326" i="2"/>
  <c r="E327" i="2"/>
  <c r="F327" i="2"/>
  <c r="G327" i="2"/>
  <c r="E328" i="2"/>
  <c r="F328" i="2"/>
  <c r="G328" i="2"/>
  <c r="E329" i="2"/>
  <c r="F329" i="2"/>
  <c r="G329" i="2"/>
  <c r="E330" i="2"/>
  <c r="F330" i="2"/>
  <c r="G330" i="2"/>
  <c r="E331" i="2"/>
  <c r="F331" i="2"/>
  <c r="G331" i="2"/>
  <c r="E332" i="2"/>
  <c r="F332" i="2"/>
  <c r="G332" i="2"/>
  <c r="E333" i="2"/>
  <c r="F333" i="2"/>
  <c r="G333" i="2"/>
  <c r="E334" i="2"/>
  <c r="F334" i="2"/>
  <c r="G334" i="2"/>
  <c r="E335" i="2"/>
  <c r="F335" i="2"/>
  <c r="G335" i="2"/>
  <c r="E336" i="2"/>
  <c r="F336" i="2"/>
  <c r="G336" i="2"/>
  <c r="E337" i="2"/>
  <c r="F337" i="2"/>
  <c r="G337" i="2"/>
  <c r="E338" i="2"/>
  <c r="F338" i="2"/>
  <c r="G338" i="2"/>
  <c r="E339" i="2"/>
  <c r="F339" i="2"/>
  <c r="G339" i="2"/>
  <c r="E340" i="2"/>
  <c r="F340" i="2"/>
  <c r="G340" i="2"/>
  <c r="E341" i="2"/>
  <c r="F341" i="2"/>
  <c r="G341" i="2"/>
  <c r="E342" i="2"/>
  <c r="F342" i="2"/>
  <c r="G342" i="2"/>
  <c r="E343" i="2"/>
  <c r="F343" i="2"/>
  <c r="G343" i="2"/>
  <c r="E344" i="2"/>
  <c r="F344" i="2"/>
  <c r="G344" i="2"/>
  <c r="E345" i="2"/>
  <c r="F345" i="2"/>
  <c r="G345" i="2"/>
  <c r="E346" i="2"/>
  <c r="F346" i="2"/>
  <c r="G346" i="2"/>
  <c r="E347" i="2"/>
  <c r="F347" i="2"/>
  <c r="G347" i="2"/>
  <c r="E348" i="2"/>
  <c r="F348" i="2"/>
  <c r="G348" i="2"/>
  <c r="E349" i="2"/>
  <c r="F349" i="2"/>
  <c r="G349" i="2"/>
  <c r="E350" i="2"/>
  <c r="F350" i="2"/>
  <c r="G350" i="2"/>
  <c r="E351" i="2"/>
  <c r="F351" i="2"/>
  <c r="G351" i="2"/>
  <c r="E352" i="2"/>
  <c r="F352" i="2"/>
  <c r="G352" i="2"/>
  <c r="E353" i="2"/>
  <c r="F353" i="2"/>
  <c r="G353" i="2"/>
  <c r="E354" i="2"/>
  <c r="F354" i="2"/>
  <c r="G354" i="2"/>
  <c r="E355" i="2"/>
  <c r="F355" i="2"/>
  <c r="G355" i="2"/>
  <c r="E356" i="2"/>
  <c r="F356" i="2"/>
  <c r="G356" i="2"/>
  <c r="E357" i="2"/>
  <c r="F357" i="2"/>
  <c r="G357" i="2"/>
  <c r="E358" i="2"/>
  <c r="F358" i="2"/>
  <c r="G358" i="2"/>
  <c r="E359" i="2"/>
  <c r="F359" i="2"/>
  <c r="G359" i="2"/>
  <c r="E360" i="2"/>
  <c r="F360" i="2"/>
  <c r="G360" i="2"/>
  <c r="E361" i="2"/>
  <c r="F361" i="2"/>
  <c r="G361" i="2"/>
  <c r="E362" i="2"/>
  <c r="F362" i="2"/>
  <c r="G362" i="2"/>
  <c r="E363" i="2"/>
  <c r="F363" i="2"/>
  <c r="G363" i="2"/>
  <c r="E364" i="2"/>
  <c r="F364" i="2"/>
  <c r="G364" i="2"/>
  <c r="E365" i="2"/>
  <c r="F365" i="2"/>
  <c r="G365" i="2"/>
  <c r="E366" i="2"/>
  <c r="F366" i="2"/>
  <c r="G366" i="2"/>
  <c r="E367" i="2"/>
  <c r="F367" i="2"/>
  <c r="G367" i="2"/>
  <c r="E368" i="2"/>
  <c r="F368" i="2"/>
  <c r="G368" i="2"/>
  <c r="E369" i="2"/>
  <c r="F369" i="2"/>
  <c r="G369" i="2"/>
  <c r="E370" i="2"/>
  <c r="F370" i="2"/>
  <c r="G370" i="2"/>
  <c r="E371" i="2"/>
  <c r="F371" i="2"/>
  <c r="G371" i="2"/>
  <c r="E372" i="2"/>
  <c r="F372" i="2"/>
  <c r="G372" i="2"/>
  <c r="E373" i="2"/>
  <c r="F373" i="2"/>
  <c r="G373" i="2"/>
  <c r="E374" i="2"/>
  <c r="F374" i="2"/>
  <c r="G374" i="2"/>
  <c r="E375" i="2"/>
  <c r="F375" i="2"/>
  <c r="G375" i="2"/>
  <c r="E376" i="2"/>
  <c r="F376" i="2"/>
  <c r="G376" i="2"/>
  <c r="E377" i="2"/>
  <c r="F377" i="2"/>
  <c r="G377" i="2"/>
  <c r="E378" i="2"/>
  <c r="F378" i="2"/>
  <c r="G378" i="2"/>
  <c r="E379" i="2"/>
  <c r="F379" i="2"/>
  <c r="G379" i="2"/>
  <c r="E380" i="2"/>
  <c r="F380" i="2"/>
  <c r="G380" i="2"/>
  <c r="E381" i="2"/>
  <c r="F381" i="2"/>
  <c r="G381" i="2"/>
  <c r="E382" i="2"/>
  <c r="F382" i="2"/>
  <c r="G382" i="2"/>
  <c r="E383" i="2"/>
  <c r="F383" i="2"/>
  <c r="G383" i="2"/>
  <c r="E384" i="2"/>
  <c r="F384" i="2"/>
  <c r="G384" i="2"/>
  <c r="E385" i="2"/>
  <c r="F385" i="2"/>
  <c r="G385" i="2"/>
  <c r="E386" i="2"/>
  <c r="F386" i="2"/>
  <c r="G386" i="2"/>
  <c r="E387" i="2"/>
  <c r="F387" i="2"/>
  <c r="G387" i="2"/>
  <c r="E388" i="2"/>
  <c r="F388" i="2"/>
  <c r="G388" i="2"/>
  <c r="E389" i="2"/>
  <c r="F389" i="2"/>
  <c r="G389" i="2"/>
  <c r="E390" i="2"/>
  <c r="F390" i="2"/>
  <c r="G390" i="2"/>
  <c r="E391" i="2"/>
  <c r="F391" i="2"/>
  <c r="G391" i="2"/>
  <c r="E392" i="2"/>
  <c r="F392" i="2"/>
  <c r="G392" i="2"/>
  <c r="E393" i="2"/>
  <c r="F393" i="2"/>
  <c r="G393" i="2"/>
  <c r="E394" i="2"/>
  <c r="F394" i="2"/>
  <c r="G394" i="2"/>
  <c r="E395" i="2"/>
  <c r="F395" i="2"/>
  <c r="G395" i="2"/>
  <c r="E396" i="2"/>
  <c r="F396" i="2"/>
  <c r="G396" i="2"/>
  <c r="E397" i="2"/>
  <c r="F397" i="2"/>
  <c r="G397" i="2"/>
  <c r="E398" i="2"/>
  <c r="F398" i="2"/>
  <c r="G398" i="2"/>
  <c r="E399" i="2"/>
  <c r="F399" i="2"/>
  <c r="G399" i="2"/>
  <c r="E400" i="2"/>
  <c r="F400" i="2"/>
  <c r="G400" i="2"/>
  <c r="E401" i="2"/>
  <c r="F401" i="2"/>
  <c r="G401" i="2"/>
  <c r="E402" i="2"/>
  <c r="F402" i="2"/>
  <c r="G402" i="2"/>
  <c r="E403" i="2"/>
  <c r="F403" i="2"/>
  <c r="G403" i="2"/>
  <c r="E404" i="2"/>
  <c r="F404" i="2"/>
  <c r="G404" i="2"/>
  <c r="E405" i="2"/>
  <c r="F405" i="2"/>
  <c r="G405" i="2"/>
  <c r="E406" i="2"/>
  <c r="F406" i="2"/>
  <c r="G406" i="2"/>
  <c r="E407" i="2"/>
  <c r="F407" i="2"/>
  <c r="G407" i="2"/>
  <c r="E408" i="2"/>
  <c r="F408" i="2"/>
  <c r="G408" i="2"/>
  <c r="E409" i="2"/>
  <c r="F409" i="2"/>
  <c r="G409" i="2"/>
  <c r="E410" i="2"/>
  <c r="F410" i="2"/>
  <c r="G410" i="2"/>
  <c r="E411" i="2"/>
  <c r="F411" i="2"/>
  <c r="G411" i="2"/>
  <c r="E412" i="2"/>
  <c r="F412" i="2"/>
  <c r="G412" i="2"/>
  <c r="E413" i="2"/>
  <c r="F413" i="2"/>
  <c r="G413" i="2"/>
  <c r="E414" i="2"/>
  <c r="F414" i="2"/>
  <c r="G414" i="2"/>
  <c r="E415" i="2"/>
  <c r="F415" i="2"/>
  <c r="G415" i="2"/>
  <c r="E416" i="2"/>
  <c r="F416" i="2"/>
  <c r="G416" i="2"/>
  <c r="E417" i="2"/>
  <c r="F417" i="2"/>
  <c r="G417" i="2"/>
  <c r="E418" i="2"/>
  <c r="F418" i="2"/>
  <c r="G418" i="2"/>
  <c r="E419" i="2"/>
  <c r="F419" i="2"/>
  <c r="G419" i="2"/>
  <c r="E420" i="2"/>
  <c r="F420" i="2"/>
  <c r="G420" i="2"/>
  <c r="E421" i="2"/>
  <c r="F421" i="2"/>
  <c r="G421" i="2"/>
  <c r="E422" i="2"/>
  <c r="F422" i="2"/>
  <c r="G422" i="2"/>
  <c r="E423" i="2"/>
  <c r="F423" i="2"/>
  <c r="G423" i="2"/>
  <c r="E424" i="2"/>
  <c r="F424" i="2"/>
  <c r="G424" i="2"/>
  <c r="E425" i="2"/>
  <c r="F425" i="2"/>
  <c r="G425" i="2"/>
  <c r="E426" i="2"/>
  <c r="F426" i="2"/>
  <c r="G426" i="2"/>
  <c r="E427" i="2"/>
  <c r="F427" i="2"/>
  <c r="G427" i="2"/>
  <c r="E428" i="2"/>
  <c r="F428" i="2"/>
  <c r="G428" i="2"/>
  <c r="E429" i="2"/>
  <c r="F429" i="2"/>
  <c r="G429" i="2"/>
  <c r="E430" i="2"/>
  <c r="F430" i="2"/>
  <c r="G430" i="2"/>
  <c r="E431" i="2"/>
  <c r="F431" i="2"/>
  <c r="G431" i="2"/>
  <c r="E432" i="2"/>
  <c r="F432" i="2"/>
  <c r="G432" i="2"/>
  <c r="E433" i="2"/>
  <c r="F433" i="2"/>
  <c r="G433" i="2"/>
  <c r="E434" i="2"/>
  <c r="F434" i="2"/>
  <c r="G434" i="2"/>
  <c r="E435" i="2"/>
  <c r="F435" i="2"/>
  <c r="G435" i="2"/>
  <c r="E436" i="2"/>
  <c r="F436" i="2"/>
  <c r="G436" i="2"/>
  <c r="E437" i="2"/>
  <c r="F437" i="2"/>
  <c r="G437" i="2"/>
  <c r="E438" i="2"/>
  <c r="F438" i="2"/>
  <c r="G438" i="2"/>
  <c r="E439" i="2"/>
  <c r="F439" i="2"/>
  <c r="G439" i="2"/>
  <c r="E440" i="2"/>
  <c r="F440" i="2"/>
  <c r="G440" i="2"/>
  <c r="E441" i="2"/>
  <c r="F441" i="2"/>
  <c r="G441" i="2"/>
  <c r="E442" i="2"/>
  <c r="F442" i="2"/>
  <c r="G442" i="2"/>
  <c r="E443" i="2"/>
  <c r="F443" i="2"/>
  <c r="G443" i="2"/>
  <c r="E444" i="2"/>
  <c r="F444" i="2"/>
  <c r="G444" i="2"/>
  <c r="E445" i="2"/>
  <c r="F445" i="2"/>
  <c r="G445" i="2"/>
  <c r="E446" i="2"/>
  <c r="F446" i="2"/>
  <c r="G446" i="2"/>
  <c r="E447" i="2"/>
  <c r="F447" i="2"/>
  <c r="G447" i="2"/>
  <c r="E448" i="2"/>
  <c r="F448" i="2"/>
  <c r="G448" i="2"/>
  <c r="E449" i="2"/>
  <c r="F449" i="2"/>
  <c r="G449" i="2"/>
  <c r="E450" i="2"/>
  <c r="F450" i="2"/>
  <c r="G450" i="2"/>
  <c r="E451" i="2"/>
  <c r="F451" i="2"/>
  <c r="G451" i="2"/>
  <c r="E452" i="2"/>
  <c r="F452" i="2"/>
  <c r="G452" i="2"/>
  <c r="E453" i="2"/>
  <c r="F453" i="2"/>
  <c r="G453" i="2"/>
  <c r="E454" i="2"/>
  <c r="F454" i="2"/>
  <c r="G454" i="2"/>
  <c r="E455" i="2"/>
  <c r="F455" i="2"/>
  <c r="G455" i="2"/>
  <c r="E456" i="2"/>
  <c r="F456" i="2"/>
  <c r="G456" i="2"/>
  <c r="E457" i="2"/>
  <c r="F457" i="2"/>
  <c r="G457" i="2"/>
  <c r="E458" i="2"/>
  <c r="F458" i="2"/>
  <c r="G458" i="2"/>
  <c r="E459" i="2"/>
  <c r="F459" i="2"/>
  <c r="G459" i="2"/>
  <c r="E460" i="2"/>
  <c r="F460" i="2"/>
  <c r="G460" i="2"/>
  <c r="E461" i="2"/>
  <c r="F461" i="2"/>
  <c r="G461" i="2"/>
  <c r="E462" i="2"/>
  <c r="F462" i="2"/>
  <c r="G462" i="2"/>
  <c r="E463" i="2"/>
  <c r="F463" i="2"/>
  <c r="G463" i="2"/>
  <c r="E464" i="2"/>
  <c r="F464" i="2"/>
  <c r="G464" i="2"/>
  <c r="E465" i="2"/>
  <c r="F465" i="2"/>
  <c r="G465" i="2"/>
  <c r="E466" i="2"/>
  <c r="F466" i="2"/>
  <c r="G466" i="2"/>
  <c r="E467" i="2"/>
  <c r="F467" i="2"/>
  <c r="G467" i="2"/>
  <c r="E468" i="2"/>
  <c r="F468" i="2"/>
  <c r="G468" i="2"/>
  <c r="E469" i="2"/>
  <c r="F469" i="2"/>
  <c r="G469" i="2"/>
  <c r="E470" i="2"/>
  <c r="F470" i="2"/>
  <c r="G470" i="2"/>
  <c r="E471" i="2"/>
  <c r="F471" i="2"/>
  <c r="G471" i="2"/>
  <c r="E472" i="2"/>
  <c r="F472" i="2"/>
  <c r="G472" i="2"/>
  <c r="E473" i="2"/>
  <c r="F473" i="2"/>
  <c r="G473" i="2"/>
  <c r="E474" i="2"/>
  <c r="F474" i="2"/>
  <c r="G474" i="2"/>
  <c r="E475" i="2"/>
  <c r="F475" i="2"/>
  <c r="G475" i="2"/>
  <c r="E476" i="2"/>
  <c r="F476" i="2"/>
  <c r="G476" i="2"/>
  <c r="E477" i="2"/>
  <c r="F477" i="2"/>
  <c r="G477" i="2"/>
  <c r="E478" i="2"/>
  <c r="F478" i="2"/>
  <c r="G478" i="2"/>
  <c r="E479" i="2"/>
  <c r="F479" i="2"/>
  <c r="G479" i="2"/>
  <c r="E480" i="2"/>
  <c r="F480" i="2"/>
  <c r="G480" i="2"/>
  <c r="E481" i="2"/>
  <c r="F481" i="2"/>
  <c r="G481" i="2"/>
  <c r="E482" i="2"/>
  <c r="F482" i="2"/>
  <c r="G482" i="2"/>
  <c r="E483" i="2"/>
  <c r="F483" i="2"/>
  <c r="G483" i="2"/>
  <c r="E484" i="2"/>
  <c r="F484" i="2"/>
  <c r="G484" i="2"/>
  <c r="E485" i="2"/>
  <c r="F485" i="2"/>
  <c r="G485" i="2"/>
  <c r="E486" i="2"/>
  <c r="F486" i="2"/>
  <c r="G486" i="2"/>
  <c r="E487" i="2"/>
  <c r="F487" i="2"/>
  <c r="G487" i="2"/>
  <c r="E488" i="2"/>
  <c r="F488" i="2"/>
  <c r="G488" i="2"/>
  <c r="E489" i="2"/>
  <c r="F489" i="2"/>
  <c r="G489" i="2"/>
  <c r="E490" i="2"/>
  <c r="F490" i="2"/>
  <c r="G490" i="2"/>
  <c r="E491" i="2"/>
  <c r="F491" i="2"/>
  <c r="G491" i="2"/>
  <c r="E492" i="2"/>
  <c r="F492" i="2"/>
  <c r="G492" i="2"/>
  <c r="E493" i="2"/>
  <c r="F493" i="2"/>
  <c r="G493" i="2"/>
  <c r="E494" i="2"/>
  <c r="F494" i="2"/>
  <c r="G494" i="2"/>
  <c r="E495" i="2"/>
  <c r="F495" i="2"/>
  <c r="G495" i="2"/>
  <c r="E496" i="2"/>
  <c r="F496" i="2"/>
  <c r="G496" i="2"/>
  <c r="E497" i="2"/>
  <c r="F497" i="2"/>
  <c r="G497" i="2"/>
  <c r="E498" i="2"/>
  <c r="F498" i="2"/>
  <c r="G498" i="2"/>
  <c r="E499" i="2"/>
  <c r="F499" i="2"/>
  <c r="G499" i="2"/>
  <c r="E500" i="2"/>
  <c r="F500" i="2"/>
  <c r="G500" i="2"/>
  <c r="E501" i="2"/>
  <c r="F501" i="2"/>
  <c r="G501" i="2"/>
  <c r="G2" i="2"/>
  <c r="F2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C695E4-D7C6-4ECF-AD0D-796E41F8B71C}" name="testing_data" type="6" refreshedVersion="6" background="1" saveData="1">
    <textPr sourceFile="I:\Clients\Betting Contest\testing_data.csv" tab="0" semicolon="1">
      <textFields count="101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<sst xmlns="http://schemas.openxmlformats.org/spreadsheetml/2006/main" count="5753" uniqueCount="2936">
  <si>
    <t>fixture_id</t>
  </si>
  <si>
    <t>teams_home_team_id</t>
  </si>
  <si>
    <t>teams_away_team_id</t>
  </si>
  <si>
    <t>fixture_date</t>
  </si>
  <si>
    <t>fixture_venue</t>
  </si>
  <si>
    <t>league_id</t>
  </si>
  <si>
    <t>league_name</t>
  </si>
  <si>
    <t>league_country</t>
  </si>
  <si>
    <t>league_season</t>
  </si>
  <si>
    <t>league_round</t>
  </si>
  <si>
    <t>home_team_venue_name</t>
  </si>
  <si>
    <t>home_team_venue_city</t>
  </si>
  <si>
    <t>home_team_venue_capacity</t>
  </si>
  <si>
    <t>home_team_country</t>
  </si>
  <si>
    <t>home_team_founded</t>
  </si>
  <si>
    <t>away_team_venue_name</t>
  </si>
  <si>
    <t>away_team_venue_city</t>
  </si>
  <si>
    <t>away_team_venue_capacity</t>
  </si>
  <si>
    <t>away_team_country</t>
  </si>
  <si>
    <t>away_team_founded</t>
  </si>
  <si>
    <t>match_winner</t>
  </si>
  <si>
    <t>under_over</t>
  </si>
  <si>
    <t>goals_home</t>
  </si>
  <si>
    <t>goals_away</t>
  </si>
  <si>
    <t>winning_percent_home</t>
  </si>
  <si>
    <t>winning_percent_draws</t>
  </si>
  <si>
    <t>winning_percent_away</t>
  </si>
  <si>
    <t>comparison_forme_home</t>
  </si>
  <si>
    <t>comparison_forme_away</t>
  </si>
  <si>
    <t>comparison_att_home</t>
  </si>
  <si>
    <t>comparison_att_away</t>
  </si>
  <si>
    <t>comparison_def_home</t>
  </si>
  <si>
    <t>comparison_def_away</t>
  </si>
  <si>
    <t>comparison_fish_law_home</t>
  </si>
  <si>
    <t>comparison_fish_law_away</t>
  </si>
  <si>
    <t>comparison_h2h_home</t>
  </si>
  <si>
    <t>comparison_h2h_away</t>
  </si>
  <si>
    <t>comparison_goals_h2h_home</t>
  </si>
  <si>
    <t>comparison_goals_h2h_away</t>
  </si>
  <si>
    <t>teams_home_last_5_matches_forme</t>
  </si>
  <si>
    <t>teams_home_last_5_matches_att</t>
  </si>
  <si>
    <t>teams_home_last_5_matches_def</t>
  </si>
  <si>
    <t>teams_away_last_5_matches_forme</t>
  </si>
  <si>
    <t>teams_away_last_5_matches_att</t>
  </si>
  <si>
    <t>teams_away_last_5_matches_def</t>
  </si>
  <si>
    <t>teams_home_last_5_matches_goals</t>
  </si>
  <si>
    <t>teams_home_last_5_matches_goals_avg</t>
  </si>
  <si>
    <t>teams_home_last_5_matches_goals_against</t>
  </si>
  <si>
    <t>teams_home_last_5_matches_goals_against_avg</t>
  </si>
  <si>
    <t>teams_home_all_last_matches_matchs_matchsPlayed_home</t>
  </si>
  <si>
    <t>teams_home_all_last_matches_matchs_matchsPlayed_away</t>
  </si>
  <si>
    <t>teams_home_all_last_matches_matchs_wins_home</t>
  </si>
  <si>
    <t>teams_home_all_last_matches_matchs_wins_away</t>
  </si>
  <si>
    <t>teams_home_all_last_matches_matchs_draws_home</t>
  </si>
  <si>
    <t>teams_home_all_last_matches_matchs_draws_away</t>
  </si>
  <si>
    <t>teams_home_all_last_matches_matchs_loses_home</t>
  </si>
  <si>
    <t>teams_home_all_last_matches_matchs_loses_away</t>
  </si>
  <si>
    <t>teams_home_all_last_matches_goals_goalsFor_home</t>
  </si>
  <si>
    <t>teams_home_all_last_matches_goals_goalsFor_away</t>
  </si>
  <si>
    <t>teams_home_all_last_matches_goals_goalsAgainst_home</t>
  </si>
  <si>
    <t>teams_home_all_last_matches_goals_goalsAgainst_away</t>
  </si>
  <si>
    <t>teams_home_all_last_matches_goalsAvg_goalsFor_home</t>
  </si>
  <si>
    <t>teams_home_all_last_matches_goalsAvg_goalsFor_away</t>
  </si>
  <si>
    <t>teams_home_all_last_matches_goalsAvg_goalsAgainst_home</t>
  </si>
  <si>
    <t>teams_home_all_last_matches_goalsAvg_goalsAgainst_away</t>
  </si>
  <si>
    <t>teams_home_last_h2h_played_home</t>
  </si>
  <si>
    <t>teams_home_last_h2h_played_away</t>
  </si>
  <si>
    <t>teams_home_last_h2h_wins_home</t>
  </si>
  <si>
    <t>teams_home_last_h2h_wins_away</t>
  </si>
  <si>
    <t>teams_home_last_h2h_draws_home</t>
  </si>
  <si>
    <t>teams_home_last_h2h_draws_away</t>
  </si>
  <si>
    <t>teams_home_last_h2h_loses_home</t>
  </si>
  <si>
    <t>teams_home_last_h2h_loses_away</t>
  </si>
  <si>
    <t>teams_away_last_5_matches_goals</t>
  </si>
  <si>
    <t>teams_away_last_5_matches_goals_avg</t>
  </si>
  <si>
    <t>teams_away_last_5_matches_goals_against</t>
  </si>
  <si>
    <t>teams_away_last_5_matches_goals_against_avg</t>
  </si>
  <si>
    <t>teams_away_all_last_matches_matchs_matchsPlayed_home</t>
  </si>
  <si>
    <t>teams_away_all_last_matches_matchs_matchsPlayed_away</t>
  </si>
  <si>
    <t>teams_away_all_last_matches_matchs_wins_home</t>
  </si>
  <si>
    <t>teams_away_all_last_matches_matchs_wins_away</t>
  </si>
  <si>
    <t>teams_away_all_last_matches_matchs_draws_home</t>
  </si>
  <si>
    <t>teams_away_all_last_matches_matchs_draws_away</t>
  </si>
  <si>
    <t>teams_away_all_last_matches_matchs_loses_home</t>
  </si>
  <si>
    <t>teams_away_all_last_matches_matchs_loses_away</t>
  </si>
  <si>
    <t>teams_away_all_last_matches_goals_goalsFor_home</t>
  </si>
  <si>
    <t>teams_away_all_last_matches_goals_goalsFor_away</t>
  </si>
  <si>
    <t>teams_away_all_last_matches_goals_goalsAgainst_home</t>
  </si>
  <si>
    <t>teams_away_all_last_matches_goals_goalsAgainst_away</t>
  </si>
  <si>
    <t>teams_away_all_last_matches_goalsAvg_goalsFor_home</t>
  </si>
  <si>
    <t>teams_away_all_last_matches_goalsAvg_goalsFor_away</t>
  </si>
  <si>
    <t>teams_away_all_last_matches_goalsAvg_goalsAgainst_home</t>
  </si>
  <si>
    <t>teams_away_all_last_matches_goalsAvg_goalsAgainst_away</t>
  </si>
  <si>
    <t>teams_away_last_h2h_played_home</t>
  </si>
  <si>
    <t>teams_away_last_h2h_played_away</t>
  </si>
  <si>
    <t>teams_away_last_h2h_wins_home</t>
  </si>
  <si>
    <t>teams_away_last_h2h_wins_away</t>
  </si>
  <si>
    <t>teams_away_last_h2h_draws_home</t>
  </si>
  <si>
    <t>teams_away_last_h2h_draws_away</t>
  </si>
  <si>
    <t>teams_away_last_h2h_loses_home</t>
  </si>
  <si>
    <t>teams_away_last_h2h_loses_away</t>
  </si>
  <si>
    <t>76573</t>
  </si>
  <si>
    <t>Ã–stgÃ¶taporten</t>
  </si>
  <si>
    <t>Allsvenskan</t>
  </si>
  <si>
    <t>Sweden</t>
  </si>
  <si>
    <t>Regular Season - 22</t>
  </si>
  <si>
    <t>NorrkÃ¶ping</t>
  </si>
  <si>
    <t>Tele2 Arena</t>
  </si>
  <si>
    <t>Stockholm</t>
  </si>
  <si>
    <t>1 N</t>
  </si>
  <si>
    <t>153893</t>
  </si>
  <si>
    <t>Telia Parken</t>
  </si>
  <si>
    <t>Superligaen</t>
  </si>
  <si>
    <t>Denmark</t>
  </si>
  <si>
    <t>Regular Season - 24</t>
  </si>
  <si>
    <t>KÃ¸benhavn</t>
  </si>
  <si>
    <t>CASA Arena Horsens</t>
  </si>
  <si>
    <t>Horsens</t>
  </si>
  <si>
    <t>167755</t>
  </si>
  <si>
    <t>eFotbal arÃ©na</t>
  </si>
  <si>
    <t>FNL</t>
  </si>
  <si>
    <t>Czech-Republic</t>
  </si>
  <si>
    <t>Regular Season - 10</t>
  </si>
  <si>
    <t>Stadion v JirÃ¡skov? ulici</t>
  </si>
  <si>
    <t>Jihlava</t>
  </si>
  <si>
    <t>N 2</t>
  </si>
  <si>
    <t>254949</t>
  </si>
  <si>
    <t>Stade FÃ©lix HouphouÃ«t-Boigny</t>
  </si>
  <si>
    <t>CAF Confederation Cup</t>
  </si>
  <si>
    <t>World</t>
  </si>
  <si>
    <t>1st Round</t>
  </si>
  <si>
    <t>Stade Auguste Denise</t>
  </si>
  <si>
    <t>San PÃ©dro</t>
  </si>
  <si>
    <t>Ivory-Coast</t>
  </si>
  <si>
    <t>Stade du 28 Septembre</t>
  </si>
  <si>
    <t>Conakry</t>
  </si>
  <si>
    <t>Guinea</t>
  </si>
  <si>
    <t>306820</t>
  </si>
  <si>
    <t>EstÃ¡dio Municipal Engenheiro SÃ­lvio Henriques Cerveira (Anadia)</t>
  </si>
  <si>
    <t>Campeonato de Portugal Prio - Group C</t>
  </si>
  <si>
    <t>Portugal</t>
  </si>
  <si>
    <t>Group C - 11</t>
  </si>
  <si>
    <t>EstÃ¡dio Municipal Engenheiro SÃ­lvio Henriques Cerveira</t>
  </si>
  <si>
    <t>Anadia</t>
  </si>
  <si>
    <t>Campo Municipal Dr. Durval Monteiro</t>
  </si>
  <si>
    <t>Fontinhas</t>
  </si>
  <si>
    <t>242274</t>
  </si>
  <si>
    <t>Transcosmos Stadium (Isahaya)</t>
  </si>
  <si>
    <t>Emperor Cup</t>
  </si>
  <si>
    <t>Japan</t>
  </si>
  <si>
    <t>4th Round</t>
  </si>
  <si>
    <t>Transcosmos Stadium</t>
  </si>
  <si>
    <t>Isahaya</t>
  </si>
  <si>
    <t>Yurtec Stadium Sendai</t>
  </si>
  <si>
    <t>Sendai</t>
  </si>
  <si>
    <t>286108</t>
  </si>
  <si>
    <t>Stade Louis BlÃ©riot NÂ°1</t>
  </si>
  <si>
    <t>National 2 - Group A</t>
  </si>
  <si>
    <t>France</t>
  </si>
  <si>
    <t>Group A - 13</t>
  </si>
  <si>
    <t>Stade Louis BlÃ©riot NÂ°4</t>
  </si>
  <si>
    <t>BÃ©theny</t>
  </si>
  <si>
    <t>Parc Des Sports</t>
  </si>
  <si>
    <t>Haguenau</t>
  </si>
  <si>
    <t>281888</t>
  </si>
  <si>
    <t>Stadion MOSiR</t>
  </si>
  <si>
    <t>II Liga - East</t>
  </si>
  <si>
    <t>Poland</t>
  </si>
  <si>
    <t>Regular Season - 9</t>
  </si>
  <si>
    <t>199181</t>
  </si>
  <si>
    <t>Stadion Hristo Botev</t>
  </si>
  <si>
    <t>B PFG</t>
  </si>
  <si>
    <t>Bulgaria</t>
  </si>
  <si>
    <t>Regular Season - 16</t>
  </si>
  <si>
    <t>Blagoevgrad</t>
  </si>
  <si>
    <t>Gradski stadion</t>
  </si>
  <si>
    <t>Radomir</t>
  </si>
  <si>
    <t>562935</t>
  </si>
  <si>
    <t>Ratinan Stadion</t>
  </si>
  <si>
    <t>Veikkausliiga</t>
  </si>
  <si>
    <t>Finland</t>
  </si>
  <si>
    <t>Tammelan Stadion</t>
  </si>
  <si>
    <t>Tampere</t>
  </si>
  <si>
    <t>OmaSP Stadion</t>
  </si>
  <si>
    <t>SeinÃ¤joki</t>
  </si>
  <si>
    <t>369255</t>
  </si>
  <si>
    <t>Alcufer Stadion (Gy?r)</t>
  </si>
  <si>
    <t>UEFA U19 Championship</t>
  </si>
  <si>
    <t>Qualifying Round - 3</t>
  </si>
  <si>
    <t>Kazakhstan</t>
  </si>
  <si>
    <t>Hungary</t>
  </si>
  <si>
    <t>246691</t>
  </si>
  <si>
    <t>Arad Municipal Stadium</t>
  </si>
  <si>
    <t>State Cup</t>
  </si>
  <si>
    <t>Israel</t>
  </si>
  <si>
    <t>6th Round</t>
  </si>
  <si>
    <t>Ramla Municipal Stadium</t>
  </si>
  <si>
    <t>Ramla</t>
  </si>
  <si>
    <t>309900</t>
  </si>
  <si>
    <t>Stade RenÃ© Guillou</t>
  </si>
  <si>
    <t>National 3 - Group K</t>
  </si>
  <si>
    <t>Group K - 7</t>
  </si>
  <si>
    <t>Lannion</t>
  </si>
  <si>
    <t>Stade MÃ©nez Paul</t>
  </si>
  <si>
    <t>Brest</t>
  </si>
  <si>
    <t>282133</t>
  </si>
  <si>
    <t>Masfut Club Stadium (Masfout (Masfut))</t>
  </si>
  <si>
    <t>Division 1</t>
  </si>
  <si>
    <t>United-Arab-Emirates</t>
  </si>
  <si>
    <t>Regular Season - 3</t>
  </si>
  <si>
    <t>Masfut Club Stadium</t>
  </si>
  <si>
    <t>Masfut</t>
  </si>
  <si>
    <t>Dibba Al-Hisn Stadium</t>
  </si>
  <si>
    <t>Dibba Al-Hisn</t>
  </si>
  <si>
    <t>534131</t>
  </si>
  <si>
    <t>Stadyen DASK Brestski</t>
  </si>
  <si>
    <t>Vysshaya Liga</t>
  </si>
  <si>
    <t>Belarus</t>
  </si>
  <si>
    <t>Regular Season - 14</t>
  </si>
  <si>
    <t>Stadyen Haradzeya</t>
  </si>
  <si>
    <t>Haradzeya</t>
  </si>
  <si>
    <t>161403</t>
  </si>
  <si>
    <t>Hertz vÃ¶llurinn (ReykjavÃ­k)</t>
  </si>
  <si>
    <t>Division 2</t>
  </si>
  <si>
    <t>Iceland</t>
  </si>
  <si>
    <t>Hertz vÃ¶llurinn</t>
  </si>
  <si>
    <t>ReykjavÃ­k</t>
  </si>
  <si>
    <t>Samsung vÃ¶llurinn</t>
  </si>
  <si>
    <t>GarÃ°abÃ¦r</t>
  </si>
  <si>
    <t>369321</t>
  </si>
  <si>
    <t>Stade Cotonou II</t>
  </si>
  <si>
    <t>Championnat National</t>
  </si>
  <si>
    <t>Benin</t>
  </si>
  <si>
    <t>Regular Season - 19</t>
  </si>
  <si>
    <t>Stade Charles de Gaulle</t>
  </si>
  <si>
    <t>Porto-Novo</t>
  </si>
  <si>
    <t>Stade Municipal de Parakou</t>
  </si>
  <si>
    <t>Parakou</t>
  </si>
  <si>
    <t>164643</t>
  </si>
  <si>
    <t>St Andrew's Trillion Trophy Stadium</t>
  </si>
  <si>
    <t>Championship</t>
  </si>
  <si>
    <t>England</t>
  </si>
  <si>
    <t>Regular Season - 40</t>
  </si>
  <si>
    <t>Birmingham</t>
  </si>
  <si>
    <t>John Smith's Stadium</t>
  </si>
  <si>
    <t>Huddersfield, West Yorkshire</t>
  </si>
  <si>
    <t>168691</t>
  </si>
  <si>
    <t>Vale Park</t>
  </si>
  <si>
    <t>League Two</t>
  </si>
  <si>
    <t>Regular Season - 18</t>
  </si>
  <si>
    <t>Stoke-on-Trent, Staffordshire</t>
  </si>
  <si>
    <t>Brunton Park</t>
  </si>
  <si>
    <t>Carlisle, Cumbria</t>
  </si>
  <si>
    <t>306220</t>
  </si>
  <si>
    <t>EstÃ¡dio Dr. Diogo Alves Vaz Pereira (Montalegre)</t>
  </si>
  <si>
    <t>Campeonato de Portugal Prio - Group A</t>
  </si>
  <si>
    <t>Group A - 12</t>
  </si>
  <si>
    <t>EstÃ¡dio Dr. Diogo Alves Vaz Pereira</t>
  </si>
  <si>
    <t>Montalegre</t>
  </si>
  <si>
    <t>Campo de Treinos do Municipal de Chaves</t>
  </si>
  <si>
    <t>Chaves</t>
  </si>
  <si>
    <t>369176</t>
  </si>
  <si>
    <t>EstÃ¡dio AntÃ´nio Aquino Lopes</t>
  </si>
  <si>
    <t>Acreano</t>
  </si>
  <si>
    <t>Brazil</t>
  </si>
  <si>
    <t>2nd Phase - 2</t>
  </si>
  <si>
    <t>Arena da Floresta</t>
  </si>
  <si>
    <t>Rio Branco, Acre</t>
  </si>
  <si>
    <t>363088</t>
  </si>
  <si>
    <t>KaNyamazane Stadium</t>
  </si>
  <si>
    <t>1st Division</t>
  </si>
  <si>
    <t>South-Africa</t>
  </si>
  <si>
    <t>Regular Season - 12</t>
  </si>
  <si>
    <t>KaNyamazane</t>
  </si>
  <si>
    <t>Richards Bay Sports Stadium</t>
  </si>
  <si>
    <t>Richards Bay, KN</t>
  </si>
  <si>
    <t>154096</t>
  </si>
  <si>
    <t>Volgograd Arena</t>
  </si>
  <si>
    <t>Football National League</t>
  </si>
  <si>
    <t>Russia</t>
  </si>
  <si>
    <t>Volgograd</t>
  </si>
  <si>
    <t>Stadion Dinamo</t>
  </si>
  <si>
    <t>Vladivostok</t>
  </si>
  <si>
    <t>281460</t>
  </si>
  <si>
    <t>Sportpark Het Schenge (vv GOES) (Goes)</t>
  </si>
  <si>
    <t>Derde Divisie - Saturday</t>
  </si>
  <si>
    <t>Netherlands</t>
  </si>
  <si>
    <t>Zaterdag - 24</t>
  </si>
  <si>
    <t>158024</t>
  </si>
  <si>
    <t>Stade de l'Aube (Troyes)</t>
  </si>
  <si>
    <t>Ligue 2</t>
  </si>
  <si>
    <t>Stade de l'Aube</t>
  </si>
  <si>
    <t>Troyes</t>
  </si>
  <si>
    <t>Stade Gaston Petit</t>
  </si>
  <si>
    <t>ChÃ¢teauroux</t>
  </si>
  <si>
    <t>363198</t>
  </si>
  <si>
    <t>Sturrock Park Stadium</t>
  </si>
  <si>
    <t>Regular Season - 26</t>
  </si>
  <si>
    <t>Thohoyandou Stadium</t>
  </si>
  <si>
    <t>Thohoyandou</t>
  </si>
  <si>
    <t>Cape Town Stadium</t>
  </si>
  <si>
    <t>Cape Town</t>
  </si>
  <si>
    <t>317540</t>
  </si>
  <si>
    <t>Boris Paichadze Dinamo Arena</t>
  </si>
  <si>
    <t>Erovnuli Liga</t>
  </si>
  <si>
    <t>Georgia</t>
  </si>
  <si>
    <t>Regular Season - 4</t>
  </si>
  <si>
    <t>Tbilisi</t>
  </si>
  <si>
    <t>Tsentraluri Stadioni</t>
  </si>
  <si>
    <t>Ivantsminda</t>
  </si>
  <si>
    <t>95148</t>
  </si>
  <si>
    <t>MoisÃ©s Lucarelli</t>
  </si>
  <si>
    <t>Serie B</t>
  </si>
  <si>
    <t>Regular Season - 30</t>
  </si>
  <si>
    <t>EstÃ¡dio MoisÃ©s Lucarelli</t>
  </si>
  <si>
    <t>Campinas, SÃ£o Paulo</t>
  </si>
  <si>
    <t>EstÃ¡dio Nabi Abi Chedid</t>
  </si>
  <si>
    <t>BraganÃ§a Paulista, SÃ£o Paulo</t>
  </si>
  <si>
    <t>467173</t>
  </si>
  <si>
    <t>Ohene Djan Sports Stadium</t>
  </si>
  <si>
    <t>Premier League</t>
  </si>
  <si>
    <t>Ghana</t>
  </si>
  <si>
    <t>2020 - 13</t>
  </si>
  <si>
    <t>Accra</t>
  </si>
  <si>
    <t>Cape Coast Sports Stadium</t>
  </si>
  <si>
    <t>Cape Coast</t>
  </si>
  <si>
    <t>364044</t>
  </si>
  <si>
    <t>GÃ¶lcÃ¼k ?ehir Stadyumu</t>
  </si>
  <si>
    <t>3. Lig - Group 3</t>
  </si>
  <si>
    <t>Turkey</t>
  </si>
  <si>
    <t>Group 3 - 3</t>
  </si>
  <si>
    <t>GÃ¶lcÃ¼k ?hsaniye Stad?</t>
  </si>
  <si>
    <t>GÃ¶lcÃ¼k</t>
  </si>
  <si>
    <t>Soma AtatÃ¼rk Stadyumu</t>
  </si>
  <si>
    <t>Soma</t>
  </si>
  <si>
    <t>294646</t>
  </si>
  <si>
    <t>Stadio Comunale (Villafranca di Verona)</t>
  </si>
  <si>
    <t>Serie D - Girone C</t>
  </si>
  <si>
    <t>Italy</t>
  </si>
  <si>
    <t>Regular Season - 27</t>
  </si>
  <si>
    <t>Stadio San Vigilio</t>
  </si>
  <si>
    <t>Montebelluna</t>
  </si>
  <si>
    <t>215820</t>
  </si>
  <si>
    <t>Estadio Marcelo Bielsa</t>
  </si>
  <si>
    <t>Primera Division</t>
  </si>
  <si>
    <t>Argentina</t>
  </si>
  <si>
    <t>Regular Season - 23</t>
  </si>
  <si>
    <t>Estadio Marcelo Alberto Bielsa</t>
  </si>
  <si>
    <t>Rosario, Provincia de Santa Fe</t>
  </si>
  <si>
    <t>Estadio Malvinas Argentinas</t>
  </si>
  <si>
    <t>Mendoza, Provincia de Mendoza</t>
  </si>
  <si>
    <t>211121</t>
  </si>
  <si>
    <t>Santa Laura</t>
  </si>
  <si>
    <t>Chile</t>
  </si>
  <si>
    <t>Regular Season - 21</t>
  </si>
  <si>
    <t>Estadio Santa Laura-Universidad SEK</t>
  </si>
  <si>
    <t>Santiago de Chile</t>
  </si>
  <si>
    <t>Estadio Nacional Julio MartÃ­nez PrÃ¡danos</t>
  </si>
  <si>
    <t>327463</t>
  </si>
  <si>
    <t>Joma Arena</t>
  </si>
  <si>
    <t>Divizia A</t>
  </si>
  <si>
    <t>Moldova</t>
  </si>
  <si>
    <t>Regular Season - 20</t>
  </si>
  <si>
    <t>Chi?in?u</t>
  </si>
  <si>
    <t>272905</t>
  </si>
  <si>
    <t>FotbalovÃ© h?iÅ¡t? TJ Spartak Sob?slav (Sob?slav)</t>
  </si>
  <si>
    <t>4. liga - Divizie A</t>
  </si>
  <si>
    <t>MestskÃ½ stadion</t>
  </si>
  <si>
    <t>Ho?ovice</t>
  </si>
  <si>
    <t>95459</t>
  </si>
  <si>
    <t>Weinan Sports Center Stadium</t>
  </si>
  <si>
    <t>League One</t>
  </si>
  <si>
    <t>China</t>
  </si>
  <si>
    <t>Regular Season - 28</t>
  </si>
  <si>
    <t>Weinan</t>
  </si>
  <si>
    <t>Changchun's People Stadium</t>
  </si>
  <si>
    <t>Changchun</t>
  </si>
  <si>
    <t>299556</t>
  </si>
  <si>
    <t>Estadio El CandÃ­n</t>
  </si>
  <si>
    <t>Tercera Division - Group 2</t>
  </si>
  <si>
    <t>Spain</t>
  </si>
  <si>
    <t>Group 2 - 13</t>
  </si>
  <si>
    <t>Tuilla</t>
  </si>
  <si>
    <t>Estadio Tabiella</t>
  </si>
  <si>
    <t>AvilÃ©s</t>
  </si>
  <si>
    <t>244956</t>
  </si>
  <si>
    <t>Grand Stade de Tanger (Tanger)</t>
  </si>
  <si>
    <t>Friendlies</t>
  </si>
  <si>
    <t>Friendlies 1</t>
  </si>
  <si>
    <t>Stade Mohamed V</t>
  </si>
  <si>
    <t>Casablanca</t>
  </si>
  <si>
    <t>Morocco</t>
  </si>
  <si>
    <t>Stade Omnisport PrÃ©sident Omar Bongo Ondimba</t>
  </si>
  <si>
    <t>Libreville</t>
  </si>
  <si>
    <t>Gabon</t>
  </si>
  <si>
    <t>305199</t>
  </si>
  <si>
    <t>Campo de Futbol Municipal de Belchite</t>
  </si>
  <si>
    <t>Tercera Division - Group 17</t>
  </si>
  <si>
    <t>Group 17 - 2</t>
  </si>
  <si>
    <t>Belchite</t>
  </si>
  <si>
    <t>Estadio Nuevo Enrique Porta</t>
  </si>
  <si>
    <t>Villanueva de GÃ¡llego</t>
  </si>
  <si>
    <t>236544</t>
  </si>
  <si>
    <t>MFA Centenary Stadium</t>
  </si>
  <si>
    <t>Malta</t>
  </si>
  <si>
    <t>Regular Season - 2</t>
  </si>
  <si>
    <t>Charles Abela Memorial Stadium</t>
  </si>
  <si>
    <t>Mosta</t>
  </si>
  <si>
    <t>Sirens Stadium</t>
  </si>
  <si>
    <t>St. Paul&amp;apos;s Bay</t>
  </si>
  <si>
    <t>297981</t>
  </si>
  <si>
    <t>Instalaciones de Lezama</t>
  </si>
  <si>
    <t>Segunda B - Group 2</t>
  </si>
  <si>
    <t>Group 2 - 8</t>
  </si>
  <si>
    <t>Lezama</t>
  </si>
  <si>
    <t>Campo Municipal de Urritxe</t>
  </si>
  <si>
    <t>Amorebieta-Echano</t>
  </si>
  <si>
    <t>562903</t>
  </si>
  <si>
    <t>Bolt Arena</t>
  </si>
  <si>
    <t>Helsinki</t>
  </si>
  <si>
    <t>211209</t>
  </si>
  <si>
    <t>MGM Farm Arena</t>
  </si>
  <si>
    <t>Premijer Liga</t>
  </si>
  <si>
    <t>Bosnia</t>
  </si>
  <si>
    <t>Kakanj</t>
  </si>
  <si>
    <t>Novi Gradski Stadion</t>
  </si>
  <si>
    <t>Ugljevik</t>
  </si>
  <si>
    <t>167864</t>
  </si>
  <si>
    <t>M?stskÃ½ fotbalovÃ½ stadion SrbskÃ¡</t>
  </si>
  <si>
    <t>Brno</t>
  </si>
  <si>
    <t>363490</t>
  </si>
  <si>
    <t>Gaziosmanpa?a Stadyumu</t>
  </si>
  <si>
    <t>3. Lig - Group 1</t>
  </si>
  <si>
    <t>Group 1 - 6</t>
  </si>
  <si>
    <t>Tokat</t>
  </si>
  <si>
    <t>Sultanbeyli Belediyesi 75. Y?l Stadyumu</t>
  </si>
  <si>
    <t>?stanbul</t>
  </si>
  <si>
    <t>234988</t>
  </si>
  <si>
    <t>STADE DE SUISSE Wankdorf Bern</t>
  </si>
  <si>
    <t>UEFA Champions League</t>
  </si>
  <si>
    <t>Play-offs</t>
  </si>
  <si>
    <t>Bern</t>
  </si>
  <si>
    <t>Switzerland</t>
  </si>
  <si>
    <t>Stadion Rajko Miti?</t>
  </si>
  <si>
    <t>Beograd</t>
  </si>
  <si>
    <t>Serbia</t>
  </si>
  <si>
    <t>237679</t>
  </si>
  <si>
    <t>Dimotiko Stadio Ayia Napa</t>
  </si>
  <si>
    <t>2. Division</t>
  </si>
  <si>
    <t>Cyprus</t>
  </si>
  <si>
    <t>Group A - 6</t>
  </si>
  <si>
    <t>Agia Napa</t>
  </si>
  <si>
    <t>Psevdas Arena</t>
  </si>
  <si>
    <t>Psevdas</t>
  </si>
  <si>
    <t>235572</t>
  </si>
  <si>
    <t>Sports Complex Dzoraghbyur</t>
  </si>
  <si>
    <t>First League</t>
  </si>
  <si>
    <t>Armenia</t>
  </si>
  <si>
    <t>Regular Season - 6</t>
  </si>
  <si>
    <t>Dzoraghbyur</t>
  </si>
  <si>
    <t>490738</t>
  </si>
  <si>
    <t>DGB Arena</t>
  </si>
  <si>
    <t>K-League Classic</t>
  </si>
  <si>
    <t>South-Korea</t>
  </si>
  <si>
    <t>Daegu</t>
  </si>
  <si>
    <t>Seoul World Cup Stadium</t>
  </si>
  <si>
    <t>Seoul</t>
  </si>
  <si>
    <t>154158</t>
  </si>
  <si>
    <t>Sportivnyj gorodok Luzhniki</t>
  </si>
  <si>
    <t>Regular Season - 25</t>
  </si>
  <si>
    <t>Futbol'naya Akademiya Spartak im. F. Cherenkova</t>
  </si>
  <si>
    <t>Moskva</t>
  </si>
  <si>
    <t>266756</t>
  </si>
  <si>
    <t>Stedelijk Sportstadion De Warande (Diest)</t>
  </si>
  <si>
    <t>Provincial - Brabant</t>
  </si>
  <si>
    <t>Belgium</t>
  </si>
  <si>
    <t>Brabant - 11</t>
  </si>
  <si>
    <t>Terrein Oude luchthaven</t>
  </si>
  <si>
    <t>Melsbroek</t>
  </si>
  <si>
    <t>244775</t>
  </si>
  <si>
    <t>Aswan Stadium</t>
  </si>
  <si>
    <t>Egypt</t>
  </si>
  <si>
    <t>Aswan</t>
  </si>
  <si>
    <t>Alexandria Stadium</t>
  </si>
  <si>
    <t>Alexandria</t>
  </si>
  <si>
    <t>242784</t>
  </si>
  <si>
    <t>Riwal Hoogwerkers Stadion (Dordrecht)</t>
  </si>
  <si>
    <t>KNVB Beker</t>
  </si>
  <si>
    <t>Riwal Hoogwerkers Stadion</t>
  </si>
  <si>
    <t>Dordrecht</t>
  </si>
  <si>
    <t>De Geusselt</t>
  </si>
  <si>
    <t>Maastricht</t>
  </si>
  <si>
    <t>566473</t>
  </si>
  <si>
    <t>Sarpsborg Stadion</t>
  </si>
  <si>
    <t>Eliteserien</t>
  </si>
  <si>
    <t>Norway</t>
  </si>
  <si>
    <t>Sarpsborg</t>
  </si>
  <si>
    <t>Aker Stadion</t>
  </si>
  <si>
    <t>Molde</t>
  </si>
  <si>
    <t>312908</t>
  </si>
  <si>
    <t>Prince Abdullah bin Jalawi Sports City Stadium</t>
  </si>
  <si>
    <t>Pro League</t>
  </si>
  <si>
    <t>Saudi-Arabia</t>
  </si>
  <si>
    <t>Al-Hasa</t>
  </si>
  <si>
    <t>131258</t>
  </si>
  <si>
    <t>Ron Proud Field 1 (Acacia Ridge)</t>
  </si>
  <si>
    <t>Brisbane Premier League</t>
  </si>
  <si>
    <t>Australia</t>
  </si>
  <si>
    <t>Ron Proud Field 1</t>
  </si>
  <si>
    <t>Acacia Ridge</t>
  </si>
  <si>
    <t>Lanham Park</t>
  </si>
  <si>
    <t>Grange</t>
  </si>
  <si>
    <t>265086</t>
  </si>
  <si>
    <t>KVK Svelta Melsele Terrein 3 (Melsele)</t>
  </si>
  <si>
    <t>Third Amateur Division - Group A</t>
  </si>
  <si>
    <t>VFV A - 22</t>
  </si>
  <si>
    <t>Terrein KVC Wingene</t>
  </si>
  <si>
    <t>Wingene</t>
  </si>
  <si>
    <t>168633</t>
  </si>
  <si>
    <t>The Lamex Stadium</t>
  </si>
  <si>
    <t>Regular Season - 13</t>
  </si>
  <si>
    <t>Stevenage, Hertfordshire</t>
  </si>
  <si>
    <t>Blundell Park</t>
  </si>
  <si>
    <t>Cleethorpes, North East Lincolnshire</t>
  </si>
  <si>
    <t>276002</t>
  </si>
  <si>
    <t>Holloways Park</t>
  </si>
  <si>
    <t>FA Cup</t>
  </si>
  <si>
    <t>2nd Round Qualifying</t>
  </si>
  <si>
    <t>Beaconsfield, Buckinghamshire</t>
  </si>
  <si>
    <t>Vauxhall Road</t>
  </si>
  <si>
    <t>Hemel Hempstead, Hertfordshire</t>
  </si>
  <si>
    <t>95054</t>
  </si>
  <si>
    <t>EstÃ¡dio Rei PelÃ©</t>
  </si>
  <si>
    <t>MaceiÃ³, Alagoas</t>
  </si>
  <si>
    <t>EstÃ¡dio Durival de Britto e Silva</t>
  </si>
  <si>
    <t>Curitiba, ParanÃ¡</t>
  </si>
  <si>
    <t>247334</t>
  </si>
  <si>
    <t>Middle Farm Stadium</t>
  </si>
  <si>
    <t>Elite ONE</t>
  </si>
  <si>
    <t>Cameroon</t>
  </si>
  <si>
    <t>Stade Municipal de Loum</t>
  </si>
  <si>
    <t>Loum</t>
  </si>
  <si>
    <t>Stade Omnisport Ahmadou Ahidjo</t>
  </si>
  <si>
    <t>YaoundÃ©</t>
  </si>
  <si>
    <t>167367</t>
  </si>
  <si>
    <t>WÃ¶rthersee Stadion</t>
  </si>
  <si>
    <t>Erste Liga</t>
  </si>
  <si>
    <t>Austria</t>
  </si>
  <si>
    <t>Sportplatz KAC</t>
  </si>
  <si>
    <t>Klagenfurt</t>
  </si>
  <si>
    <t>Sportplatz Lafnitz</t>
  </si>
  <si>
    <t>Lafnitz</t>
  </si>
  <si>
    <t>481990</t>
  </si>
  <si>
    <t>PrÃ¤stholmens IP KonstgrÃ¤s</t>
  </si>
  <si>
    <t>Division 2 - Norra Svealand</t>
  </si>
  <si>
    <t>289862</t>
  </si>
  <si>
    <t>Edmund-Plambeck-Stadion</t>
  </si>
  <si>
    <t>Regionalliga - Nord</t>
  </si>
  <si>
    <t>Germany</t>
  </si>
  <si>
    <t>Nord - 6</t>
  </si>
  <si>
    <t>Norderstedt</t>
  </si>
  <si>
    <t>96 - DAS STADION</t>
  </si>
  <si>
    <t>Hannover</t>
  </si>
  <si>
    <t>581953</t>
  </si>
  <si>
    <t>Sonnenseestadion</t>
  </si>
  <si>
    <t>Landesliga - Burgenland</t>
  </si>
  <si>
    <t>Burgenland - 2</t>
  </si>
  <si>
    <t>Ritzing</t>
  </si>
  <si>
    <t>Heidebodenstadion</t>
  </si>
  <si>
    <t>Parndorf</t>
  </si>
  <si>
    <t>305444</t>
  </si>
  <si>
    <t>Estadio Papa Luna</t>
  </si>
  <si>
    <t>Group 17 - 27</t>
  </si>
  <si>
    <t>Illueca</t>
  </si>
  <si>
    <t>Nuevo Estadio Municipal</t>
  </si>
  <si>
    <t>Cuarte de Huerva</t>
  </si>
  <si>
    <t>214501</t>
  </si>
  <si>
    <t>Estadio Santo Domingo</t>
  </si>
  <si>
    <t>Segunda Division</t>
  </si>
  <si>
    <t>AlcorcÃ³n</t>
  </si>
  <si>
    <t>Estadio Carlos Belmonte</t>
  </si>
  <si>
    <t>Albacete</t>
  </si>
  <si>
    <t>266792</t>
  </si>
  <si>
    <t>Gemeentelijk Sportstadion (Zaventem)</t>
  </si>
  <si>
    <t>Brabant - 13</t>
  </si>
  <si>
    <t>Gemeentelijk Sportstadion</t>
  </si>
  <si>
    <t>Zaventem</t>
  </si>
  <si>
    <t>Sportcentrum De Zeype</t>
  </si>
  <si>
    <t>Kampenhout</t>
  </si>
  <si>
    <t>247300</t>
  </si>
  <si>
    <t>Stade Omnisports de Bafoussam</t>
  </si>
  <si>
    <t>Regular Season - 5</t>
  </si>
  <si>
    <t>Bafoussam</t>
  </si>
  <si>
    <t>Stade Municipal de Bafoussam</t>
  </si>
  <si>
    <t>332628</t>
  </si>
  <si>
    <t>Stadio Kerkyras</t>
  </si>
  <si>
    <t>Super League 2</t>
  </si>
  <si>
    <t>Greece</t>
  </si>
  <si>
    <t>Regular Season - 7</t>
  </si>
  <si>
    <t>Corfu</t>
  </si>
  <si>
    <t>Stadio Georgios Kamaras</t>
  </si>
  <si>
    <t>Athens</t>
  </si>
  <si>
    <t>296107</t>
  </si>
  <si>
    <t>Stadio Nunzio Fittipaldi (Francavilla in Sinni)</t>
  </si>
  <si>
    <t>Serie D - Girone H</t>
  </si>
  <si>
    <t>Stadio Nunzio Fittipaldi</t>
  </si>
  <si>
    <t>Francavilla in Sinni</t>
  </si>
  <si>
    <t>Stadio Giuseppe Capozza</t>
  </si>
  <si>
    <t>Casarano</t>
  </si>
  <si>
    <t>566062</t>
  </si>
  <si>
    <t>ESPN Wide World of Sports Complex Field 17</t>
  </si>
  <si>
    <t>Major League Soccer</t>
  </si>
  <si>
    <t>USA</t>
  </si>
  <si>
    <t>Group Stage - 4</t>
  </si>
  <si>
    <t>Banc of California Stadium</t>
  </si>
  <si>
    <t>Los Angeles, California</t>
  </si>
  <si>
    <t>Providence Park</t>
  </si>
  <si>
    <t>Portland, Oregon</t>
  </si>
  <si>
    <t>321005</t>
  </si>
  <si>
    <t>Shohada Stadium</t>
  </si>
  <si>
    <t>Azadegan League</t>
  </si>
  <si>
    <t>Iran</t>
  </si>
  <si>
    <t>Babol</t>
  </si>
  <si>
    <t>125836</t>
  </si>
  <si>
    <t>Kadrioru staadion (Tallinn)</t>
  </si>
  <si>
    <t>Esiliiga A</t>
  </si>
  <si>
    <t>Estonia</t>
  </si>
  <si>
    <t>Kadrioru staadion</t>
  </si>
  <si>
    <t>Tallinn</t>
  </si>
  <si>
    <t>Elva linnastaadion</t>
  </si>
  <si>
    <t>Elva</t>
  </si>
  <si>
    <t>256189</t>
  </si>
  <si>
    <t>Stadium Nasional Bukit Jalil</t>
  </si>
  <si>
    <t>World Cup - Qualification Asia</t>
  </si>
  <si>
    <t>2nd Round - 6</t>
  </si>
  <si>
    <t>Kuala Lumpur</t>
  </si>
  <si>
    <t>Malaysia</t>
  </si>
  <si>
    <t>Stadion Utama Gelora Bung Karno</t>
  </si>
  <si>
    <t>Jakarta</t>
  </si>
  <si>
    <t>Indonesia</t>
  </si>
  <si>
    <t>301388</t>
  </si>
  <si>
    <t>Estadio Municipal Virgen del Val</t>
  </si>
  <si>
    <t>Tercera Division - Group 7</t>
  </si>
  <si>
    <t>Group 7 - 6</t>
  </si>
  <si>
    <t>AlcalÃ¡ de Henares</t>
  </si>
  <si>
    <t>Estadio La Canaleja</t>
  </si>
  <si>
    <t>291759</t>
  </si>
  <si>
    <t>Estadio Banco del PacÃ­fico (Guayaquil)</t>
  </si>
  <si>
    <t>Serie A</t>
  </si>
  <si>
    <t>Ecuador</t>
  </si>
  <si>
    <t>Quarter-finals</t>
  </si>
  <si>
    <t>Estadio Banco del PacÃ­fico</t>
  </si>
  <si>
    <t>Guayaquil</t>
  </si>
  <si>
    <t>Estadio Bellavista de Ambato</t>
  </si>
  <si>
    <t>Ambato</t>
  </si>
  <si>
    <t>308836</t>
  </si>
  <si>
    <t>Stade d'Erbajolo</t>
  </si>
  <si>
    <t>National 3 - Group D</t>
  </si>
  <si>
    <t>Group D - 11</t>
  </si>
  <si>
    <t>Stade du Bastio</t>
  </si>
  <si>
    <t>Furiani</t>
  </si>
  <si>
    <t>Stade Guy Delestrade 1</t>
  </si>
  <si>
    <t>Gemenos</t>
  </si>
  <si>
    <t>213836</t>
  </si>
  <si>
    <t>Estadio OlÃ­mpico Metropolitano de MÃ©rida (MÃ©rida)</t>
  </si>
  <si>
    <t>Venezuela</t>
  </si>
  <si>
    <t>Clausura - 1</t>
  </si>
  <si>
    <t>Estadio OlÃ­mpico Metropolitano de MÃ©rida</t>
  </si>
  <si>
    <t>MÃ©rida</t>
  </si>
  <si>
    <t>Estadio OlÃ­mpico Rafael Calles Pinto</t>
  </si>
  <si>
    <t>Guanare</t>
  </si>
  <si>
    <t>244949</t>
  </si>
  <si>
    <t>Dalymount Park</t>
  </si>
  <si>
    <t>FAI Cup</t>
  </si>
  <si>
    <t>Ireland</t>
  </si>
  <si>
    <t>Semi-finals</t>
  </si>
  <si>
    <t>Dublin</t>
  </si>
  <si>
    <t>Tallaght Stadium</t>
  </si>
  <si>
    <t>78332</t>
  </si>
  <si>
    <t>Estadio JaragÃ¼ay De Monteria</t>
  </si>
  <si>
    <t>Primera A</t>
  </si>
  <si>
    <t>Colombia</t>
  </si>
  <si>
    <t>Clausura - 7</t>
  </si>
  <si>
    <t>Estadio de FÃºtbol Jaraguay de MonterÃ­a</t>
  </si>
  <si>
    <t>MonterÃ­a</t>
  </si>
  <si>
    <t>Estadio Daniel Villa Zapata</t>
  </si>
  <si>
    <t>Barrancabermeja</t>
  </si>
  <si>
    <t>567321</t>
  </si>
  <si>
    <t>Stadionul Or??enesc</t>
  </si>
  <si>
    <t>Divizia Na?ional?</t>
  </si>
  <si>
    <t>2020/2021 - 5</t>
  </si>
  <si>
    <t>HÃ®nce?ti</t>
  </si>
  <si>
    <t>367409</t>
  </si>
  <si>
    <t>Fortwilliam Park (Tobermore)</t>
  </si>
  <si>
    <t>Premier Intermediate League</t>
  </si>
  <si>
    <t>Northern-Ireland</t>
  </si>
  <si>
    <t>Fortwilliam Park</t>
  </si>
  <si>
    <t>Tobermore</t>
  </si>
  <si>
    <t>Planters Park</t>
  </si>
  <si>
    <t>Lurgan</t>
  </si>
  <si>
    <t>131995</t>
  </si>
  <si>
    <t>Raatin stadion (Oulu)</t>
  </si>
  <si>
    <t>Ykkonen</t>
  </si>
  <si>
    <t>Raatin stadion</t>
  </si>
  <si>
    <t>Oulu</t>
  </si>
  <si>
    <t>Arto Tolsa Areena</t>
  </si>
  <si>
    <t>261558</t>
  </si>
  <si>
    <t>Estadio Alfredo Ramos</t>
  </si>
  <si>
    <t>Primera B Metropolitana</t>
  </si>
  <si>
    <t>Apertura - 11</t>
  </si>
  <si>
    <t>Capital Federal, Ciudad de Buenos Aires</t>
  </si>
  <si>
    <t>Estadio Fragata Presidente Sarmiento</t>
  </si>
  <si>
    <t>La Matanza, Provincia de Buenos Aires</t>
  </si>
  <si>
    <t>212968</t>
  </si>
  <si>
    <t>Stoke Gifford Stadium</t>
  </si>
  <si>
    <t>FA WSL</t>
  </si>
  <si>
    <t>95025</t>
  </si>
  <si>
    <t>Orlando Scarpelli</t>
  </si>
  <si>
    <t>EstÃ¡dio Orlando Scarpelli</t>
  </si>
  <si>
    <t>FlorianÃ³polis, Santa Catarina</t>
  </si>
  <si>
    <t>277031</t>
  </si>
  <si>
    <t>Wheatsheaf Park (Staines, Surrey)</t>
  </si>
  <si>
    <t>Non League Div One - Isthmian South</t>
  </si>
  <si>
    <t>Isthmian South Central - 4</t>
  </si>
  <si>
    <t>Wheatsheaf Park</t>
  </si>
  <si>
    <t>Staines, Surrey</t>
  </si>
  <si>
    <t>The Harlow Arena</t>
  </si>
  <si>
    <t>Harlow, Essex</t>
  </si>
  <si>
    <t>215656</t>
  </si>
  <si>
    <t>Estadio Alberto JosÃ© Armando</t>
  </si>
  <si>
    <t>Ciudad de Buenos Aires</t>
  </si>
  <si>
    <t>Estadio Presidente Juan Domingo PerÃ³n</t>
  </si>
  <si>
    <t>Avellaneda, Provincia de Buenos Aires</t>
  </si>
  <si>
    <t>364137</t>
  </si>
  <si>
    <t>Malatya Ye?iltepe Stad?</t>
  </si>
  <si>
    <t>Group 3 - 14</t>
  </si>
  <si>
    <t>Malatya Ye?iltepe 3 Nolu Sahas?</t>
  </si>
  <si>
    <t>Malatya</t>
  </si>
  <si>
    <t>16 May?s ?ehir Stadyumu</t>
  </si>
  <si>
    <t>Batman</t>
  </si>
  <si>
    <t>94772</t>
  </si>
  <si>
    <t>Arena IndependÃªncia</t>
  </si>
  <si>
    <t>Regular Season - 31</t>
  </si>
  <si>
    <t>EstÃ¡dio Raimundo Sampaio</t>
  </si>
  <si>
    <t>Belo Horizonte, Minas Gerais</t>
  </si>
  <si>
    <t>EstÃ¡dio de HailÃ© Pinheiro</t>
  </si>
  <si>
    <t>GoiÃ¢nia, GoiÃ¡s</t>
  </si>
  <si>
    <t>303739</t>
  </si>
  <si>
    <t>Estadio San Miguel</t>
  </si>
  <si>
    <t>Tercera Division - Group 13</t>
  </si>
  <si>
    <t>Group 13 - 9</t>
  </si>
  <si>
    <t>PulpÃ­</t>
  </si>
  <si>
    <t>Polideportivo Municipal El Palmar</t>
  </si>
  <si>
    <t>El Palmar</t>
  </si>
  <si>
    <t>168586</t>
  </si>
  <si>
    <t>The County Ground</t>
  </si>
  <si>
    <t>Swindon, Wiltshire</t>
  </si>
  <si>
    <t>JobServe Community Stadium</t>
  </si>
  <si>
    <t>Colchester, Essex</t>
  </si>
  <si>
    <t>569828</t>
  </si>
  <si>
    <t>Suzhou City Sports Centre</t>
  </si>
  <si>
    <t>Super League</t>
  </si>
  <si>
    <t>Conson Stadium</t>
  </si>
  <si>
    <t>Qingdao</t>
  </si>
  <si>
    <t>Yuanshen Sports Centre Stadium</t>
  </si>
  <si>
    <t>Shanghai</t>
  </si>
  <si>
    <t>583390</t>
  </si>
  <si>
    <t>Tsentral'nyy Stadion Vakhdat</t>
  </si>
  <si>
    <t>Tajikistan</t>
  </si>
  <si>
    <t>Stadion Pakhtakor</t>
  </si>
  <si>
    <t>Kurgan-Tyube</t>
  </si>
  <si>
    <t>303784</t>
  </si>
  <si>
    <t>Campo de EDMF Churra</t>
  </si>
  <si>
    <t>Group 13 - 14</t>
  </si>
  <si>
    <t>Murcia</t>
  </si>
  <si>
    <t>Estadio El Rubial</t>
  </si>
  <si>
    <t>Ãguilas</t>
  </si>
  <si>
    <t>164816</t>
  </si>
  <si>
    <t>De Grolsch Veste</t>
  </si>
  <si>
    <t>Eredivisie</t>
  </si>
  <si>
    <t>Regular Season - 11</t>
  </si>
  <si>
    <t>Enschede</t>
  </si>
  <si>
    <t>De Oude Meerdijk stadionveld</t>
  </si>
  <si>
    <t>Emmen</t>
  </si>
  <si>
    <t>123100</t>
  </si>
  <si>
    <t>Stadyen Chimik  (Svietlahorsk)</t>
  </si>
  <si>
    <t>1. Division</t>
  </si>
  <si>
    <t>Regular Season - 29</t>
  </si>
  <si>
    <t>Stadyen Bumashnik</t>
  </si>
  <si>
    <t>Svietlahorsk</t>
  </si>
  <si>
    <t>Stadyen Lyakamatyu</t>
  </si>
  <si>
    <t>Baranovichi</t>
  </si>
  <si>
    <t>214911</t>
  </si>
  <si>
    <t>Estadio Municipal de Garabito</t>
  </si>
  <si>
    <t>Liga De Ascenso</t>
  </si>
  <si>
    <t>Costa-Rica</t>
  </si>
  <si>
    <t>Clausura - 6</t>
  </si>
  <si>
    <t>Estadio Municipal de JacÃ³</t>
  </si>
  <si>
    <t>JacÃ³</t>
  </si>
  <si>
    <t>Estadio de Piedades</t>
  </si>
  <si>
    <t>Santa Ana</t>
  </si>
  <si>
    <t>588871</t>
  </si>
  <si>
    <t>Stadion Spartak</t>
  </si>
  <si>
    <t>Supreme Division Women</t>
  </si>
  <si>
    <t>286404</t>
  </si>
  <si>
    <t>Stade Jacques Couvret</t>
  </si>
  <si>
    <t>National 2 - Group B</t>
  </si>
  <si>
    <t>Group B - 19</t>
  </si>
  <si>
    <t>Stade Boutroux</t>
  </si>
  <si>
    <t>Paris</t>
  </si>
  <si>
    <t>292737</t>
  </si>
  <si>
    <t>Imam Reza Stadium</t>
  </si>
  <si>
    <t>Persian Gulf Cup</t>
  </si>
  <si>
    <t>Samen Al-Aeme Stadium</t>
  </si>
  <si>
    <t>Mashhad</t>
  </si>
  <si>
    <t>Azadi Stadium</t>
  </si>
  <si>
    <t>Teheran</t>
  </si>
  <si>
    <t>159849</t>
  </si>
  <si>
    <t>Grobi?as stadion? (Grobi?a)</t>
  </si>
  <si>
    <t>1. Liga</t>
  </si>
  <si>
    <t>Latvia</t>
  </si>
  <si>
    <t>Grobi?as stadion?</t>
  </si>
  <si>
    <t>Grobi?a</t>
  </si>
  <si>
    <t>Sporta A?ent?ras Stadions</t>
  </si>
  <si>
    <t>Rezekne</t>
  </si>
  <si>
    <t>245145</t>
  </si>
  <si>
    <t>Stadium AGSM Olivieri</t>
  </si>
  <si>
    <t>Serie A Women</t>
  </si>
  <si>
    <t>Regular Season - 8</t>
  </si>
  <si>
    <t>239044</t>
  </si>
  <si>
    <t>Bin? q?s?b? stadionu</t>
  </si>
  <si>
    <t>Birinci Dasta</t>
  </si>
  <si>
    <t>Azerbaidjan</t>
  </si>
  <si>
    <t>Olimpiya Atletika Stadionu</t>
  </si>
  <si>
    <t>Baku</t>
  </si>
  <si>
    <t>Bay?l Arena</t>
  </si>
  <si>
    <t>621423</t>
  </si>
  <si>
    <t>Nogometno igraliÅ¡te Korea Jelisavac</t>
  </si>
  <si>
    <t>3. HNL - Zapad</t>
  </si>
  <si>
    <t>Croatia</t>
  </si>
  <si>
    <t>East - 2</t>
  </si>
  <si>
    <t>Jelisavac</t>
  </si>
  <si>
    <t>Stadion Gradski</t>
  </si>
  <si>
    <t>BeliÅ¡?e</t>
  </si>
  <si>
    <t>275689</t>
  </si>
  <si>
    <t>Gallagher Stadium (Maidstone, Kent)</t>
  </si>
  <si>
    <t>National League - South</t>
  </si>
  <si>
    <t>South - 30</t>
  </si>
  <si>
    <t>Gallagher Stadium</t>
  </si>
  <si>
    <t>Maidstone, Kent</t>
  </si>
  <si>
    <t>Ironmongery Direct Stadium</t>
  </si>
  <si>
    <t>Braintree, Essex</t>
  </si>
  <si>
    <t>239153</t>
  </si>
  <si>
    <t>EstÃ¡dio Joaquim Dinis (Luanda)</t>
  </si>
  <si>
    <t>Girabola</t>
  </si>
  <si>
    <t>Angola</t>
  </si>
  <si>
    <t>EstÃ¡dio Joaquim Dinis</t>
  </si>
  <si>
    <t>Luanda</t>
  </si>
  <si>
    <t>EstÃ¡dio dos Kuricutelas</t>
  </si>
  <si>
    <t>Huambo</t>
  </si>
  <si>
    <t>308775</t>
  </si>
  <si>
    <t>Terrain FranÃ§ois Coty</t>
  </si>
  <si>
    <t>Group D - 2</t>
  </si>
  <si>
    <t>Terrain FranÃ§ois Coty (annexe 2)</t>
  </si>
  <si>
    <t>Ajaccio</t>
  </si>
  <si>
    <t>76789</t>
  </si>
  <si>
    <t>Estadio Bellavista de Ambato (Ambato)</t>
  </si>
  <si>
    <t>Estadio OlÃ­mpico de Riobamba</t>
  </si>
  <si>
    <t>Riobamba</t>
  </si>
  <si>
    <t>328872</t>
  </si>
  <si>
    <t>Al-Fayhaa Stadium</t>
  </si>
  <si>
    <t>Syria</t>
  </si>
  <si>
    <t>Al-Shaab Stadium</t>
  </si>
  <si>
    <t>Bagdad</t>
  </si>
  <si>
    <t>Iraq</t>
  </si>
  <si>
    <t>Al Baladi Stadium</t>
  </si>
  <si>
    <t>Hama</t>
  </si>
  <si>
    <t>290299</t>
  </si>
  <si>
    <t>Stadion Vogelgesang (Rathenow)</t>
  </si>
  <si>
    <t>Regionalliga - Nordost</t>
  </si>
  <si>
    <t>Nordost - 21</t>
  </si>
  <si>
    <t>Stadion Vogelgesang</t>
  </si>
  <si>
    <t>Rathenow</t>
  </si>
  <si>
    <t>Amateurstadion</t>
  </si>
  <si>
    <t>Berlin</t>
  </si>
  <si>
    <t>214851</t>
  </si>
  <si>
    <t>Estadio de Vallecas</t>
  </si>
  <si>
    <t>Regular Season - 41</t>
  </si>
  <si>
    <t>Madrid</t>
  </si>
  <si>
    <t>Estadio de Gran Canaria</t>
  </si>
  <si>
    <t>Las Palmas de Gran Canaria</t>
  </si>
  <si>
    <t>273028</t>
  </si>
  <si>
    <t>Stadion FK Ostrov (Ostrov)</t>
  </si>
  <si>
    <t>4. liga - Divizie B</t>
  </si>
  <si>
    <t>Stadion FK Ostrov</t>
  </si>
  <si>
    <t>Ostrov</t>
  </si>
  <si>
    <t>FotbalovÃ½ Stadion TJ Tatran RakovnÃ­k</t>
  </si>
  <si>
    <t>RakovnÃ­k</t>
  </si>
  <si>
    <t>326927</t>
  </si>
  <si>
    <t>Yoshlar Sport Majmuasi</t>
  </si>
  <si>
    <t>Uzbekistan</t>
  </si>
  <si>
    <t>Navoiy</t>
  </si>
  <si>
    <t>Stadion Surkhon</t>
  </si>
  <si>
    <t>Termez</t>
  </si>
  <si>
    <t>94614</t>
  </si>
  <si>
    <t>Arena Corinthians</t>
  </si>
  <si>
    <t>Regular Season - 15</t>
  </si>
  <si>
    <t>SÃ£o Paulo, SÃ£o Paulo</t>
  </si>
  <si>
    <t>EstÃ¡dio Nilton Santos</t>
  </si>
  <si>
    <t>Rio de Janeiro</t>
  </si>
  <si>
    <t>208814</t>
  </si>
  <si>
    <t>Sportpark HÃ¶henberg</t>
  </si>
  <si>
    <t>Liga 3</t>
  </si>
  <si>
    <t>KÃ¶ln</t>
  </si>
  <si>
    <t>GGZ Arena</t>
  </si>
  <si>
    <t>Zwickau</t>
  </si>
  <si>
    <t>290475</t>
  </si>
  <si>
    <t>Kaiserstuhlstadion</t>
  </si>
  <si>
    <t>Regionalliga - SudWest</t>
  </si>
  <si>
    <t>SÃ¼dwest - 6</t>
  </si>
  <si>
    <t>Bahlingen</t>
  </si>
  <si>
    <t>Waldstadion Homburg</t>
  </si>
  <si>
    <t>Homburg</t>
  </si>
  <si>
    <t>332170</t>
  </si>
  <si>
    <t>Yerevan Football Academy</t>
  </si>
  <si>
    <t>Group Stage - 2</t>
  </si>
  <si>
    <t>Generali Arena</t>
  </si>
  <si>
    <t>Praha</t>
  </si>
  <si>
    <t>247580</t>
  </si>
  <si>
    <t>The Recreation Ground</t>
  </si>
  <si>
    <t>Welsh Cup</t>
  </si>
  <si>
    <t>Wales</t>
  </si>
  <si>
    <t>2nd Round</t>
  </si>
  <si>
    <t>Pontardawe, Neath Port Talbot</t>
  </si>
  <si>
    <t>263192</t>
  </si>
  <si>
    <t>Estadio UniÃ³n de Sunchales (Sunchales, Provincia de Santa Fe)</t>
  </si>
  <si>
    <t>Torneo Federal A</t>
  </si>
  <si>
    <t>North - 9</t>
  </si>
  <si>
    <t>Estadio UniÃ³n de Sunchales</t>
  </si>
  <si>
    <t>Sunchales, Provincia de Santa Fe</t>
  </si>
  <si>
    <t>Estadio Manuel y RamÃ³n NÃºÃ±ez</t>
  </si>
  <si>
    <t>ConcepciÃ³n del Uruguay, Provincia de Entre Rios</t>
  </si>
  <si>
    <t>233125</t>
  </si>
  <si>
    <t>Stadio Adriatico-Giovanni Cornacchia</t>
  </si>
  <si>
    <t>Coppa Italia</t>
  </si>
  <si>
    <t>Pescara</t>
  </si>
  <si>
    <t>Stadio Danilo Martelli</t>
  </si>
  <si>
    <t>Mantova</t>
  </si>
  <si>
    <t>240137</t>
  </si>
  <si>
    <t>Gipedo Dimitris Chamatsos</t>
  </si>
  <si>
    <t>3. Division</t>
  </si>
  <si>
    <t>488912</t>
  </si>
  <si>
    <t>EstÃ¡dio Giulite Coutinho</t>
  </si>
  <si>
    <t>Carioca - 1</t>
  </si>
  <si>
    <t>Relegation Play-offs - 2</t>
  </si>
  <si>
    <t>Mesquita, Rio de Janeiro</t>
  </si>
  <si>
    <t>EstÃ¡dio JÃ¢nio de Moraes</t>
  </si>
  <si>
    <t>Nova IguaÃ§u, Rio de Janeiro</t>
  </si>
  <si>
    <t>272287</t>
  </si>
  <si>
    <t>Stadion Stjepan Zdenko Å ivo</t>
  </si>
  <si>
    <t>East - 5</t>
  </si>
  <si>
    <t>Pleternica</t>
  </si>
  <si>
    <t>Bara Stadion</t>
  </si>
  <si>
    <t>Jurjevac</t>
  </si>
  <si>
    <t>133977</t>
  </si>
  <si>
    <t>Kretingos miesto stadionas (Kretinga)</t>
  </si>
  <si>
    <t>1 Lyga</t>
  </si>
  <si>
    <t>Lithuania</t>
  </si>
  <si>
    <t>Regular Season - 17</t>
  </si>
  <si>
    <t>Kretingos miesto stadionas</t>
  </si>
  <si>
    <t>Kretinga</t>
  </si>
  <si>
    <t>Vilniaus LFF stadionas</t>
  </si>
  <si>
    <t>Vilnius</t>
  </si>
  <si>
    <t>282109</t>
  </si>
  <si>
    <t>Stadion Miejski</t>
  </si>
  <si>
    <t>Regular Season - 33</t>
  </si>
  <si>
    <t>270104</t>
  </si>
  <si>
    <t>Stadion Panayot Volov</t>
  </si>
  <si>
    <t>Third League - Northeast</t>
  </si>
  <si>
    <t>North-East - 15</t>
  </si>
  <si>
    <t>276759</t>
  </si>
  <si>
    <t>The Glass World Stadium (Impington, Cambridgeshire)</t>
  </si>
  <si>
    <t>Non League Div One - Isthmian North</t>
  </si>
  <si>
    <t>Isthmian North - 15</t>
  </si>
  <si>
    <t>The Glass World Stadium</t>
  </si>
  <si>
    <t>Impington, Cambridgeshire</t>
  </si>
  <si>
    <t>Parkside Stadium</t>
  </si>
  <si>
    <t>Aveley, Essex</t>
  </si>
  <si>
    <t>172659</t>
  </si>
  <si>
    <t>Fujieda City General Sports Park (Fujieda)</t>
  </si>
  <si>
    <t>J. League Div.3</t>
  </si>
  <si>
    <t>Fujieda City General Sports Park</t>
  </si>
  <si>
    <t>Fujieda</t>
  </si>
  <si>
    <t>Yanmar Stadium Nagai</t>
  </si>
  <si>
    <t>Osaka</t>
  </si>
  <si>
    <t>337268</t>
  </si>
  <si>
    <t>Sportplatz Spitalacker</t>
  </si>
  <si>
    <t>1. Liga Promotion</t>
  </si>
  <si>
    <t>Centre sportif de Colovray</t>
  </si>
  <si>
    <t>Nyon</t>
  </si>
  <si>
    <t>261176</t>
  </si>
  <si>
    <t>Sportplatz ASV 13</t>
  </si>
  <si>
    <t>Landesliga - Wien</t>
  </si>
  <si>
    <t>Wien - 14</t>
  </si>
  <si>
    <t>Wien</t>
  </si>
  <si>
    <t>OMV-Sportanlage Stadlau</t>
  </si>
  <si>
    <t>209165</t>
  </si>
  <si>
    <t>Stadion An der Alten FÃ¶rsterei</t>
  </si>
  <si>
    <t>Bundesliga 1</t>
  </si>
  <si>
    <t>OPEL ARENA</t>
  </si>
  <si>
    <t>Mainz</t>
  </si>
  <si>
    <t>132026</t>
  </si>
  <si>
    <t>Tammelan Stadion (Tampere)</t>
  </si>
  <si>
    <t>Kajaanin liikuntapuisto</t>
  </si>
  <si>
    <t>Kajaani</t>
  </si>
  <si>
    <t>481262</t>
  </si>
  <si>
    <t>KamratgÃ¥rden</t>
  </si>
  <si>
    <t>Division 2 - Norra GÃ¶taland</t>
  </si>
  <si>
    <t>Uddevalla</t>
  </si>
  <si>
    <t>Siljevi 1</t>
  </si>
  <si>
    <t>Grebbestad</t>
  </si>
  <si>
    <t>244106</t>
  </si>
  <si>
    <t>Vodafone Stadium</t>
  </si>
  <si>
    <t>Zambia</t>
  </si>
  <si>
    <t>Lusaka</t>
  </si>
  <si>
    <t>Shinde Stadium</t>
  </si>
  <si>
    <t>Mufulira</t>
  </si>
  <si>
    <t>247990</t>
  </si>
  <si>
    <t>Hampden Park</t>
  </si>
  <si>
    <t>Scotland</t>
  </si>
  <si>
    <t>Glasgow</t>
  </si>
  <si>
    <t>Glebe Park</t>
  </si>
  <si>
    <t>Brechin</t>
  </si>
  <si>
    <t>131253</t>
  </si>
  <si>
    <t>Walton Bridge Reserve (The Gap)</t>
  </si>
  <si>
    <t>Walton Bridge Reserve</t>
  </si>
  <si>
    <t>The Gap</t>
  </si>
  <si>
    <t>Jack Speare Park</t>
  </si>
  <si>
    <t>Brisbane</t>
  </si>
  <si>
    <t>241026</t>
  </si>
  <si>
    <t>Olimpico Atahualpa</t>
  </si>
  <si>
    <t>CONMEBOL Sudamericana</t>
  </si>
  <si>
    <t>8th Finals</t>
  </si>
  <si>
    <t>Estadio OlÃ­mpico Atahualpa</t>
  </si>
  <si>
    <t>Quito</t>
  </si>
  <si>
    <t>Estadio Libertadores de AmÃ©rica</t>
  </si>
  <si>
    <t>211337</t>
  </si>
  <si>
    <t>Meadow Park</t>
  </si>
  <si>
    <t>National League</t>
  </si>
  <si>
    <t>Borehamwood, Hertfordshire</t>
  </si>
  <si>
    <t>Stonebridge Road</t>
  </si>
  <si>
    <t>Northfleet, Kent</t>
  </si>
  <si>
    <t>234942</t>
  </si>
  <si>
    <t>Stade du 1er Novembre 1954 (Tizi-Ouzou)</t>
  </si>
  <si>
    <t>Ligue 1</t>
  </si>
  <si>
    <t>Algeria</t>
  </si>
  <si>
    <t>Stade du 1er Novembre 1954</t>
  </si>
  <si>
    <t>Tizi-Ouzou</t>
  </si>
  <si>
    <t>Complexe Sportif d'El Alia</t>
  </si>
  <si>
    <t>Biskra</t>
  </si>
  <si>
    <t>315554</t>
  </si>
  <si>
    <t>KÃ³pavogsvÃ¶llur</t>
  </si>
  <si>
    <t>Premier</t>
  </si>
  <si>
    <t>KÃ³pavogur</t>
  </si>
  <si>
    <t>OrigovÃ¶llurinn</t>
  </si>
  <si>
    <t>159401</t>
  </si>
  <si>
    <t>Stadion Kara?or?e</t>
  </si>
  <si>
    <t>Super Liga</t>
  </si>
  <si>
    <t>Novi Sad</t>
  </si>
  <si>
    <t>Stadion kraj Moravice</t>
  </si>
  <si>
    <t>Ivanjica</t>
  </si>
  <si>
    <t>76842</t>
  </si>
  <si>
    <t>Estadio 9 de Mayo (Machala)</t>
  </si>
  <si>
    <t>Estadio 9 de Mayo</t>
  </si>
  <si>
    <t>Machala</t>
  </si>
  <si>
    <t>301093</t>
  </si>
  <si>
    <t>Ciudad Deportiva Pamesa CerÃ¡mica</t>
  </si>
  <si>
    <t>Tercera Division - Group 6</t>
  </si>
  <si>
    <t>Group 6 - 15</t>
  </si>
  <si>
    <t>Villarreal</t>
  </si>
  <si>
    <t>Estadio La Murta</t>
  </si>
  <si>
    <t>XÃ tiva</t>
  </si>
  <si>
    <t>259252</t>
  </si>
  <si>
    <t>Sportplatz Horitschon</t>
  </si>
  <si>
    <t>Burgenland - 5</t>
  </si>
  <si>
    <t>Horitschon</t>
  </si>
  <si>
    <t>233531</t>
  </si>
  <si>
    <t>Stadion Obili?a Poljana</t>
  </si>
  <si>
    <t>Second League</t>
  </si>
  <si>
    <t>Montenegro</t>
  </si>
  <si>
    <t>Cetinje</t>
  </si>
  <si>
    <t>Stadion TuÅ¡ko Polje</t>
  </si>
  <si>
    <t>Tuzi</t>
  </si>
  <si>
    <t>270434</t>
  </si>
  <si>
    <t>Stadion Sveti Petar</t>
  </si>
  <si>
    <t>Third League - Southwest</t>
  </si>
  <si>
    <t>South-West - 11</t>
  </si>
  <si>
    <t>Bansko</t>
  </si>
  <si>
    <t>Stadion Kolarovo</t>
  </si>
  <si>
    <t>Kolarovo</t>
  </si>
  <si>
    <t>163800</t>
  </si>
  <si>
    <t>OKMK Sport Majmuasi (Olmaliq (Almalyk))</t>
  </si>
  <si>
    <t>OKMK Sport Majmuasi</t>
  </si>
  <si>
    <t>Almalyk</t>
  </si>
  <si>
    <t>Paxtakor Markaziy Stadion</t>
  </si>
  <si>
    <t>Tashkent</t>
  </si>
  <si>
    <t>296345</t>
  </si>
  <si>
    <t>Stadio Alfredo Giraud (Torre Annunziata)</t>
  </si>
  <si>
    <t>Serie D - Girone I</t>
  </si>
  <si>
    <t>Stadio Alfredo Giraud</t>
  </si>
  <si>
    <t>Torre Annunziata</t>
  </si>
  <si>
    <t>Stadio Comunale Ninetto Muscolo</t>
  </si>
  <si>
    <t>Roccella Ionica</t>
  </si>
  <si>
    <t>563410</t>
  </si>
  <si>
    <t>BorÃ¥s Arena</t>
  </si>
  <si>
    <t>BorÃ¥s</t>
  </si>
  <si>
    <t>327373</t>
  </si>
  <si>
    <t>Stadionul Selemet</t>
  </si>
  <si>
    <t>563446</t>
  </si>
  <si>
    <t>Olympia</t>
  </si>
  <si>
    <t>Helsingborg</t>
  </si>
  <si>
    <t>132960</t>
  </si>
  <si>
    <t>Wembley Stadium</t>
  </si>
  <si>
    <t>Euro Championship</t>
  </si>
  <si>
    <t>Qualifying Round - 9</t>
  </si>
  <si>
    <t>London</t>
  </si>
  <si>
    <t>Stadion Pod Goricom</t>
  </si>
  <si>
    <t>Podgorica</t>
  </si>
  <si>
    <t>237431</t>
  </si>
  <si>
    <t>Ciudad Deportiva Luis de Sol</t>
  </si>
  <si>
    <t>Primera Division Women</t>
  </si>
  <si>
    <t>488850</t>
  </si>
  <si>
    <t>EstÃ¡dio Luiz JosÃ© de Lacerda</t>
  </si>
  <si>
    <t>Pernambucano - 1</t>
  </si>
  <si>
    <t>1st Phase - 8</t>
  </si>
  <si>
    <t>EstÃ¡dio Municipal Severino CÃ¢ndido Carneiro</t>
  </si>
  <si>
    <t>VitÃ³ria de Santo AntÃ£o, Pernambuco</t>
  </si>
  <si>
    <t>EstÃ¡dio CornÃ©lio de Barros Muniz</t>
  </si>
  <si>
    <t>Salgueiro, Pernambuco</t>
  </si>
  <si>
    <t>606688</t>
  </si>
  <si>
    <t>EstÃ¡dio Maria Lamas Farache</t>
  </si>
  <si>
    <t>Potiguar</t>
  </si>
  <si>
    <t>2nd Phase - Final</t>
  </si>
  <si>
    <t>Natal, Rio Grande do Norte</t>
  </si>
  <si>
    <t>Arena das Dunas</t>
  </si>
  <si>
    <t>260226</t>
  </si>
  <si>
    <t>Sportplatz SK Adnet</t>
  </si>
  <si>
    <t>Landesliga - Salzburg</t>
  </si>
  <si>
    <t>Salzburg - 8</t>
  </si>
  <si>
    <t>Adnet</t>
  </si>
  <si>
    <t>Sportplatz Neumarkt</t>
  </si>
  <si>
    <t>Neumarkt am Wallersee</t>
  </si>
  <si>
    <t>212394</t>
  </si>
  <si>
    <t>EstÃ¡dio da Capital do MÃ³vel</t>
  </si>
  <si>
    <t>Primeira Liga</t>
  </si>
  <si>
    <t>PaÃ§os de Ferreira</t>
  </si>
  <si>
    <t>EstÃ¡dio Municipal de Braga</t>
  </si>
  <si>
    <t>Braga</t>
  </si>
  <si>
    <t>484922</t>
  </si>
  <si>
    <t>Skillinge Idrottsplats</t>
  </si>
  <si>
    <t>Division 2 - Ã–stra GÃ¶taland</t>
  </si>
  <si>
    <t>Skillinge</t>
  </si>
  <si>
    <t>154117</t>
  </si>
  <si>
    <t>Futbol'noe pole 4 Spartak</t>
  </si>
  <si>
    <t>Mordovia Arena</t>
  </si>
  <si>
    <t>Saransk</t>
  </si>
  <si>
    <t>476145</t>
  </si>
  <si>
    <t>Dora International Stadium</t>
  </si>
  <si>
    <t>West Bank Premier League</t>
  </si>
  <si>
    <t>Palestine</t>
  </si>
  <si>
    <t>Regular Season - 1</t>
  </si>
  <si>
    <t>Hussein Bin Ali Stadium</t>
  </si>
  <si>
    <t>Hebron</t>
  </si>
  <si>
    <t>Jamal Ghanem Stadium</t>
  </si>
  <si>
    <t>Tulkarm</t>
  </si>
  <si>
    <t>289860</t>
  </si>
  <si>
    <t>Manfred-Werner-Stadion</t>
  </si>
  <si>
    <t>Flensburg</t>
  </si>
  <si>
    <t>Wolfgang-Meyer-Sportanlage</t>
  </si>
  <si>
    <t>Hamburg</t>
  </si>
  <si>
    <t>362263</t>
  </si>
  <si>
    <t>Petershill Park</t>
  </si>
  <si>
    <t>UEFA Champions League Women</t>
  </si>
  <si>
    <t>16th Finals</t>
  </si>
  <si>
    <t>577267</t>
  </si>
  <si>
    <t>FutbalovÃ½ Å¡tadiÃ³n na Levickej ulici</t>
  </si>
  <si>
    <t>3. liga - West</t>
  </si>
  <si>
    <t>Slovakia</t>
  </si>
  <si>
    <t>West - 2</t>
  </si>
  <si>
    <t>214487</t>
  </si>
  <si>
    <t>Estadio La Rosaleda</t>
  </si>
  <si>
    <t>MÃ¡laga</t>
  </si>
  <si>
    <t>Estadio Municipal El MolinÃ³n</t>
  </si>
  <si>
    <t>GijÃ³n</t>
  </si>
  <si>
    <t>250439</t>
  </si>
  <si>
    <t>Stadyen City (Uzda)</t>
  </si>
  <si>
    <t>Stadyen Belita-Vitex</t>
  </si>
  <si>
    <t>Teplen&amp;apos;</t>
  </si>
  <si>
    <t>Stadyen FLC Oktyabrsky</t>
  </si>
  <si>
    <t>Oktyabrsky</t>
  </si>
  <si>
    <t>153766</t>
  </si>
  <si>
    <t>DS Arena</t>
  </si>
  <si>
    <t>Hobro</t>
  </si>
  <si>
    <t>BrÃ¸ndby Stadion</t>
  </si>
  <si>
    <t>BrÃ¸ndby</t>
  </si>
  <si>
    <t>336341</t>
  </si>
  <si>
    <t>FutbalovÃ½ Å¡tadiÃ³n MFK RuÅ¾omberok</t>
  </si>
  <si>
    <t>2. liga</t>
  </si>
  <si>
    <t>RuÅ¾omberok</t>
  </si>
  <si>
    <t>ZELPO ArÃ©na PodbrezovÃ¡</t>
  </si>
  <si>
    <t>PodbrezovÃ¡</t>
  </si>
  <si>
    <t>270215</t>
  </si>
  <si>
    <t>Stadion Vasil Levski</t>
  </si>
  <si>
    <t>Third League - Southeast</t>
  </si>
  <si>
    <t>South-East - 2</t>
  </si>
  <si>
    <t>Karlovo</t>
  </si>
  <si>
    <t>Stadion Tundzha</t>
  </si>
  <si>
    <t>Yambol</t>
  </si>
  <si>
    <t>164844</t>
  </si>
  <si>
    <t>Philips Stadion</t>
  </si>
  <si>
    <t>Eindhoven</t>
  </si>
  <si>
    <t>Abe Lenstra Stadion</t>
  </si>
  <si>
    <t>Heerenveen</t>
  </si>
  <si>
    <t>490537</t>
  </si>
  <si>
    <t>KozÃ¡rmislenyi Stadion</t>
  </si>
  <si>
    <t>NB III - KÃ¶zÃ©p</t>
  </si>
  <si>
    <t>KÃ¶zÃ©p - 18</t>
  </si>
  <si>
    <t>KozÃ¡rmisleny</t>
  </si>
  <si>
    <t>Dunaharaszti SportpÃ¡lya</t>
  </si>
  <si>
    <t>Dunaharaszti</t>
  </si>
  <si>
    <t>75968</t>
  </si>
  <si>
    <t>Ã…gotnes Stadion (Ã…gotnes)</t>
  </si>
  <si>
    <t>OBOS-ligaen</t>
  </si>
  <si>
    <t>Ã…gotnes Stadion</t>
  </si>
  <si>
    <t>Ã…gotnes</t>
  </si>
  <si>
    <t>KFUM Arena</t>
  </si>
  <si>
    <t>Oslo</t>
  </si>
  <si>
    <t>281913</t>
  </si>
  <si>
    <t>Stadion ul. Loreta?ska</t>
  </si>
  <si>
    <t>318002</t>
  </si>
  <si>
    <t>Paulista - A2</t>
  </si>
  <si>
    <t>EstÃ¡dio Municipal Anacleto Campanella</t>
  </si>
  <si>
    <t>SÃ£o Caetano do Sul, SÃ£o Paulo</t>
  </si>
  <si>
    <t>326948</t>
  </si>
  <si>
    <t>Stadion Soglom Avlod</t>
  </si>
  <si>
    <t>Andijan</t>
  </si>
  <si>
    <t>Metallurg Markaziy Stadion</t>
  </si>
  <si>
    <t>Bekabad</t>
  </si>
  <si>
    <t>482016</t>
  </si>
  <si>
    <t>Ã…byvallen</t>
  </si>
  <si>
    <t>Valbo</t>
  </si>
  <si>
    <t>158190</t>
  </si>
  <si>
    <t>Solar Mad Stadium (Griffith)</t>
  </si>
  <si>
    <t>National Premier Leagues</t>
  </si>
  <si>
    <t>Solar Mad Stadium</t>
  </si>
  <si>
    <t>Griffith</t>
  </si>
  <si>
    <t>Nijong Oval</t>
  </si>
  <si>
    <t>Canberra</t>
  </si>
  <si>
    <t>276032</t>
  </si>
  <si>
    <t>Mariners Park</t>
  </si>
  <si>
    <t>1st Round Qualifying</t>
  </si>
  <si>
    <t>South Shields, Tyne and Wear</t>
  </si>
  <si>
    <t>xlcr Stadium</t>
  </si>
  <si>
    <t>Colne, Lancashire</t>
  </si>
  <si>
    <t>239824</t>
  </si>
  <si>
    <t>Terrain Errazi</t>
  </si>
  <si>
    <t>Botola 2</t>
  </si>
  <si>
    <t>Complexe Sportif de FÃ¨s</t>
  </si>
  <si>
    <t>FÃ¨s</t>
  </si>
  <si>
    <t>260252</t>
  </si>
  <si>
    <t>Sportplatz Bramberg</t>
  </si>
  <si>
    <t>Salzburg - 11</t>
  </si>
  <si>
    <t>Bramberg</t>
  </si>
  <si>
    <t>Sportplatz FC Bergheim</t>
  </si>
  <si>
    <t>Bergheim</t>
  </si>
  <si>
    <t>215966</t>
  </si>
  <si>
    <t>TÃ¼rk Telekom Stadyumu</t>
  </si>
  <si>
    <t>Super Lig</t>
  </si>
  <si>
    <t>Konya BÃ¼yÃ¼k?ehir Belediye Stadyumu</t>
  </si>
  <si>
    <t>Konya</t>
  </si>
  <si>
    <t>304886</t>
  </si>
  <si>
    <t>Estadio Marino SÃ¡enz</t>
  </si>
  <si>
    <t>Tercera Division - Group 16</t>
  </si>
  <si>
    <t>Group 16 - 10</t>
  </si>
  <si>
    <t>Alberite</t>
  </si>
  <si>
    <t>Polideportivo Municipal PradejÃ³n</t>
  </si>
  <si>
    <t>PradejÃ³n</t>
  </si>
  <si>
    <t>307105</t>
  </si>
  <si>
    <t>EstÃ¡dio Municipal de Aljustrel (Aljustrel)</t>
  </si>
  <si>
    <t>Campeonato de Portugal Prio - Group D</t>
  </si>
  <si>
    <t>Group D - 8</t>
  </si>
  <si>
    <t>EstÃ¡dio Municipal de Aljustrel</t>
  </si>
  <si>
    <t>Aljustrel</t>
  </si>
  <si>
    <t>Estadio do Sport UniÃ£o Sintrense</t>
  </si>
  <si>
    <t>Sintra</t>
  </si>
  <si>
    <t>233395</t>
  </si>
  <si>
    <t>Gradska PlaÅ¾a Stadium</t>
  </si>
  <si>
    <t>Macedonia</t>
  </si>
  <si>
    <t>Struga</t>
  </si>
  <si>
    <t>Gradski stadion Kratovo</t>
  </si>
  <si>
    <t>Kratovo</t>
  </si>
  <si>
    <t>213315</t>
  </si>
  <si>
    <t>Estadio Polideportivo Santa Catarina Mita</t>
  </si>
  <si>
    <t>Guatemala</t>
  </si>
  <si>
    <t>Apertura - 2</t>
  </si>
  <si>
    <t>Santa Catarina Mita</t>
  </si>
  <si>
    <t>Estadio La AsunciÃ³n</t>
  </si>
  <si>
    <t>AsunciÃ³n Mita</t>
  </si>
  <si>
    <t>172537</t>
  </si>
  <si>
    <t>Yanmar Stadium Nagai (?saka (Osaka))</t>
  </si>
  <si>
    <t>Suita City Football Stadium</t>
  </si>
  <si>
    <t>Suita</t>
  </si>
  <si>
    <t>165779</t>
  </si>
  <si>
    <t>Frans Heesen Stadion (Oss)</t>
  </si>
  <si>
    <t>Eerste Divisie</t>
  </si>
  <si>
    <t>Frans Heesen Stadion</t>
  </si>
  <si>
    <t>Oss</t>
  </si>
  <si>
    <t>Sportpark De Toekomst</t>
  </si>
  <si>
    <t>Amsterdam-Duivendrecht</t>
  </si>
  <si>
    <t>281323</t>
  </si>
  <si>
    <t>Sportpark De Strokel (Harderwijk)</t>
  </si>
  <si>
    <t>Zaterdag - 7</t>
  </si>
  <si>
    <t>289976</t>
  </si>
  <si>
    <t>Nord - 19</t>
  </si>
  <si>
    <t>53acht Arena</t>
  </si>
  <si>
    <t>Edewecht</t>
  </si>
  <si>
    <t>154013</t>
  </si>
  <si>
    <t>Arena Chertanovo</t>
  </si>
  <si>
    <t>Stadion Trud</t>
  </si>
  <si>
    <t>Tomsk</t>
  </si>
  <si>
    <t>157874</t>
  </si>
  <si>
    <t>Stade de la Source</t>
  </si>
  <si>
    <t>OrlÃ©ans</t>
  </si>
  <si>
    <t>174696</t>
  </si>
  <si>
    <t>Å portni park</t>
  </si>
  <si>
    <t>2. SNL</t>
  </si>
  <si>
    <t>Slovenia</t>
  </si>
  <si>
    <t>216851</t>
  </si>
  <si>
    <t>Hamdan bin Zayed Al Nahyan Stadium (Madinat Zaid)</t>
  </si>
  <si>
    <t>Arabian Gulf League</t>
  </si>
  <si>
    <t>Al Dhafra Stadium</t>
  </si>
  <si>
    <t>Madinat Zaid</t>
  </si>
  <si>
    <t>Zabeel Stadium</t>
  </si>
  <si>
    <t>Dubai</t>
  </si>
  <si>
    <t>296011</t>
  </si>
  <si>
    <t>Stadio San Francesco (Nocera Inferiore)</t>
  </si>
  <si>
    <t>Stadio San Francesco</t>
  </si>
  <si>
    <t>Nocera Inferiore</t>
  </si>
  <si>
    <t>Stadio Comunale Pino Zaccheria</t>
  </si>
  <si>
    <t>Foggia</t>
  </si>
  <si>
    <t>490761</t>
  </si>
  <si>
    <t>Sangju Civic Stadium</t>
  </si>
  <si>
    <t>Sangju Stadium</t>
  </si>
  <si>
    <t>Sangju</t>
  </si>
  <si>
    <t>Jeonju World Cup Stadium</t>
  </si>
  <si>
    <t>Jeonju</t>
  </si>
  <si>
    <t>231400</t>
  </si>
  <si>
    <t>Estadio Jiboa</t>
  </si>
  <si>
    <t>El-Salvador</t>
  </si>
  <si>
    <t>Apertura - 7</t>
  </si>
  <si>
    <t>San Vicente</t>
  </si>
  <si>
    <t>Estadio Las Delicias</t>
  </si>
  <si>
    <t>Santa Tecla</t>
  </si>
  <si>
    <t>268748</t>
  </si>
  <si>
    <t>Stadion Banja IlidÅ¾a</t>
  </si>
  <si>
    <t>1st League - FBiH</t>
  </si>
  <si>
    <t>FBiH - 7</t>
  </si>
  <si>
    <t>Stadion Otoka</t>
  </si>
  <si>
    <t>Sarajevo</t>
  </si>
  <si>
    <t>281940</t>
  </si>
  <si>
    <t>Stadion Znicza</t>
  </si>
  <si>
    <t>246448</t>
  </si>
  <si>
    <t>Allianz Field</t>
  </si>
  <si>
    <t>Play-In Round</t>
  </si>
  <si>
    <t>Saint Paul, Minnesota</t>
  </si>
  <si>
    <t>Dignity Health Sports Park</t>
  </si>
  <si>
    <t>Carson, California</t>
  </si>
  <si>
    <t>169210</t>
  </si>
  <si>
    <t>Estadio Hidalgo</t>
  </si>
  <si>
    <t>Liga MX</t>
  </si>
  <si>
    <t>Mexico</t>
  </si>
  <si>
    <t>Apertura - 16</t>
  </si>
  <si>
    <t>169378</t>
  </si>
  <si>
    <t>Stadio Comunale di Chiasso</t>
  </si>
  <si>
    <t>Challenge League</t>
  </si>
  <si>
    <t>Chiasso</t>
  </si>
  <si>
    <t>LIPO Park Schaffhausen</t>
  </si>
  <si>
    <t>Schaffhausen</t>
  </si>
  <si>
    <t>288936</t>
  </si>
  <si>
    <t>Ainslie Park Stadium</t>
  </si>
  <si>
    <t>League Cup</t>
  </si>
  <si>
    <t>Edinburgh</t>
  </si>
  <si>
    <t>East End Park</t>
  </si>
  <si>
    <t>Dunfermline</t>
  </si>
  <si>
    <t>276683</t>
  </si>
  <si>
    <t>Thurrock Hotel (Thurrock, Essex)</t>
  </si>
  <si>
    <t>Isthmian North - 7</t>
  </si>
  <si>
    <t>The Brentwood Centre Arena</t>
  </si>
  <si>
    <t>Brentwood, Essex</t>
  </si>
  <si>
    <t>169919</t>
  </si>
  <si>
    <t>Cancha de la AsociaciÃ³n CÃ­vica</t>
  </si>
  <si>
    <t>Apertura - 21</t>
  </si>
  <si>
    <t>Jicaral</t>
  </si>
  <si>
    <t>Estadio Juan GobÃ¡n QuirÃ³s</t>
  </si>
  <si>
    <t>LimÃ³n</t>
  </si>
  <si>
    <t>218981</t>
  </si>
  <si>
    <t>Gibbo Stadium</t>
  </si>
  <si>
    <t>Premier Soccer League</t>
  </si>
  <si>
    <t>Zimbabwe</t>
  </si>
  <si>
    <t>Triangle</t>
  </si>
  <si>
    <t>490531</t>
  </si>
  <si>
    <t>KÃ¶zÃ©p - 17</t>
  </si>
  <si>
    <t>SzekszÃ¡rdi VÃ¡rosi Stadion</t>
  </si>
  <si>
    <t>SzekszÃ¡rd</t>
  </si>
  <si>
    <t>289822</t>
  </si>
  <si>
    <t>AOK Stadion</t>
  </si>
  <si>
    <t>Nord - 2</t>
  </si>
  <si>
    <t>Wolfsburg</t>
  </si>
  <si>
    <t>Sportplatz WaldsportstÃ¤tten</t>
  </si>
  <si>
    <t>Rehden</t>
  </si>
  <si>
    <t>281920</t>
  </si>
  <si>
    <t>Stadion GÃ³rnik</t>
  </si>
  <si>
    <t>123033</t>
  </si>
  <si>
    <t>Stadyen Haradski (Orsha)</t>
  </si>
  <si>
    <t>Stadyen Haradski</t>
  </si>
  <si>
    <t>Orsha</t>
  </si>
  <si>
    <t>Stadyen DYuSSh-8</t>
  </si>
  <si>
    <t>Gomel</t>
  </si>
  <si>
    <t>604339</t>
  </si>
  <si>
    <t>Raiffeisen Arena</t>
  </si>
  <si>
    <t>Friendlies Clubs</t>
  </si>
  <si>
    <t>Club Friendlies 3</t>
  </si>
  <si>
    <t>Pasching</t>
  </si>
  <si>
    <t>Arena Regensburg</t>
  </si>
  <si>
    <t>Regensburg</t>
  </si>
  <si>
    <t>294110</t>
  </si>
  <si>
    <t>Stadio Coni Castellina (Sondrio)</t>
  </si>
  <si>
    <t>Serie D - Girone B</t>
  </si>
  <si>
    <t>Stadio Coni Castellina</t>
  </si>
  <si>
    <t>Sondrio</t>
  </si>
  <si>
    <t>Centro Sportivo Comunale Roberto Battaglia</t>
  </si>
  <si>
    <t>Busto Garolfo</t>
  </si>
  <si>
    <t>168082</t>
  </si>
  <si>
    <t>The Keepmoat Stadium</t>
  </si>
  <si>
    <t>Doncaster, South Yorkshire</t>
  </si>
  <si>
    <t>Memorial Stadium</t>
  </si>
  <si>
    <t>Bristol, Gloucestershire</t>
  </si>
  <si>
    <t>322835</t>
  </si>
  <si>
    <t>Changlimithang National Stadium</t>
  </si>
  <si>
    <t>Bhutan</t>
  </si>
  <si>
    <t>Thimphu</t>
  </si>
  <si>
    <t>472947</t>
  </si>
  <si>
    <t>Dimotiko Stadio Spaton Dimitris Dimitriou</t>
  </si>
  <si>
    <t>Gamma Ethniki - Group 3</t>
  </si>
  <si>
    <t>Group 3 - 5</t>
  </si>
  <si>
    <t>Dimotiko Stadio Mouzaki</t>
  </si>
  <si>
    <t>Mouzaki</t>
  </si>
  <si>
    <t>Dimotiko Stadio Dion</t>
  </si>
  <si>
    <t>Dion</t>
  </si>
  <si>
    <t>164696</t>
  </si>
  <si>
    <t>The Den</t>
  </si>
  <si>
    <t>Regular Season - 44</t>
  </si>
  <si>
    <t>Ewood Park</t>
  </si>
  <si>
    <t>Blackburn, Lancashire</t>
  </si>
  <si>
    <t>289380</t>
  </si>
  <si>
    <t>Cup</t>
  </si>
  <si>
    <t>ASK Arena</t>
  </si>
  <si>
    <t>??h?r stadionu</t>
  </si>
  <si>
    <t>G?nc?</t>
  </si>
  <si>
    <t>270370</t>
  </si>
  <si>
    <t>Stadion Septemvri</t>
  </si>
  <si>
    <t>South-West - 3</t>
  </si>
  <si>
    <t>Razlog</t>
  </si>
  <si>
    <t>Stadion Minyor</t>
  </si>
  <si>
    <t>Pernik</t>
  </si>
  <si>
    <t>233963</t>
  </si>
  <si>
    <t>Estadio Eva PerÃ³n de JunÃ­n</t>
  </si>
  <si>
    <t>Primera B Nacional</t>
  </si>
  <si>
    <t>JunÃ­n, Provincia de Buenos Aires</t>
  </si>
  <si>
    <t>Estadio La Ciudadela</t>
  </si>
  <si>
    <t>San Miguel de TucumÃ¡n, Provincia de TucumÃ¡n</t>
  </si>
  <si>
    <t>213127</t>
  </si>
  <si>
    <t>Stadion Essen</t>
  </si>
  <si>
    <t>Women Bundesliga</t>
  </si>
  <si>
    <t>330103</t>
  </si>
  <si>
    <t>BÃ¶llhoff Stadion</t>
  </si>
  <si>
    <t>U19 Bundesliga</t>
  </si>
  <si>
    <t>Ovest - 7</t>
  </si>
  <si>
    <t>321938</t>
  </si>
  <si>
    <t>Parc des Sports de Treichville</t>
  </si>
  <si>
    <t>Abidjan</t>
  </si>
  <si>
    <t>566304</t>
  </si>
  <si>
    <t>Varberg Energi Arena</t>
  </si>
  <si>
    <t>PÃ¥skbergsvallen</t>
  </si>
  <si>
    <t>Varberg</t>
  </si>
  <si>
    <t>Bravida Arena</t>
  </si>
  <si>
    <t>GÃ¶teborg</t>
  </si>
  <si>
    <t>235542</t>
  </si>
  <si>
    <t>Gyumri City Stadium</t>
  </si>
  <si>
    <t>Pyunik Training Centre</t>
  </si>
  <si>
    <t>Yerevan</t>
  </si>
  <si>
    <t>572280</t>
  </si>
  <si>
    <t>Stadion Slavija</t>
  </si>
  <si>
    <t>A PFG</t>
  </si>
  <si>
    <t>Sofia</t>
  </si>
  <si>
    <t>Stadion Ticha</t>
  </si>
  <si>
    <t>Varna</t>
  </si>
  <si>
    <t>336334</t>
  </si>
  <si>
    <t>MestskÃ½ Å¡tadiÃ³n PartizÃ¡n Bardejov</t>
  </si>
  <si>
    <t>Bardejov</t>
  </si>
  <si>
    <t>Å tadiÃ³n LiptovskÃ½ MikulÃ¡Å¡</t>
  </si>
  <si>
    <t>LiptovskÃ½ MikulÃ¡Å¡</t>
  </si>
  <si>
    <t>298325</t>
  </si>
  <si>
    <t>Estadio Pedro Sancho</t>
  </si>
  <si>
    <t>Segunda B - Group 3</t>
  </si>
  <si>
    <t>Group 3 - 4</t>
  </si>
  <si>
    <t>Estadio El Carmen</t>
  </si>
  <si>
    <t>Zaragoza</t>
  </si>
  <si>
    <t>Nou Estadi de Tarragona</t>
  </si>
  <si>
    <t>Tarragona</t>
  </si>
  <si>
    <t>232917</t>
  </si>
  <si>
    <t>Estadio CuscatlÃ¡n</t>
  </si>
  <si>
    <t>Apertura - 14</t>
  </si>
  <si>
    <t>Estadio Ã“scar Alberto QuiteÃ±o</t>
  </si>
  <si>
    <t>279042</t>
  </si>
  <si>
    <t>The Camping World Community Stadium (Horsham, West Sussex)</t>
  </si>
  <si>
    <t>Non League Premier - Isthmian</t>
  </si>
  <si>
    <t>Isthmian - 14</t>
  </si>
  <si>
    <t>The Camping World Community Stadium</t>
  </si>
  <si>
    <t>Horsham, West Sussex</t>
  </si>
  <si>
    <t>Hayes Lane</t>
  </si>
  <si>
    <t>278985</t>
  </si>
  <si>
    <t>North Road (Brightlingsea, Essex)</t>
  </si>
  <si>
    <t>Isthmian - 9</t>
  </si>
  <si>
    <t>North Road</t>
  </si>
  <si>
    <t>Brightlingsea, Essex</t>
  </si>
  <si>
    <t>The Dripping Pan</t>
  </si>
  <si>
    <t>Lewes, East Sussex</t>
  </si>
  <si>
    <t>487936</t>
  </si>
  <si>
    <t>EstÃ¡dio Frei EpifÃ¢nio D'Abadia</t>
  </si>
  <si>
    <t>Maranhense</t>
  </si>
  <si>
    <t>Imperatriz, MaranhÃ£o</t>
  </si>
  <si>
    <t>EstÃ¡dio Governador JoÃ£o Castelo</t>
  </si>
  <si>
    <t>SÃ£o LuÃ­s, MaranhÃ£o</t>
  </si>
  <si>
    <t>330946</t>
  </si>
  <si>
    <t>Sportpark Middelmors (Rijnsburg)</t>
  </si>
  <si>
    <t>Tweede Divisie</t>
  </si>
  <si>
    <t>Sportpark Middelmors</t>
  </si>
  <si>
    <t>Rijnsburg</t>
  </si>
  <si>
    <t>199126</t>
  </si>
  <si>
    <t>Sozopol</t>
  </si>
  <si>
    <t>208508</t>
  </si>
  <si>
    <t>Kasungu Stadium</t>
  </si>
  <si>
    <t>Malawi</t>
  </si>
  <si>
    <t>Mzuzu Stadium</t>
  </si>
  <si>
    <t>Mzuzu</t>
  </si>
  <si>
    <t>276229</t>
  </si>
  <si>
    <t>Don Amott Leisure Group Arena</t>
  </si>
  <si>
    <t>Preliminary Round</t>
  </si>
  <si>
    <t>Derby, Derbyshire</t>
  </si>
  <si>
    <t>Sphinx Drive</t>
  </si>
  <si>
    <t>301055</t>
  </si>
  <si>
    <t>Estadio Nou Camp de Morvedre</t>
  </si>
  <si>
    <t>Group 6 - 11</t>
  </si>
  <si>
    <t>Sagunt</t>
  </si>
  <si>
    <t>Campo de FÃºtbol Divina Pastora</t>
  </si>
  <si>
    <t>Alacant</t>
  </si>
  <si>
    <t>282674</t>
  </si>
  <si>
    <t>Stadion Central'niy</t>
  </si>
  <si>
    <t>Druha Liga - Group A</t>
  </si>
  <si>
    <t>Ukraine</t>
  </si>
  <si>
    <t>Group A - 19</t>
  </si>
  <si>
    <t>Stadion Kolos</t>
  </si>
  <si>
    <t>Mlyniv</t>
  </si>
  <si>
    <t>302010</t>
  </si>
  <si>
    <t>Estadio Municipal de El PlantÃ­o</t>
  </si>
  <si>
    <t>Tercera Division - Group 8</t>
  </si>
  <si>
    <t>Group 8 - 30</t>
  </si>
  <si>
    <t>Burgos</t>
  </si>
  <si>
    <t>Estadio La Llanera</t>
  </si>
  <si>
    <t>La BaÃ±eza</t>
  </si>
  <si>
    <t>303348</t>
  </si>
  <si>
    <t>Estadio de Tasagaya</t>
  </si>
  <si>
    <t>Tercera Division - Group 12</t>
  </si>
  <si>
    <t>Group 12 - 8</t>
  </si>
  <si>
    <t>GÃ¼Ã­mar</t>
  </si>
  <si>
    <t>Estadio Municipal De Gran Tarajal</t>
  </si>
  <si>
    <t>Gran Tarajal</t>
  </si>
  <si>
    <t>578563</t>
  </si>
  <si>
    <t>DunaÃºjvÃ¡rosi Stadion</t>
  </si>
  <si>
    <t>KÃ¶zÃ©p - 2</t>
  </si>
  <si>
    <t>DunaÃºjvÃ¡ros</t>
  </si>
  <si>
    <t>ESMTK Stadion</t>
  </si>
  <si>
    <t>Budapest</t>
  </si>
  <si>
    <t>273602</t>
  </si>
  <si>
    <t>Valby IdrÃ¦tspark</t>
  </si>
  <si>
    <t>2nd Division - Group 1</t>
  </si>
  <si>
    <t>Group 1 - 12</t>
  </si>
  <si>
    <t>HillerÃ¸d Stadion</t>
  </si>
  <si>
    <t>HillerÃ¸d</t>
  </si>
  <si>
    <t>216722</t>
  </si>
  <si>
    <t>Stade Louis BlÃ©riot NÂ°2</t>
  </si>
  <si>
    <t>Feminine Division 1</t>
  </si>
  <si>
    <t>214303</t>
  </si>
  <si>
    <t>Camp Nou</t>
  </si>
  <si>
    <t>Barcelona</t>
  </si>
  <si>
    <t>Estadio Municipal de Butarque</t>
  </si>
  <si>
    <t>LeganÃ©s</t>
  </si>
  <si>
    <t>163005</t>
  </si>
  <si>
    <t>Jalan Besar Stadium (Singapore)</t>
  </si>
  <si>
    <t>Singapore</t>
  </si>
  <si>
    <t>Hougang Stadium</t>
  </si>
  <si>
    <t>Jurong East Stadium</t>
  </si>
  <si>
    <t>166372</t>
  </si>
  <si>
    <t>Fountain of Youth Stadium</t>
  </si>
  <si>
    <t>Premiership</t>
  </si>
  <si>
    <t>306207</t>
  </si>
  <si>
    <t>Campo NÂº5 Complexo Desportivo Dr. AntÃ³nio Pimenta Machado Costa   (GuimarÃ£es)</t>
  </si>
  <si>
    <t>Group A - 11</t>
  </si>
  <si>
    <t>EstÃ¡dio Dom Afonso Henriques</t>
  </si>
  <si>
    <t>GuimarÃ£es</t>
  </si>
  <si>
    <t>EstÃ¡dio do Centro Desportivo da Madeira</t>
  </si>
  <si>
    <t>Madeira</t>
  </si>
  <si>
    <t>298753</t>
  </si>
  <si>
    <t>Estadio Municipal de La LÃ­nea de la ConcepciÃ³n</t>
  </si>
  <si>
    <t>Segunda B - Group 4</t>
  </si>
  <si>
    <t>Group 4 - 9</t>
  </si>
  <si>
    <t>La LÃ­nea de la ConcepciÃ³n</t>
  </si>
  <si>
    <t>Ciudad Deportiva del Granada CF</t>
  </si>
  <si>
    <t>Granada</t>
  </si>
  <si>
    <t>302230</t>
  </si>
  <si>
    <t>Estadio San Ignacio</t>
  </si>
  <si>
    <t>Tercera Division - Group 9</t>
  </si>
  <si>
    <t>Group 9 - 10</t>
  </si>
  <si>
    <t>Estadio Municipal de Linarejos</t>
  </si>
  <si>
    <t>Linares</t>
  </si>
  <si>
    <t>562747</t>
  </si>
  <si>
    <t>Color Line Stadion</t>
  </si>
  <si>
    <t>Ã…lesund</t>
  </si>
  <si>
    <t>Consto Arena</t>
  </si>
  <si>
    <t>MjÃ¸ndalen</t>
  </si>
  <si>
    <t>75972</t>
  </si>
  <si>
    <t>Intility Arena (Oslo)</t>
  </si>
  <si>
    <t>Nordre Ã…sen kunstgress</t>
  </si>
  <si>
    <t>278562</t>
  </si>
  <si>
    <t>Jubilee Field (Crawley, West Sussex)</t>
  </si>
  <si>
    <t>Non League Div One - Southern SW</t>
  </si>
  <si>
    <t>Isthmian South East - 5</t>
  </si>
  <si>
    <t>Jubilee Field</t>
  </si>
  <si>
    <t>Crawley, West Sussex</t>
  </si>
  <si>
    <t>The Pilot Field</t>
  </si>
  <si>
    <t>Hastings, Sussex</t>
  </si>
  <si>
    <t>299479</t>
  </si>
  <si>
    <t>Estadio MarquÃ©s de La Vega de Anzo</t>
  </si>
  <si>
    <t>Group 2 - 5</t>
  </si>
  <si>
    <t>Grado, Asturias</t>
  </si>
  <si>
    <t>Estadio Santa Catalina</t>
  </si>
  <si>
    <t>Pravia</t>
  </si>
  <si>
    <t>577285</t>
  </si>
  <si>
    <t>FutbalovÃ½ Å¡tadiÃ³n KFC KalnÃ¡ nad Hronom</t>
  </si>
  <si>
    <t>West - 5</t>
  </si>
  <si>
    <t>167510</t>
  </si>
  <si>
    <t>Stadion LetnÃ¡</t>
  </si>
  <si>
    <t>Czech Liga</t>
  </si>
  <si>
    <t>ZlÃ­n</t>
  </si>
  <si>
    <t>318726</t>
  </si>
  <si>
    <t>FramvÃ¶llur</t>
  </si>
  <si>
    <t>Gaman FerÃ°a vÃ¶llurinn</t>
  </si>
  <si>
    <t>HafnarfjÃ¶rÃ°ur</t>
  </si>
  <si>
    <t>312966</t>
  </si>
  <si>
    <t>Prince Sultan bin Abdulaziz Sports City Stadium</t>
  </si>
  <si>
    <t>Prince Sultan bin Abdul Aziz Stadium</t>
  </si>
  <si>
    <t>Abha</t>
  </si>
  <si>
    <t>349255</t>
  </si>
  <si>
    <t>Campo Municipal de Santa MariÃ±a</t>
  </si>
  <si>
    <t>Tercera Division - Group 1</t>
  </si>
  <si>
    <t>Group 1 - 7</t>
  </si>
  <si>
    <t>Redondela</t>
  </si>
  <si>
    <t>Campo Municipal de FÃºtbol Rodrigo GarcÃ­a Vizoso</t>
  </si>
  <si>
    <t>La CoruÃ±a</t>
  </si>
  <si>
    <t>308525</t>
  </si>
  <si>
    <t>Stade Henri Desgrange</t>
  </si>
  <si>
    <t>National 3 - Group B</t>
  </si>
  <si>
    <t>Group B - 18</t>
  </si>
  <si>
    <t>La Roche-sur-Yon</t>
  </si>
  <si>
    <t>Stade des GandonniÃ¨res NÂ° 5</t>
  </si>
  <si>
    <t>Laval</t>
  </si>
  <si>
    <t>247210</t>
  </si>
  <si>
    <t>BGC Stadium - Dorrien Gardens</t>
  </si>
  <si>
    <t>W-League</t>
  </si>
  <si>
    <t>235229</t>
  </si>
  <si>
    <t>Stadio Polisportivo Provinciale</t>
  </si>
  <si>
    <t>Trapani</t>
  </si>
  <si>
    <t>Stadio Carlo Castellani</t>
  </si>
  <si>
    <t>Empoli</t>
  </si>
  <si>
    <t>216295</t>
  </si>
  <si>
    <t>Estadio Roy Fernando BermÃºdez</t>
  </si>
  <si>
    <t>Nicaragua</t>
  </si>
  <si>
    <t>466790</t>
  </si>
  <si>
    <t>Stadion Dordoy</t>
  </si>
  <si>
    <t>Kyrgyzstan</t>
  </si>
  <si>
    <t>Bishkek</t>
  </si>
  <si>
    <t>Stadion Neftyannik Kochkor-Ata</t>
  </si>
  <si>
    <t>Kochkor-Ata</t>
  </si>
  <si>
    <t>233226</t>
  </si>
  <si>
    <t>Stadionul Concordia</t>
  </si>
  <si>
    <t>Liga II</t>
  </si>
  <si>
    <t>Romania</t>
  </si>
  <si>
    <t>Chiajna</t>
  </si>
  <si>
    <t>Stadionul Municipal</t>
  </si>
  <si>
    <t>Turnu M?gurele</t>
  </si>
  <si>
    <t>563653</t>
  </si>
  <si>
    <t>Tancheon Sports Complex</t>
  </si>
  <si>
    <t>3rd Round</t>
  </si>
  <si>
    <t>Seongnam</t>
  </si>
  <si>
    <t>Yishunsin Stadium</t>
  </si>
  <si>
    <t>Asan</t>
  </si>
  <si>
    <t>297603</t>
  </si>
  <si>
    <t>Estadio Municipal de Can Misses</t>
  </si>
  <si>
    <t>Segunda B - Group 1</t>
  </si>
  <si>
    <t>Group 1 - 8</t>
  </si>
  <si>
    <t>Ibiza</t>
  </si>
  <si>
    <t>Campo de FÃºtbol Municipal de Boadilla del Monte</t>
  </si>
  <si>
    <t>Boadilla del Monte</t>
  </si>
  <si>
    <t>128510</t>
  </si>
  <si>
    <t>Dick's Sporting Goods Park</t>
  </si>
  <si>
    <t>Regular Season - 35</t>
  </si>
  <si>
    <t>Denver, Colorado</t>
  </si>
  <si>
    <t>CenturyLink Field</t>
  </si>
  <si>
    <t>Seattle, Washington</t>
  </si>
  <si>
    <t>108142</t>
  </si>
  <si>
    <t>Stadion FK Minsk (Minsk)</t>
  </si>
  <si>
    <t>Molodechno</t>
  </si>
  <si>
    <t>Stadyen Traktar</t>
  </si>
  <si>
    <t>Minsk</t>
  </si>
  <si>
    <t>262327</t>
  </si>
  <si>
    <t>Estadio Jorge Alfredo ArÃ­n</t>
  </si>
  <si>
    <t>Primera C</t>
  </si>
  <si>
    <t>Apertura - 18</t>
  </si>
  <si>
    <t>CaÃ±uelas, Provincia de Buenos Aires</t>
  </si>
  <si>
    <t>Estadio Norman Lee</t>
  </si>
  <si>
    <t>Berazategui, Provincia de Buenos Aires</t>
  </si>
  <si>
    <t>318669</t>
  </si>
  <si>
    <t>HÃºsavÃ­kurvÃ¶llur</t>
  </si>
  <si>
    <t>HÃºsavÃ­k</t>
  </si>
  <si>
    <t>164957</t>
  </si>
  <si>
    <t>Stadion Erve Asito</t>
  </si>
  <si>
    <t>Almelo</t>
  </si>
  <si>
    <t>Mandemakers Stadion</t>
  </si>
  <si>
    <t>Waalwijk</t>
  </si>
  <si>
    <t>245883</t>
  </si>
  <si>
    <t>Teren Sintetic Cornel Negoescu</t>
  </si>
  <si>
    <t>Cupa RomÃ¢niei</t>
  </si>
  <si>
    <t>Buz?u</t>
  </si>
  <si>
    <t>Stadionul Emil Alexandrescu</t>
  </si>
  <si>
    <t>Ia?i</t>
  </si>
  <si>
    <t>95180</t>
  </si>
  <si>
    <t>Estadio Manoel Barradas</t>
  </si>
  <si>
    <t>EstÃ¡dio Manoel Barradas</t>
  </si>
  <si>
    <t>Salvador, Bahia</t>
  </si>
  <si>
    <t>EstÃ¡dio Bento da Silva Freitas</t>
  </si>
  <si>
    <t>Pelotas, Rio Grande do Sul</t>
  </si>
  <si>
    <t>489694</t>
  </si>
  <si>
    <t>Krytyj ManieÅ¾ Mogilev</t>
  </si>
  <si>
    <t>Stadyen Spartak</t>
  </si>
  <si>
    <t>Mogilev</t>
  </si>
  <si>
    <t>Stadyen Junatstva</t>
  </si>
  <si>
    <t>Osipovichy</t>
  </si>
  <si>
    <t>484194</t>
  </si>
  <si>
    <t>Heleneholms IP</t>
  </si>
  <si>
    <t>Division 2 - VÃ¤stra GÃ¶taland</t>
  </si>
  <si>
    <t>MalmÃ¶</t>
  </si>
  <si>
    <t>153937</t>
  </si>
  <si>
    <t>Stadion imeni V.I. Lenina</t>
  </si>
  <si>
    <t>Khabarovsk</t>
  </si>
  <si>
    <t>503069</t>
  </si>
  <si>
    <t>ViÃ° MargÃ¡ir</t>
  </si>
  <si>
    <t>Meistaradeildin</t>
  </si>
  <si>
    <t>Faroe-Islands</t>
  </si>
  <si>
    <t>Streymnes, Streymoy</t>
  </si>
  <si>
    <t>Gundadalur</t>
  </si>
  <si>
    <t>TÃ³rshavn, Streymoy</t>
  </si>
  <si>
    <t>270146</t>
  </si>
  <si>
    <t>Stadion Angel Kanchev</t>
  </si>
  <si>
    <t>Third League - Northwest</t>
  </si>
  <si>
    <t>North-West - 6</t>
  </si>
  <si>
    <t>Tryavna</t>
  </si>
  <si>
    <t>Gabrovo</t>
  </si>
  <si>
    <t>113137</t>
  </si>
  <si>
    <t>Sri Nakhon Lamduan Stadium (Sisaket)</t>
  </si>
  <si>
    <t>Thai League 2</t>
  </si>
  <si>
    <t>Thailand</t>
  </si>
  <si>
    <t>Sri Nakhon Lamduan Stadium</t>
  </si>
  <si>
    <t>Sisaket</t>
  </si>
  <si>
    <t>Udon Thani Institute of PE Stadium</t>
  </si>
  <si>
    <t>Udon Thani</t>
  </si>
  <si>
    <t>239785</t>
  </si>
  <si>
    <t>Stade Mimoun Al Arsi</t>
  </si>
  <si>
    <t>Al Hoceima</t>
  </si>
  <si>
    <t>Stade de Marrakech</t>
  </si>
  <si>
    <t>Marrakech</t>
  </si>
  <si>
    <t>164356</t>
  </si>
  <si>
    <t>Cardiff City Stadium</t>
  </si>
  <si>
    <t>Caerdydd</t>
  </si>
  <si>
    <t>Ashton Gate</t>
  </si>
  <si>
    <t>Bristol</t>
  </si>
  <si>
    <t>307142</t>
  </si>
  <si>
    <t>Campo Futebol Clube Alverca (Alverca do Ribatejo)</t>
  </si>
  <si>
    <t>Group D - 12</t>
  </si>
  <si>
    <t>Complexo Desportivo FC Alverca</t>
  </si>
  <si>
    <t>Alverca do Ribatejo</t>
  </si>
  <si>
    <t>EstÃ¡dio JosÃ© Arcanjo</t>
  </si>
  <si>
    <t>OlhÃ£o</t>
  </si>
  <si>
    <t>273857</t>
  </si>
  <si>
    <t>TÃ¥strup IdrÃ¦tspark</t>
  </si>
  <si>
    <t>Denmark Series - Group 1</t>
  </si>
  <si>
    <t>TÃ¥strup</t>
  </si>
  <si>
    <t>BirkerÃ¸d Stadion</t>
  </si>
  <si>
    <t>BirkerÃ¸d</t>
  </si>
  <si>
    <t>273629</t>
  </si>
  <si>
    <t>Espelundens IdrÃ¦tsanlÃ¦g</t>
  </si>
  <si>
    <t>Group 1 - 16</t>
  </si>
  <si>
    <t>RÃ¸dovre</t>
  </si>
  <si>
    <t>HelsingÃ¸r Ny Stadion OPV</t>
  </si>
  <si>
    <t>HelsingÃ¸r</t>
  </si>
  <si>
    <t>308269</t>
  </si>
  <si>
    <t>Stade Gilbert Arnault</t>
  </si>
  <si>
    <t>National 3 - Group A</t>
  </si>
  <si>
    <t>Group A - 8</t>
  </si>
  <si>
    <t>Chauvigny</t>
  </si>
  <si>
    <t>Stade Alain Metayer</t>
  </si>
  <si>
    <t>Bressuire</t>
  </si>
  <si>
    <t>159029</t>
  </si>
  <si>
    <t>Sporten kompleks Botev 1912</t>
  </si>
  <si>
    <t>Plovdiv</t>
  </si>
  <si>
    <t>Tsarsko selo Complex</t>
  </si>
  <si>
    <t>244569</t>
  </si>
  <si>
    <t>Borg El Arab Stadium</t>
  </si>
  <si>
    <t>IsmaÃ¯lia Stadium</t>
  </si>
  <si>
    <t>Ismailia</t>
  </si>
  <si>
    <t>304155</t>
  </si>
  <si>
    <t>Ciudad Deportiva de Plasencia</t>
  </si>
  <si>
    <t>Tercera Division - Group 14</t>
  </si>
  <si>
    <t>Group 14 - 13</t>
  </si>
  <si>
    <t>Plasencia</t>
  </si>
  <si>
    <t>Polideportivo Municipal TomÃ¡s de la Hera</t>
  </si>
  <si>
    <t>Almendralejo</t>
  </si>
  <si>
    <t>242837</t>
  </si>
  <si>
    <t>Royal Aria Stadium</t>
  </si>
  <si>
    <t>Botswana</t>
  </si>
  <si>
    <t>Botswana National Stadium</t>
  </si>
  <si>
    <t>Gaborone</t>
  </si>
  <si>
    <t>294453</t>
  </si>
  <si>
    <t>Stadio Francesco Baracca (Mestre)</t>
  </si>
  <si>
    <t>Stadio Francesco Baracca</t>
  </si>
  <si>
    <t>Mestre</t>
  </si>
  <si>
    <t>326928</t>
  </si>
  <si>
    <t>Buxoro Sport Majmuasi</t>
  </si>
  <si>
    <t>Bukhara</t>
  </si>
  <si>
    <t>279536</t>
  </si>
  <si>
    <t>Giant Axe (Lancaster, Lancashire)</t>
  </si>
  <si>
    <t>Non League Premier - Northern</t>
  </si>
  <si>
    <t>Northern - 17</t>
  </si>
  <si>
    <t>Giant Axe</t>
  </si>
  <si>
    <t>Lancaster, Lancashire</t>
  </si>
  <si>
    <t>The Proctor Cars Stadium</t>
  </si>
  <si>
    <t>Matlock, Derbyshire</t>
  </si>
  <si>
    <t>241749</t>
  </si>
  <si>
    <t>Tulloch Caledonian Stadium</t>
  </si>
  <si>
    <t>Challenge Cup</t>
  </si>
  <si>
    <t>Inverness</t>
  </si>
  <si>
    <t>Cappielow Park</t>
  </si>
  <si>
    <t>Greenock</t>
  </si>
  <si>
    <t>209098</t>
  </si>
  <si>
    <t>Commerzbank-Arena</t>
  </si>
  <si>
    <t>Frankfurt am Main</t>
  </si>
  <si>
    <t>WWK Arena</t>
  </si>
  <si>
    <t>Augsburg</t>
  </si>
  <si>
    <t>209325</t>
  </si>
  <si>
    <t>Sportpark Ronhof Thomas Sommer</t>
  </si>
  <si>
    <t>Bundesliga 2</t>
  </si>
  <si>
    <t>FÃ¼rth</t>
  </si>
  <si>
    <t>Merck-Stadion am BÃ¶llenfalltor</t>
  </si>
  <si>
    <t>Darmstadt</t>
  </si>
  <si>
    <t>247007</t>
  </si>
  <si>
    <t>Estadio Romelio MartÃ­nez (Barranquilla)</t>
  </si>
  <si>
    <t>Primera B</t>
  </si>
  <si>
    <t>Clausura - Quadrangular - 2</t>
  </si>
  <si>
    <t>Estadio OlÃ­mpico Jaime MorÃ³n LeÃ³n</t>
  </si>
  <si>
    <t>Cartagena de Indias</t>
  </si>
  <si>
    <t>Estadio de La Independencia</t>
  </si>
  <si>
    <t>Tunja</t>
  </si>
  <si>
    <t>236886</t>
  </si>
  <si>
    <t>Ahi Evran Stad?</t>
  </si>
  <si>
    <t>TFF 2. Lig</t>
  </si>
  <si>
    <t>K?rm?z? - 2</t>
  </si>
  <si>
    <t>K?r?ehir</t>
  </si>
  <si>
    <t>Kastamonu Gazi Stadyumu</t>
  </si>
  <si>
    <t>Kastamonu</t>
  </si>
  <si>
    <t>464201</t>
  </si>
  <si>
    <t>Stade Rukundo</t>
  </si>
  <si>
    <t>Ligue A</t>
  </si>
  <si>
    <t>Burundi</t>
  </si>
  <si>
    <t>568488</t>
  </si>
  <si>
    <t>Bold Stadium</t>
  </si>
  <si>
    <t>USL Championship</t>
  </si>
  <si>
    <t>Austin</t>
  </si>
  <si>
    <t>ONEOK Field</t>
  </si>
  <si>
    <t>Tulsa, Oklahoma</t>
  </si>
  <si>
    <t>214007</t>
  </si>
  <si>
    <t>Estadio OlÃ­mpico de la UCV (Caracas)</t>
  </si>
  <si>
    <t>Clausura - 18</t>
  </si>
  <si>
    <t>Estadio OlÃ­mpico de la UCV</t>
  </si>
  <si>
    <t>Caracas</t>
  </si>
  <si>
    <t>473301</t>
  </si>
  <si>
    <t>Dimotiko Stadio Ano Mera</t>
  </si>
  <si>
    <t>Gamma Ethniki - Group 5</t>
  </si>
  <si>
    <t>Group 5 - 4</t>
  </si>
  <si>
    <t>Ano Mera</t>
  </si>
  <si>
    <t>Gipedo Panaiotis Salpeas</t>
  </si>
  <si>
    <t>Keratsini</t>
  </si>
  <si>
    <t>305477</t>
  </si>
  <si>
    <t>CDM Valdefierro</t>
  </si>
  <si>
    <t>Group 17 - 31</t>
  </si>
  <si>
    <t>215277</t>
  </si>
  <si>
    <t>?zmir AtatÃ¼rk Stadyumu</t>
  </si>
  <si>
    <t>TFF 1. Lig</t>
  </si>
  <si>
    <t>Menemen ?ehir Stad?</t>
  </si>
  <si>
    <t>Menemen</t>
  </si>
  <si>
    <t>Spor Toto Akhisar Belediye Stad?</t>
  </si>
  <si>
    <t>Akhisar</t>
  </si>
  <si>
    <t>262315</t>
  </si>
  <si>
    <t>Campo Municipal de Deportes</t>
  </si>
  <si>
    <t>Apertura - 17</t>
  </si>
  <si>
    <t>LujÃ¡n, Provincia de Buenos Aires</t>
  </si>
  <si>
    <t>Estadio Municipal de Pilar</t>
  </si>
  <si>
    <t>Partido de Pilar, Provincia de Buenos Aires</t>
  </si>
  <si>
    <t>284085</t>
  </si>
  <si>
    <t>Mokpo International Football Center Main (Grass Ground A) (Mokpo)</t>
  </si>
  <si>
    <t>Mokpo International Football Center Main (Grass Ground A)</t>
  </si>
  <si>
    <t>Mokpo</t>
  </si>
  <si>
    <t>Chonan Soccer Center Main Stadium</t>
  </si>
  <si>
    <t>Cheonan</t>
  </si>
  <si>
    <t>306801</t>
  </si>
  <si>
    <t>EstÃ¡dio Municipal da Marinha Grande (Marinha Grande)</t>
  </si>
  <si>
    <t>Group C - 9</t>
  </si>
  <si>
    <t>Campo da Portela</t>
  </si>
  <si>
    <t>Marinha Grande</t>
  </si>
  <si>
    <t>EstÃ¡dio Municipal de Aveiro</t>
  </si>
  <si>
    <t>Aveiro</t>
  </si>
  <si>
    <t>466782</t>
  </si>
  <si>
    <t>Stadion Manas</t>
  </si>
  <si>
    <t>Kara-Balta</t>
  </si>
  <si>
    <t>266399</t>
  </si>
  <si>
    <t>Sportpark St. Dimpna (Geel)</t>
  </si>
  <si>
    <t>Provincial - Antwerpen</t>
  </si>
  <si>
    <t>Antwerpen - 6</t>
  </si>
  <si>
    <t>Sportcomplex Antonia FC</t>
  </si>
  <si>
    <t>Zoersel</t>
  </si>
  <si>
    <t>569701</t>
  </si>
  <si>
    <t>Estadio Nuevo Corona</t>
  </si>
  <si>
    <t>Apertura - 5</t>
  </si>
  <si>
    <t>579707</t>
  </si>
  <si>
    <t>Estadio CDI JosÃ© JoaquÃ­n Colleya Fonseca</t>
  </si>
  <si>
    <t>Apertura - 4</t>
  </si>
  <si>
    <t>Estadio Eladio Rosabal Cordero</t>
  </si>
  <si>
    <t>Heredia</t>
  </si>
  <si>
    <t>Estadio Allen Riggioni SuÃ¡rez</t>
  </si>
  <si>
    <t>Grecia</t>
  </si>
  <si>
    <t>214376</t>
  </si>
  <si>
    <t>Regular Season - 36</t>
  </si>
  <si>
    <t>Estadio de Mestalla</t>
  </si>
  <si>
    <t>Valencia</t>
  </si>
  <si>
    <t>302977</t>
  </si>
  <si>
    <t>Estadi Son Bibiloni</t>
  </si>
  <si>
    <t>Tercera Division - Group 11</t>
  </si>
  <si>
    <t>Group 11 - 9</t>
  </si>
  <si>
    <t>Estadi Son Bibiloni (Antonio Asensio)</t>
  </si>
  <si>
    <t>Palma de Mallorca</t>
  </si>
  <si>
    <t>Son Quint Estadio</t>
  </si>
  <si>
    <t>Esporles</t>
  </si>
  <si>
    <t>214102</t>
  </si>
  <si>
    <t>Estadio de Mendizorroza</t>
  </si>
  <si>
    <t>Vitoria-Gasteiz</t>
  </si>
  <si>
    <t>Abanca-BalaÃ­dos</t>
  </si>
  <si>
    <t>Vigo</t>
  </si>
  <si>
    <t>236650</t>
  </si>
  <si>
    <t>Pendik Stadyumu</t>
  </si>
  <si>
    <t>Beyaz - 10</t>
  </si>
  <si>
    <t>Seyrantepe Spor Kompleksi Stadyumu 1</t>
  </si>
  <si>
    <t>Diyarbak?r</t>
  </si>
  <si>
    <t>572694</t>
  </si>
  <si>
    <t>Mestni stadion</t>
  </si>
  <si>
    <t>349412</t>
  </si>
  <si>
    <t>Campo do Morrazo</t>
  </si>
  <si>
    <t>Group 1 - 23</t>
  </si>
  <si>
    <t>Cangas</t>
  </si>
  <si>
    <t>Ciudad Deportiva de Abegondo</t>
  </si>
  <si>
    <t>488167</t>
  </si>
  <si>
    <t>EstÃ¡dio Rei PelÃ© (MaceiÃ³, Alagoas)</t>
  </si>
  <si>
    <t>Copa do Nordeste</t>
  </si>
  <si>
    <t>Group Stage - 7</t>
  </si>
  <si>
    <t>179334</t>
  </si>
  <si>
    <t>Bloomfield Stadium</t>
  </si>
  <si>
    <t>Ligat ha'Al</t>
  </si>
  <si>
    <t>HaMoshava Stadium</t>
  </si>
  <si>
    <t>Petach-Tikva</t>
  </si>
  <si>
    <t>Yud-Alef Stadium</t>
  </si>
  <si>
    <t>Ashdod</t>
  </si>
  <si>
    <t>251199</t>
  </si>
  <si>
    <t>EstÃ¡dio ElÃ¡dio de Barros Carvalho (Recife, Pernambuco)</t>
  </si>
  <si>
    <t>Serie C</t>
  </si>
  <si>
    <t>Itaipava Arena Pernambuco</t>
  </si>
  <si>
    <t>Recife, Pernambuco</t>
  </si>
  <si>
    <t>164731</t>
  </si>
  <si>
    <t>168851</t>
  </si>
  <si>
    <t>Northern Commercials Stadium</t>
  </si>
  <si>
    <t>Regular Season - 32</t>
  </si>
  <si>
    <t>Bradford, West Yorkshire</t>
  </si>
  <si>
    <t>268725</t>
  </si>
  <si>
    <t>Gradski Stadion</t>
  </si>
  <si>
    <t>FBiH - 4</t>
  </si>
  <si>
    <t>108168</t>
  </si>
  <si>
    <t>Stadion Gorodeya (Garadeya)</t>
  </si>
  <si>
    <t>Stadyen Nyoman</t>
  </si>
  <si>
    <t>Grodno</t>
  </si>
  <si>
    <t>210292</t>
  </si>
  <si>
    <t>VÃ¡rosi Stadion</t>
  </si>
  <si>
    <t>NB II</t>
  </si>
  <si>
    <t>Ajkai VÃ¡rosi Sportcentrum</t>
  </si>
  <si>
    <t>Ajka</t>
  </si>
  <si>
    <t>128454</t>
  </si>
  <si>
    <t>MAPFRE Stadium</t>
  </si>
  <si>
    <t>Columbus, Ohio</t>
  </si>
  <si>
    <t>Nippert Stadium</t>
  </si>
  <si>
    <t>Cincinnati, Ohio</t>
  </si>
  <si>
    <t>277875</t>
  </si>
  <si>
    <t>The Elgoods Fenland Stadium (Wisbech, Cambridgeshire)</t>
  </si>
  <si>
    <t>Non League Div One - Northern South</t>
  </si>
  <si>
    <t>Northern South East - 12</t>
  </si>
  <si>
    <t>The Elgoods Fenland Stadium</t>
  </si>
  <si>
    <t>Wisbech, Cambridgeshire</t>
  </si>
  <si>
    <t>The Amdec Forklift Stadium</t>
  </si>
  <si>
    <t>Glossop, Derbyshire</t>
  </si>
  <si>
    <t>296372</t>
  </si>
  <si>
    <t>Stadio Antonio Lombardo Angotta (Marsala)</t>
  </si>
  <si>
    <t>Stadio Antonio Lombardo Angotta</t>
  </si>
  <si>
    <t>Marsala</t>
  </si>
  <si>
    <t>Stadio Giuseppe Lopresti</t>
  </si>
  <si>
    <t>Palmi</t>
  </si>
  <si>
    <t>326949</t>
  </si>
  <si>
    <t>Stadion im. Bahrom Vafoyev</t>
  </si>
  <si>
    <t>Mubarek</t>
  </si>
  <si>
    <t>Markaziy Stadion</t>
  </si>
  <si>
    <t>Karshi</t>
  </si>
  <si>
    <t>153842</t>
  </si>
  <si>
    <t>Right to Dream Park</t>
  </si>
  <si>
    <t>Farum</t>
  </si>
  <si>
    <t>322787</t>
  </si>
  <si>
    <t>Prince Charles Park</t>
  </si>
  <si>
    <t>National Football League</t>
  </si>
  <si>
    <t>Fiji</t>
  </si>
  <si>
    <t>Thompson Park</t>
  </si>
  <si>
    <t>Navua, Viti Levu</t>
  </si>
  <si>
    <t>Subrail Park</t>
  </si>
  <si>
    <t>Labasa, Vanua Levu</t>
  </si>
  <si>
    <t>464265</t>
  </si>
  <si>
    <t>Stade Urukundo</t>
  </si>
  <si>
    <t>Mwumba</t>
  </si>
  <si>
    <t>160866</t>
  </si>
  <si>
    <t>Stadions Ark?dija grass (R?ga (Riga))</t>
  </si>
  <si>
    <t>Virsliga</t>
  </si>
  <si>
    <t>RTU stadions</t>
  </si>
  <si>
    <t>Riga</t>
  </si>
  <si>
    <t>Stadions Celtnieks</t>
  </si>
  <si>
    <t>Daugavpils</t>
  </si>
  <si>
    <t>256167</t>
  </si>
  <si>
    <t>Mandalar Thiri Stadium</t>
  </si>
  <si>
    <t>2nd Round - 5</t>
  </si>
  <si>
    <t>Thuwanna YTC Stadium</t>
  </si>
  <si>
    <t>Yangon</t>
  </si>
  <si>
    <t>Myanmar</t>
  </si>
  <si>
    <t>Respublikanskiy Stadion im. M.V. Frunze</t>
  </si>
  <si>
    <t>Dushanbe</t>
  </si>
  <si>
    <t>169990</t>
  </si>
  <si>
    <t>Stadionul Ion Oblemenco</t>
  </si>
  <si>
    <t>Liga I</t>
  </si>
  <si>
    <t>Craiova</t>
  </si>
  <si>
    <t>Arena Na?ional?</t>
  </si>
  <si>
    <t>Bucure?ti</t>
  </si>
  <si>
    <t>147119</t>
  </si>
  <si>
    <t>Stadion Gazovik</t>
  </si>
  <si>
    <t>Rostoshi</t>
  </si>
  <si>
    <t>VTB Arena</t>
  </si>
  <si>
    <t>256168</t>
  </si>
  <si>
    <t>Rasmee Dhandu Stadium</t>
  </si>
  <si>
    <t>MalÃ©, North MalÃ© Atoll, Kaafu Atoll</t>
  </si>
  <si>
    <t>Maldives</t>
  </si>
  <si>
    <t>Rizal Memorial Stadium</t>
  </si>
  <si>
    <t>Manila</t>
  </si>
  <si>
    <t>Philippines</t>
  </si>
  <si>
    <t>237733</t>
  </si>
  <si>
    <t>Stadio Giuseppe Sinigaglia</t>
  </si>
  <si>
    <t>Girone A - 3</t>
  </si>
  <si>
    <t>Como</t>
  </si>
  <si>
    <t>Stadio Comunale Brianteo</t>
  </si>
  <si>
    <t>Monza</t>
  </si>
  <si>
    <t>569076</t>
  </si>
  <si>
    <t>Stadion na Banovom brdu</t>
  </si>
  <si>
    <t>In?ija</t>
  </si>
  <si>
    <t>159852</t>
  </si>
  <si>
    <t>Tepera stadions (Smiltene)</t>
  </si>
  <si>
    <t>Tepera stadions</t>
  </si>
  <si>
    <t>Smiltene</t>
  </si>
  <si>
    <t>369216</t>
  </si>
  <si>
    <t>Franklin Field (Philadelphia)</t>
  </si>
  <si>
    <t>NISA</t>
  </si>
  <si>
    <t>Fall Season - 5</t>
  </si>
  <si>
    <t>Riccardo Silva Stadium</t>
  </si>
  <si>
    <t>Miami, Florida</t>
  </si>
  <si>
    <t>182593</t>
  </si>
  <si>
    <t>Nagyerdei Stadion</t>
  </si>
  <si>
    <t>NB I</t>
  </si>
  <si>
    <t>Debrecen</t>
  </si>
  <si>
    <t>VÃ¡rkerti Stadion</t>
  </si>
  <si>
    <t>KisvÃ¡rda</t>
  </si>
  <si>
    <t>147037</t>
  </si>
  <si>
    <t>Samara Arena</t>
  </si>
  <si>
    <t>Samara</t>
  </si>
  <si>
    <t>Stadion Arsenal</t>
  </si>
  <si>
    <t>Tula</t>
  </si>
  <si>
    <t>390191</t>
  </si>
  <si>
    <t>Rockwell Automation Park</t>
  </si>
  <si>
    <t>Northern NSW NPL</t>
  </si>
  <si>
    <t>Newcastle</t>
  </si>
  <si>
    <t>Wanderers Oval</t>
  </si>
  <si>
    <t>329604</t>
  </si>
  <si>
    <t>Stade Rue de la Tonne (LiÃ¨ge)</t>
  </si>
  <si>
    <t>First Amateur Division</t>
  </si>
  <si>
    <t>Stade Rue de la Tonne</t>
  </si>
  <si>
    <t>LiÃ¨ge</t>
  </si>
  <si>
    <t>245816</t>
  </si>
  <si>
    <t>VEB Arena</t>
  </si>
  <si>
    <t>Stadion Neftyanik</t>
  </si>
  <si>
    <t>Ufa</t>
  </si>
  <si>
    <t>245415</t>
  </si>
  <si>
    <t>McDonald Jones Stadium</t>
  </si>
  <si>
    <t>A-League</t>
  </si>
  <si>
    <t>Suncorp Stadium</t>
  </si>
  <si>
    <t>Netstrata Jubilee Stadium</t>
  </si>
  <si>
    <t>Sydney</t>
  </si>
  <si>
    <t>167806</t>
  </si>
  <si>
    <t>Stadion KollÃ¡rova ulice</t>
  </si>
  <si>
    <t>Stadion 1. SK Prost?jov</t>
  </si>
  <si>
    <t>Prost?jov</t>
  </si>
  <si>
    <t>304853</t>
  </si>
  <si>
    <t>Estadio La Isla</t>
  </si>
  <si>
    <t>Group 16 - 7</t>
  </si>
  <si>
    <t>LogroÃ±o</t>
  </si>
  <si>
    <t>246251</t>
  </si>
  <si>
    <t>Parque Capurro (Montevideo)</t>
  </si>
  <si>
    <t>Primera Division - Clausura</t>
  </si>
  <si>
    <t>Uruguay</t>
  </si>
  <si>
    <t>Clausura - 3</t>
  </si>
  <si>
    <t>Parque Capurro</t>
  </si>
  <si>
    <t>Montevideo</t>
  </si>
  <si>
    <t>Parque Alfredo VÃ­ctor Viera</t>
  </si>
  <si>
    <t>304826</t>
  </si>
  <si>
    <t>Estadio El Rollo</t>
  </si>
  <si>
    <t>Group 16 - 4</t>
  </si>
  <si>
    <t>Santo Domingo de la Calzada</t>
  </si>
  <si>
    <t>RincÃ³n de Soto</t>
  </si>
  <si>
    <t>338128</t>
  </si>
  <si>
    <t>NV ARENA</t>
  </si>
  <si>
    <t>Tipp3 Bundesliga</t>
  </si>
  <si>
    <t>Relegation Round - 3</t>
  </si>
  <si>
    <t>St. PÃ¶lten</t>
  </si>
  <si>
    <t>BSFZ-Arena</t>
  </si>
  <si>
    <t>Maria Enzersdorf</t>
  </si>
  <si>
    <t>316842</t>
  </si>
  <si>
    <t>T.K. Shutter Reserve</t>
  </si>
  <si>
    <t>South Australia NPL</t>
  </si>
  <si>
    <t>Adelaide</t>
  </si>
  <si>
    <t>SA Athletics Stadium</t>
  </si>
  <si>
    <t>464783</t>
  </si>
  <si>
    <t>Uhuru Stadium</t>
  </si>
  <si>
    <t>Ligi kuu Bara</t>
  </si>
  <si>
    <t>Tanzania</t>
  </si>
  <si>
    <t>Benjamin Mkapa National Stadium</t>
  </si>
  <si>
    <t>Dar-es-Salaam</t>
  </si>
  <si>
    <t>Kambarage Stadium</t>
  </si>
  <si>
    <t>Shinyanga</t>
  </si>
  <si>
    <t>268883</t>
  </si>
  <si>
    <t>Gradski Stadion (GradiÅ¡ka)</t>
  </si>
  <si>
    <t>1st League - RS</t>
  </si>
  <si>
    <t>RS - 14</t>
  </si>
  <si>
    <t>GradiÅ¡ka</t>
  </si>
  <si>
    <t>Prijedor</t>
  </si>
  <si>
    <t>619823</t>
  </si>
  <si>
    <t>Sportplatz Mils</t>
  </si>
  <si>
    <t>Landesliga - Tirol</t>
  </si>
  <si>
    <t>Tirol - 6</t>
  </si>
  <si>
    <t>Mils</t>
  </si>
  <si>
    <t>SVK-Arena</t>
  </si>
  <si>
    <t>Kirchbichl</t>
  </si>
  <si>
    <t>235904</t>
  </si>
  <si>
    <t>Stadiumi Niko Dovana</t>
  </si>
  <si>
    <t>Superliga</t>
  </si>
  <si>
    <t>Albania</t>
  </si>
  <si>
    <t>DurrÃ«s</t>
  </si>
  <si>
    <t>Stadiumi Selman StÃ«rmasi</t>
  </si>
  <si>
    <t>Tirana</t>
  </si>
  <si>
    <t>247176</t>
  </si>
  <si>
    <t>John McEwen Reserve</t>
  </si>
  <si>
    <t>581471</t>
  </si>
  <si>
    <t>290138</t>
  </si>
  <si>
    <t>Poststadion (Berlin)</t>
  </si>
  <si>
    <t>Nordost - 3</t>
  </si>
  <si>
    <t>Poststadion</t>
  </si>
  <si>
    <t>Friedensstadion</t>
  </si>
  <si>
    <t>Halberstadt</t>
  </si>
  <si>
    <t>314533</t>
  </si>
  <si>
    <t>Stadion Drezge</t>
  </si>
  <si>
    <t>Piperi</t>
  </si>
  <si>
    <t>472946</t>
  </si>
  <si>
    <t>Stadio Katerinis</t>
  </si>
  <si>
    <t>Katerini</t>
  </si>
  <si>
    <t>Dimotiko Stadio Stefanovikeiou</t>
  </si>
  <si>
    <t>Stefanovikio</t>
  </si>
  <si>
    <t>301196</t>
  </si>
  <si>
    <t>Poliesportiu Sant Joan d'Alacant</t>
  </si>
  <si>
    <t>Group 6 - 25</t>
  </si>
  <si>
    <t>San Juan de Alicante</t>
  </si>
  <si>
    <t>Estadio La Magdalena</t>
  </si>
  <si>
    <t>Novelda</t>
  </si>
  <si>
    <t>239801</t>
  </si>
  <si>
    <t>Stade Municipal de TÃ©mara</t>
  </si>
  <si>
    <t>TÃ©mara</t>
  </si>
  <si>
    <t>286327</t>
  </si>
  <si>
    <t>Stade Robert Bobin</t>
  </si>
  <si>
    <t>Group B - 11</t>
  </si>
  <si>
    <t>Stade Auguste Gentelet</t>
  </si>
  <si>
    <t>Fleury-MÃ©rogis</t>
  </si>
  <si>
    <t>Stade Yves-Jaguin</t>
  </si>
  <si>
    <t>Pabu</t>
  </si>
  <si>
    <t>157393</t>
  </si>
  <si>
    <t>St. Mary's Stadium</t>
  </si>
  <si>
    <t>Regular Season - 38</t>
  </si>
  <si>
    <t>Southampton, Hampshire</t>
  </si>
  <si>
    <t>Bramall Lane</t>
  </si>
  <si>
    <t>Sheffield</t>
  </si>
  <si>
    <t>273035</t>
  </si>
  <si>
    <t>Na Spo?ilov? (BrandÃ½s nad Labem-StarÃ¡ Boleslav)</t>
  </si>
  <si>
    <t>Stadion Neratovice</t>
  </si>
  <si>
    <t>Neratovice</t>
  </si>
  <si>
    <t>262248</t>
  </si>
  <si>
    <t>Estadio Enrique VI</t>
  </si>
  <si>
    <t>Apertura - 9</t>
  </si>
  <si>
    <t>Estadio Francisco Boga</t>
  </si>
  <si>
    <t>Burzaco, Provincia de Buenos Aires</t>
  </si>
  <si>
    <t>215346</t>
  </si>
  <si>
    <t>5 Ocak Fatih Terim Stadyumu</t>
  </si>
  <si>
    <t>Adana</t>
  </si>
  <si>
    <t>Giresun AtatÃ¼rk Stadyumu</t>
  </si>
  <si>
    <t>Giresun</t>
  </si>
  <si>
    <t>235954</t>
  </si>
  <si>
    <t>Stadiumi Gjirokastra</t>
  </si>
  <si>
    <t>GjirokastÃ«r</t>
  </si>
  <si>
    <t>232019</t>
  </si>
  <si>
    <t>DBU Pokalen</t>
  </si>
  <si>
    <t>VanlÃ¸se IP</t>
  </si>
  <si>
    <t>VanlÃ¸se</t>
  </si>
  <si>
    <t>312535</t>
  </si>
  <si>
    <t>Stadion Munay?? (At?raw (Atyrau))</t>
  </si>
  <si>
    <t>Stadion Munay??</t>
  </si>
  <si>
    <t>Atyrau</t>
  </si>
  <si>
    <t>Stadion Qajimuqan MuÃ±aytpasov</t>
  </si>
  <si>
    <t>Shymkent</t>
  </si>
  <si>
    <t>289524</t>
  </si>
  <si>
    <t>Hans-Walter-Wild-Stadion</t>
  </si>
  <si>
    <t>Regionalliga - Bayern</t>
  </si>
  <si>
    <t>Bayern - 2</t>
  </si>
  <si>
    <t>Bayreuth</t>
  </si>
  <si>
    <t>Stadion am See</t>
  </si>
  <si>
    <t>Garching bei MÃ¼nchen</t>
  </si>
  <si>
    <t>616600</t>
  </si>
  <si>
    <t>Stade de l'Aar</t>
  </si>
  <si>
    <t>Group B - 3</t>
  </si>
  <si>
    <t>Schiltigheim</t>
  </si>
  <si>
    <t>Stade de l'AbbÃ© Deschamps (annexe 3)</t>
  </si>
  <si>
    <t>Auxerre</t>
  </si>
  <si>
    <t>297923</t>
  </si>
  <si>
    <t>Group 2 - 2</t>
  </si>
  <si>
    <t>Estadio La Planilla</t>
  </si>
  <si>
    <t>Calahorra</t>
  </si>
  <si>
    <t>620531</t>
  </si>
  <si>
    <t>Stadion Akademik</t>
  </si>
  <si>
    <t>North-West - 4</t>
  </si>
  <si>
    <t>SviÅ¡tov</t>
  </si>
  <si>
    <t>Stadion Peshtera Galata</t>
  </si>
  <si>
    <t>Galata</t>
  </si>
  <si>
    <t>334983</t>
  </si>
  <si>
    <t>?ita Bank Dome</t>
  </si>
  <si>
    <t>Japan Football League</t>
  </si>
  <si>
    <t>Oita Sports Park Field A</t>
  </si>
  <si>
    <t>Oita</t>
  </si>
  <si>
    <t>Honda Miyakoda Soccer Stadium</t>
  </si>
  <si>
    <t>Hamamatsu</t>
  </si>
  <si>
    <t>308232</t>
  </si>
  <si>
    <t>Stade Du Hameau Idron 2</t>
  </si>
  <si>
    <t>Group A - 2</t>
  </si>
  <si>
    <t>Stade Paul EscudÃ©</t>
  </si>
  <si>
    <t>Pau</t>
  </si>
  <si>
    <t>213947</t>
  </si>
  <si>
    <t>Estadio Metropolitano de FÃºtbol de Lara (Barquisimeto)</t>
  </si>
  <si>
    <t>Clausura - 12</t>
  </si>
  <si>
    <t>Estadio Farid Richa</t>
  </si>
  <si>
    <t>Barquisimeto</t>
  </si>
  <si>
    <t>166576</t>
  </si>
  <si>
    <t>Stadion Slavko Maletin Vava</t>
  </si>
  <si>
    <t>Prva Liga</t>
  </si>
  <si>
    <t>Ba?ka Palanka</t>
  </si>
  <si>
    <t>Stadion ?ika Da?a</t>
  </si>
  <si>
    <t>Kragujevac</t>
  </si>
  <si>
    <t>306759</t>
  </si>
  <si>
    <t>EstÃ¡dio Municipal de Aveiro (Aveiro)</t>
  </si>
  <si>
    <t>Group C - 4</t>
  </si>
  <si>
    <t>Campo de Jogos Dr. Marques dos Santos</t>
  </si>
  <si>
    <t>SertÃ£</t>
  </si>
  <si>
    <t>337223</t>
  </si>
  <si>
    <t>Stade Municipal</t>
  </si>
  <si>
    <t>Yverdon-les-Bains</t>
  </si>
  <si>
    <t>Stadio Comunale</t>
  </si>
  <si>
    <t>Bellinzona</t>
  </si>
  <si>
    <t>565467</t>
  </si>
  <si>
    <t>Halden Stadion</t>
  </si>
  <si>
    <t>2. Division - Group 1</t>
  </si>
  <si>
    <t>Halden</t>
  </si>
  <si>
    <t>Nye Fredrikstad Stadion</t>
  </si>
  <si>
    <t>Fredrikstad</t>
  </si>
  <si>
    <t>471582</t>
  </si>
  <si>
    <t>Sportski Centar Partizan-Teleoptik</t>
  </si>
  <si>
    <t>Srpska Liga - Belgrade</t>
  </si>
  <si>
    <t>Belgrade - 12</t>
  </si>
  <si>
    <t>302961</t>
  </si>
  <si>
    <t>Group 11 - 8</t>
  </si>
  <si>
    <t>Estadio Sa Plana</t>
  </si>
  <si>
    <t>Andratx</t>
  </si>
  <si>
    <t>291587</t>
  </si>
  <si>
    <t>Stade Louis Hon</t>
  </si>
  <si>
    <t>National 2 - Group D</t>
  </si>
  <si>
    <t>Group D - 13</t>
  </si>
  <si>
    <t>Saint-RaphaÃ«l</t>
  </si>
  <si>
    <t>Complexe Sportif L Estagnol 1</t>
  </si>
  <si>
    <t>La Crau</t>
  </si>
  <si>
    <t>298155</t>
  </si>
  <si>
    <t>Estadio El HelmÃ¡ntico</t>
  </si>
  <si>
    <t>Group 2 - 25</t>
  </si>
  <si>
    <t>Salamanca</t>
  </si>
  <si>
    <t>154968</t>
  </si>
  <si>
    <t>First Tennessee Park (Nashville, Tennessee)</t>
  </si>
  <si>
    <t>Patriots Point Soccer Complex</t>
  </si>
  <si>
    <t>Mount Pleasant, South Carolina</t>
  </si>
  <si>
    <t>232625</t>
  </si>
  <si>
    <t>Stadio Renato Dall'Ara</t>
  </si>
  <si>
    <t>Bologna</t>
  </si>
  <si>
    <t>Stadio Giuseppe Meazza</t>
  </si>
  <si>
    <t>Milano</t>
  </si>
  <si>
    <t>169160</t>
  </si>
  <si>
    <t>Estadio OlÃ­mpico Benito JuÃ¡rez</t>
  </si>
  <si>
    <t>Apertura - 10</t>
  </si>
  <si>
    <t>Estadio Luis de la Fuente</t>
  </si>
  <si>
    <t>Veracruz</t>
  </si>
  <si>
    <t>298184</t>
  </si>
  <si>
    <t>Estadio Municipal de Guijuelo</t>
  </si>
  <si>
    <t>Group 2 - 28</t>
  </si>
  <si>
    <t>Guijuelo</t>
  </si>
  <si>
    <t>Estadio Municipal Ciudad de Tudela</t>
  </si>
  <si>
    <t>Tudela</t>
  </si>
  <si>
    <t>76852</t>
  </si>
  <si>
    <t>Estadio Christian BenÃ­tez Betancourt (Guayaquil)</t>
  </si>
  <si>
    <t>Estadio Christian BenÃ­tez Betancourt</t>
  </si>
  <si>
    <t>Estadio Monumental Banco Pichincha</t>
  </si>
  <si>
    <t>168580</t>
  </si>
  <si>
    <t>Moss Rose Ground</t>
  </si>
  <si>
    <t>Macclesfield, Cheshire</t>
  </si>
  <si>
    <t>Rodney Parade</t>
  </si>
  <si>
    <t>Casnewydd</t>
  </si>
  <si>
    <t>238714</t>
  </si>
  <si>
    <t>Stadio Comunale Silvio Piola</t>
  </si>
  <si>
    <t>Novara</t>
  </si>
  <si>
    <t>Stadio Rigamonti Ceppi</t>
  </si>
  <si>
    <t>Lecco</t>
  </si>
  <si>
    <t>478754</t>
  </si>
  <si>
    <t>Fu Jen Catholic University</t>
  </si>
  <si>
    <t>Taiwan Football Premier League</t>
  </si>
  <si>
    <t>Chinese-Taipei</t>
  </si>
  <si>
    <t>Tainan Football Field</t>
  </si>
  <si>
    <t>Tainan</t>
  </si>
  <si>
    <t>Taipei Municipal Stadium</t>
  </si>
  <si>
    <t>Taipei</t>
  </si>
  <si>
    <t>245498</t>
  </si>
  <si>
    <t>Bugesera Stadium</t>
  </si>
  <si>
    <t>National Soccer League</t>
  </si>
  <si>
    <t>Rwanda</t>
  </si>
  <si>
    <t>Nyamata</t>
  </si>
  <si>
    <t>Cyangugu Regional Stadium</t>
  </si>
  <si>
    <t>Cyangugu</t>
  </si>
  <si>
    <t>308632</t>
  </si>
  <si>
    <t>Stade Claude Jamet</t>
  </si>
  <si>
    <t>National 3 - Group C</t>
  </si>
  <si>
    <t>Group C - 8</t>
  </si>
  <si>
    <t>Stade du Bois Joly</t>
  </si>
  <si>
    <t>Saran</t>
  </si>
  <si>
    <t>277842</t>
  </si>
  <si>
    <t>Bracken Moor (Stocksbridge, South Yorkshire)</t>
  </si>
  <si>
    <t>Northern South East - 9</t>
  </si>
  <si>
    <t>Bracken Moor</t>
  </si>
  <si>
    <t>Stocksbridge, South Yorkshire</t>
  </si>
  <si>
    <t>Harrison Park</t>
  </si>
  <si>
    <t>Leek, Staffordshire</t>
  </si>
  <si>
    <t>303929</t>
  </si>
  <si>
    <t>Estadio Las Tejeras</t>
  </si>
  <si>
    <t>Group 13 - 28</t>
  </si>
  <si>
    <t>Estadio Municipal de MazarrÃ³n</t>
  </si>
  <si>
    <t>MazarrÃ³n</t>
  </si>
  <si>
    <t>211306</t>
  </si>
  <si>
    <t>Edgeley Park</t>
  </si>
  <si>
    <t>Stockport, Greater Manchester</t>
  </si>
  <si>
    <t>Furness Building Society Stadium</t>
  </si>
  <si>
    <t>Barrow-in-Furness, Cumbria</t>
  </si>
  <si>
    <t>157908</t>
  </si>
  <si>
    <t>Stade Yves Allainmat - Le Moustoir (Lorient)</t>
  </si>
  <si>
    <t>Stade Yves Allainmat - Le Moustoir</t>
  </si>
  <si>
    <t>Lorient</t>
  </si>
  <si>
    <t>286103</t>
  </si>
  <si>
    <t>Parc des Sports LÃ©o Lagrange</t>
  </si>
  <si>
    <t>Sainte-GeneviÃ¨ve-des-Bois</t>
  </si>
  <si>
    <t>214466</t>
  </si>
  <si>
    <t>Estadio Nuevo Carlos Tartiere</t>
  </si>
  <si>
    <t>Oviedo</t>
  </si>
  <si>
    <t>Estadio Francisco de la Hera</t>
  </si>
  <si>
    <t>334944</t>
  </si>
  <si>
    <t>Toin-cho Sports Park Athletics Stadium</t>
  </si>
  <si>
    <t>Toin</t>
  </si>
  <si>
    <t>Ry?gasaki Stadium</t>
  </si>
  <si>
    <t>Ry?gasaki</t>
  </si>
  <si>
    <t>236111</t>
  </si>
  <si>
    <t>Stadion Mladost</t>
  </si>
  <si>
    <t>East - 16</t>
  </si>
  <si>
    <t>Strumica</t>
  </si>
  <si>
    <t>Stadion Mogila</t>
  </si>
  <si>
    <t>Prilep</t>
  </si>
  <si>
    <t>281910</t>
  </si>
  <si>
    <t>220059</t>
  </si>
  <si>
    <t>Bangor Fuels Arena (Bangor)</t>
  </si>
  <si>
    <t>Bangor Fuels Arena</t>
  </si>
  <si>
    <t>Bangor</t>
  </si>
  <si>
    <t>Dixon Park</t>
  </si>
  <si>
    <t>Ballyclare</t>
  </si>
  <si>
    <t>260024</t>
  </si>
  <si>
    <t>LINZ AG Arena</t>
  </si>
  <si>
    <t>Landesliga - Oberosterreich</t>
  </si>
  <si>
    <t>OberÃ¶sterreich - 12</t>
  </si>
  <si>
    <t>Linz</t>
  </si>
  <si>
    <t>ASKÃ– Stadion</t>
  </si>
  <si>
    <t>Pregarten</t>
  </si>
  <si>
    <t>476267</t>
  </si>
  <si>
    <t>Al Khodor Stadium (Greens Stadium)</t>
  </si>
  <si>
    <t>Joret Al-Shama&amp;apos;a</t>
  </si>
  <si>
    <t>Faisal Al-Husseini International Stadium</t>
  </si>
  <si>
    <t>Al-Ram</t>
  </si>
  <si>
    <t>323515</t>
  </si>
  <si>
    <t>Lat Krabang 54 Stadium</t>
  </si>
  <si>
    <t>Bangkok</t>
  </si>
  <si>
    <t>Khon Kaen Stadium</t>
  </si>
  <si>
    <t>Khon Kaen</t>
  </si>
  <si>
    <t>484180</t>
  </si>
  <si>
    <t>MalmÃ¶ Stadion</t>
  </si>
  <si>
    <t>VinÃ¥vallen</t>
  </si>
  <si>
    <t>Vinberg</t>
  </si>
  <si>
    <t>247512</t>
  </si>
  <si>
    <t>Stade Municipal de BangangtÃ©</t>
  </si>
  <si>
    <t>BangangtÃ©</t>
  </si>
  <si>
    <t>Stade Municipal Mankon</t>
  </si>
  <si>
    <t>Bamenda</t>
  </si>
  <si>
    <t>131185</t>
  </si>
  <si>
    <t>Lanham Park (Grange)</t>
  </si>
  <si>
    <t>273020</t>
  </si>
  <si>
    <t>FotbalovÃ½ Stadion TJ Tatran RakovnÃ­k (RakovnÃ­k)</t>
  </si>
  <si>
    <t>312651</t>
  </si>
  <si>
    <t>Estadio OlÃ­mpico Rafael Calles Pinto (Guanare)</t>
  </si>
  <si>
    <t>241204</t>
  </si>
  <si>
    <t>La Nueva Olla Monumental</t>
  </si>
  <si>
    <t>CONMEBOL Libertadores</t>
  </si>
  <si>
    <t>Estadio General Pablo Rojas</t>
  </si>
  <si>
    <t>AsunciÃ³n</t>
  </si>
  <si>
    <t>Paraguay</t>
  </si>
  <si>
    <t>Estadio Monumental Antonio Vespucio Liberti</t>
  </si>
  <si>
    <t>243639</t>
  </si>
  <si>
    <t>Victor Tedesco Stadium</t>
  </si>
  <si>
    <t>First Division</t>
  </si>
  <si>
    <t>Qormi Football Complex</t>
  </si>
  <si>
    <t>Qormi</t>
  </si>
  <si>
    <t>Hamrun</t>
  </si>
  <si>
    <t>569468</t>
  </si>
  <si>
    <t>Tony Macaroni Arena</t>
  </si>
  <si>
    <t>1st Phase - 2</t>
  </si>
  <si>
    <t>488083</t>
  </si>
  <si>
    <t>EstÃ¡dio Manoel Moreira Sobrinho</t>
  </si>
  <si>
    <t>Capixaba</t>
  </si>
  <si>
    <t>1st Round - 4</t>
  </si>
  <si>
    <t>SÃ£o Mateus, EspÃ­rito Santo</t>
  </si>
  <si>
    <t>EstÃ¡dio MÃ¡rio Monteiro</t>
  </si>
  <si>
    <t>Cachoeiro de Itapemirim, EspÃ­rito Santo</t>
  </si>
  <si>
    <t>268000</t>
  </si>
  <si>
    <t>Terrain BiesmerÃ©e (BiesmerÃ©e)</t>
  </si>
  <si>
    <t>Provincial - Namur</t>
  </si>
  <si>
    <t>Namur - 3</t>
  </si>
  <si>
    <t>Terrain BiesmerÃ©e</t>
  </si>
  <si>
    <t>BiesmerÃ©e</t>
  </si>
  <si>
    <t>289616</t>
  </si>
  <si>
    <t>VÃ¶hlin-Stadion</t>
  </si>
  <si>
    <t>Bayern - 13</t>
  </si>
  <si>
    <t>Illertissen</t>
  </si>
  <si>
    <t>Willy-Sachs-Stadion</t>
  </si>
  <si>
    <t>Schweinfurt</t>
  </si>
  <si>
    <t>257481</t>
  </si>
  <si>
    <t>UEFA U21 Championship</t>
  </si>
  <si>
    <t>Qualifying Round - 10</t>
  </si>
  <si>
    <t>Vazgen Sargsyan anvan Hanrapetakan Marzadasht</t>
  </si>
  <si>
    <t>Aviva Stadium</t>
  </si>
  <si>
    <t>266410</t>
  </si>
  <si>
    <t>Stadion VC Herentals (Herentals)</t>
  </si>
  <si>
    <t>Antwerpen - 7</t>
  </si>
  <si>
    <t>Stadion VC Herentals</t>
  </si>
  <si>
    <t>Herentals</t>
  </si>
  <si>
    <t>KFC Nijlen A-terrein</t>
  </si>
  <si>
    <t>Nijlen</t>
  </si>
  <si>
    <t>168355</t>
  </si>
  <si>
    <t>Wham Stadium</t>
  </si>
  <si>
    <t>Regular Season - 37</t>
  </si>
  <si>
    <t>Accrington, Lancashire</t>
  </si>
  <si>
    <t>Prenton Park</t>
  </si>
  <si>
    <t>Birkenhead, Merseyside</t>
  </si>
  <si>
    <t>305284</t>
  </si>
  <si>
    <t>Group 17 - 11</t>
  </si>
  <si>
    <t>159703</t>
  </si>
  <si>
    <t>Stadion Kranj?evi?eva</t>
  </si>
  <si>
    <t>Prva HNL</t>
  </si>
  <si>
    <t>Zagreb</t>
  </si>
  <si>
    <t>Stadion Poljud</t>
  </si>
  <si>
    <t>Split</t>
  </si>
  <si>
    <t>247349</t>
  </si>
  <si>
    <t>Yong Sports Academy Complex Bamenda</t>
  </si>
  <si>
    <t>Stade Municipal de Mbouda</t>
  </si>
  <si>
    <t>Mbouda</t>
  </si>
  <si>
    <t>309739</t>
  </si>
  <si>
    <t>Stade Du 14 Juillet Madeleine</t>
  </si>
  <si>
    <t>National 3 - Group J</t>
  </si>
  <si>
    <t>Group J - 10</t>
  </si>
  <si>
    <t>Stade du 14 Juillet Madeleine 2</t>
  </si>
  <si>
    <t>Ã‰vreux</t>
  </si>
  <si>
    <t>Stade Louis Villemer</t>
  </si>
  <si>
    <t>Saint-LÃ´</t>
  </si>
  <si>
    <t>337064</t>
  </si>
  <si>
    <t>157505</t>
  </si>
  <si>
    <t>Stade Saint-Symphorien</t>
  </si>
  <si>
    <t>Longeville-lÃ¨s-Metz</t>
  </si>
  <si>
    <t>Stade de la Beaujoire - Louis Fonteneau</t>
  </si>
  <si>
    <t>Nantes</t>
  </si>
  <si>
    <t>284585</t>
  </si>
  <si>
    <t>Mikkelin Urheilupuisto (Mikkeli)</t>
  </si>
  <si>
    <t>Kakkonen - Lohko A</t>
  </si>
  <si>
    <t>Mikkelin Urheilupuisto</t>
  </si>
  <si>
    <t>Mikkeli</t>
  </si>
  <si>
    <t>317526</t>
  </si>
  <si>
    <t>Ramaz Shengelias Sakhelobis Stadioni</t>
  </si>
  <si>
    <t>Kutaisi</t>
  </si>
  <si>
    <t>273557</t>
  </si>
  <si>
    <t>Harboe Arena Slagelse</t>
  </si>
  <si>
    <t>Group 1 - 4</t>
  </si>
  <si>
    <t>Slagelse</t>
  </si>
  <si>
    <t>SuRi Park</t>
  </si>
  <si>
    <t>HolbÃ¦k</t>
  </si>
  <si>
    <t>488103</t>
  </si>
  <si>
    <t>EstÃ¡dio Salvador VenÃ¢ncio da Costa</t>
  </si>
  <si>
    <t>1st Round - 8</t>
  </si>
  <si>
    <t>VitÃ³ria, EspÃ­rito Santo</t>
  </si>
  <si>
    <t>EstÃ¡dio Joaquim Calmon</t>
  </si>
  <si>
    <t>Linhares, EspÃ­rito Santo</t>
  </si>
  <si>
    <t>263422</t>
  </si>
  <si>
    <t>Estadio Abel Sastre (Puerto Madryn, Provincia de Chubut)</t>
  </si>
  <si>
    <t>South - 12</t>
  </si>
  <si>
    <t>Estadio Abel Sastre</t>
  </si>
  <si>
    <t>Puerto Madryn, Provincia de Chubut</t>
  </si>
  <si>
    <t>Estadio Sol De Mayo</t>
  </si>
  <si>
    <t>Viedma, Provincia de RÃ­o Negro</t>
  </si>
  <si>
    <t>237768</t>
  </si>
  <si>
    <t>Stadio Giuseppe Moccagatta</t>
  </si>
  <si>
    <t>Girone A - 8</t>
  </si>
  <si>
    <t>Alessandria</t>
  </si>
  <si>
    <t>Stadio Ettore Mannucci</t>
  </si>
  <si>
    <t>Pontedera</t>
  </si>
  <si>
    <t>291563</t>
  </si>
  <si>
    <t>Complexe Sportif La Bastide NÂ°1</t>
  </si>
  <si>
    <t>Group D - 10</t>
  </si>
  <si>
    <t>NÃ®mes</t>
  </si>
  <si>
    <t>Stade Ludovic Giuly</t>
  </si>
  <si>
    <t>Chasselay</t>
  </si>
  <si>
    <t>247702</t>
  </si>
  <si>
    <t>Vengere Stadium</t>
  </si>
  <si>
    <t>National Sports Stadium</t>
  </si>
  <si>
    <t>Harare</t>
  </si>
  <si>
    <t>290539</t>
  </si>
  <si>
    <t>Waldstadion GieÃŸen</t>
  </si>
  <si>
    <t>SÃ¼dwest - 13</t>
  </si>
  <si>
    <t>GieÃŸen</t>
  </si>
  <si>
    <t>Donaustadion</t>
  </si>
  <si>
    <t>Ulm</t>
  </si>
  <si>
    <t>289543</t>
  </si>
  <si>
    <t>Stadion am SchÃ¶nbusch</t>
  </si>
  <si>
    <t>Bayern - 5</t>
  </si>
  <si>
    <t>Aschaffenburg</t>
  </si>
  <si>
    <t>Sportanlage Burgfarrnbach Platz 1</t>
  </si>
  <si>
    <t>472093</t>
  </si>
  <si>
    <t>Stadion Rosulja</t>
  </si>
  <si>
    <t>Srpska Liga - East</t>
  </si>
  <si>
    <t>East - 15</t>
  </si>
  <si>
    <t>Stadion BoÅ¡njace</t>
  </si>
  <si>
    <t>BoÅ¡njace</t>
  </si>
  <si>
    <t>481275</t>
  </si>
  <si>
    <t>Vallhamra IP</t>
  </si>
  <si>
    <t>SÃ¤vedalen</t>
  </si>
  <si>
    <t>Ã–rnsro IP</t>
  </si>
  <si>
    <t>Ã–rebro</t>
  </si>
  <si>
    <t>289522</t>
  </si>
  <si>
    <t>Sportpark Heimstetten</t>
  </si>
  <si>
    <t>Kirchheim bei MÃ¼nchen</t>
  </si>
  <si>
    <t>563969</t>
  </si>
  <si>
    <t>Bogyoke Aung San Stadium</t>
  </si>
  <si>
    <t>247611</t>
  </si>
  <si>
    <t>Pankritio Stadio</t>
  </si>
  <si>
    <t>5th Round</t>
  </si>
  <si>
    <t>Heraklion</t>
  </si>
  <si>
    <t>Dimotiko Stadio TrÃ­kalon</t>
  </si>
  <si>
    <t>Trikala</t>
  </si>
  <si>
    <t>312837</t>
  </si>
  <si>
    <t>N1-vÃ¶llurinn VarmÃ¡ Gervigras</t>
  </si>
  <si>
    <t>Group 4 - 5</t>
  </si>
  <si>
    <t>VarmÃ¡rvÃ¶llur - Gervigras</t>
  </si>
  <si>
    <t>MosfellsbÃ¦r</t>
  </si>
  <si>
    <t>NorÃ°urÃ¡lsvÃ¶llurinn</t>
  </si>
  <si>
    <t>Akranes</t>
  </si>
  <si>
    <t>215976</t>
  </si>
  <si>
    <t>Recep Tayyip Erdo?an Stadyumu</t>
  </si>
  <si>
    <t>Ankara Ondokuz May?s Stadyumu</t>
  </si>
  <si>
    <t>Ankara</t>
  </si>
  <si>
    <t>239051</t>
  </si>
  <si>
    <t>LÃ¶kbatan OIK stadionu</t>
  </si>
  <si>
    <t>LÃ¶kbatan</t>
  </si>
  <si>
    <t>273195</t>
  </si>
  <si>
    <t>Stadion Slavoj PolnÃ¡ (PolnÃ¡)</t>
  </si>
  <si>
    <t>4. liga - Divizie D</t>
  </si>
  <si>
    <t>Stadion Slavoj PolnÃ¡</t>
  </si>
  <si>
    <t>PolnÃ¡</t>
  </si>
  <si>
    <t>Stadion SK Tatran</t>
  </si>
  <si>
    <t>Å½dÃ­rec nad Doubravou</t>
  </si>
  <si>
    <t>368867</t>
  </si>
  <si>
    <t>Stadio Olimpico Grande Torino</t>
  </si>
  <si>
    <t>UEFA Europa League</t>
  </si>
  <si>
    <t>Torino</t>
  </si>
  <si>
    <t>Molineux Stadium</t>
  </si>
  <si>
    <t>Wolverhampton, West Midlands</t>
  </si>
  <si>
    <t>305213</t>
  </si>
  <si>
    <t>Estadio Municipal de Piedrabuena</t>
  </si>
  <si>
    <t>Group 17 - 4</t>
  </si>
  <si>
    <t>Brea de AragÃ³n</t>
  </si>
  <si>
    <t>Estadio de La Estacada</t>
  </si>
  <si>
    <t>Fraga</t>
  </si>
  <si>
    <t>270067</t>
  </si>
  <si>
    <t>Stadion Botev</t>
  </si>
  <si>
    <t>North-East - 10</t>
  </si>
  <si>
    <t>241748</t>
  </si>
  <si>
    <t>North Lodge Park</t>
  </si>
  <si>
    <t>Pitmedden</t>
  </si>
  <si>
    <t>Mourneview Park</t>
  </si>
  <si>
    <t>299663</t>
  </si>
  <si>
    <t>Estadio Alejandro Ortea</t>
  </si>
  <si>
    <t>Group 2 - 24</t>
  </si>
  <si>
    <t>NoreÃ±a</t>
  </si>
  <si>
    <t>Estadio Juan Antonio Alvarez Rabanal</t>
  </si>
  <si>
    <t>569676</t>
  </si>
  <si>
    <t>Estadio LeÃ³n</t>
  </si>
  <si>
    <t>213998</t>
  </si>
  <si>
    <t>Clausura - 17</t>
  </si>
  <si>
    <t>Estadio JosÃ© Alberto PÃ©rez</t>
  </si>
  <si>
    <t>Valera</t>
  </si>
  <si>
    <t>367461</t>
  </si>
  <si>
    <t>Crystal Park (Banbridge)</t>
  </si>
  <si>
    <t>Crystal Park</t>
  </si>
  <si>
    <t>Banbridge</t>
  </si>
  <si>
    <t>Holm Park</t>
  </si>
  <si>
    <t>Armagh</t>
  </si>
  <si>
    <t>167059</t>
  </si>
  <si>
    <t>Stade de la MaladiÃ¨re</t>
  </si>
  <si>
    <t>NeuchÃ¢tel</t>
  </si>
  <si>
    <t>Stade de GenÃ¨ve</t>
  </si>
  <si>
    <t>Carouge</t>
  </si>
  <si>
    <t>305628</t>
  </si>
  <si>
    <t>Estadio San Francisco</t>
  </si>
  <si>
    <t>Tercera Division - Group 18</t>
  </si>
  <si>
    <t>Group 18 - 4</t>
  </si>
  <si>
    <t>Torrijos</t>
  </si>
  <si>
    <t>Estadio La Moheda</t>
  </si>
  <si>
    <t>La Solana</t>
  </si>
  <si>
    <t>209701</t>
  </si>
  <si>
    <t>Vejle Stadion</t>
  </si>
  <si>
    <t>Viasat Divisionen</t>
  </si>
  <si>
    <t>Vejle</t>
  </si>
  <si>
    <t>Autocentralen Park</t>
  </si>
  <si>
    <t>Kolding</t>
  </si>
  <si>
    <t>306154</t>
  </si>
  <si>
    <t>EstÃ¡dio da Portelinha (Pedras Salgadas)</t>
  </si>
  <si>
    <t>Group A - 5</t>
  </si>
  <si>
    <t>EstÃ¡dio da Portelinha</t>
  </si>
  <si>
    <t>Pedras Salgadas</t>
  </si>
  <si>
    <t>95396</t>
  </si>
  <si>
    <t>Beijing Olympic Sports Centre Stadium</t>
  </si>
  <si>
    <t>Beijing</t>
  </si>
  <si>
    <t>Dujiangyan Phoenix Stadium</t>
  </si>
  <si>
    <t>Dujiangyan</t>
  </si>
  <si>
    <t>166672</t>
  </si>
  <si>
    <t>SRC Kolubara</t>
  </si>
  <si>
    <t>Lazarevac</t>
  </si>
  <si>
    <t>KruÅ¡evac</t>
  </si>
  <si>
    <t>305287</t>
  </si>
  <si>
    <t>Estadio Municipal de Deportes</t>
  </si>
  <si>
    <t>Barbastro</t>
  </si>
  <si>
    <t>Estadio Manuel Meler</t>
  </si>
  <si>
    <t>Borja</t>
  </si>
  <si>
    <t>214701</t>
  </si>
  <si>
    <t>Estadio Manuel MartÃ­nez Valero</t>
  </si>
  <si>
    <t>Elche</t>
  </si>
  <si>
    <t>Estadio de la Romareda</t>
  </si>
  <si>
    <t>323198</t>
  </si>
  <si>
    <t>Stade SmaÃ¯l-Makhlouf</t>
  </si>
  <si>
    <t>LarbaÃ¢</t>
  </si>
  <si>
    <t>Stade de l'UnitÃ© MaghrÃ©bine</t>
  </si>
  <si>
    <t>BÃ©jaÃ¯a</t>
  </si>
  <si>
    <t>618111</t>
  </si>
  <si>
    <t>Stadion Dukla</t>
  </si>
  <si>
    <t>4. liga - Divizie F</t>
  </si>
  <si>
    <t>Division F - 4</t>
  </si>
  <si>
    <t>HavÃ­?ov</t>
  </si>
  <si>
    <t>Stadion He?manice</t>
  </si>
  <si>
    <t>Ostrava</t>
  </si>
  <si>
    <t>474288</t>
  </si>
  <si>
    <t>Mandela National Stadium</t>
  </si>
  <si>
    <t>Uganda</t>
  </si>
  <si>
    <t>Masaka Recreation Ground</t>
  </si>
  <si>
    <t>Masaka</t>
  </si>
  <si>
    <t>Kabaka Kyabaggu Sports Stadium</t>
  </si>
  <si>
    <t>Wakiso</t>
  </si>
  <si>
    <t>598400</t>
  </si>
  <si>
    <t>Baza SportivÄƒ Concordia - Teren 2</t>
  </si>
  <si>
    <t>Stadionul 1 Mai</t>
  </si>
  <si>
    <t>Slobozia</t>
  </si>
  <si>
    <t>247714</t>
  </si>
  <si>
    <t>Dudgeon Park</t>
  </si>
  <si>
    <t>Brora</t>
  </si>
  <si>
    <t>147150</t>
  </si>
  <si>
    <t>Saint-Petersburg Stadium</t>
  </si>
  <si>
    <t>St. Petersburg</t>
  </si>
  <si>
    <t>312970</t>
  </si>
  <si>
    <t>King Abdullah Sport City Stadium</t>
  </si>
  <si>
    <t>Mohammed Bin Saud Al-Qasimi Stadium</t>
  </si>
  <si>
    <t>Ash Sha&amp;apos;m</t>
  </si>
  <si>
    <t>Al Majma'ah Sports City Stadium</t>
  </si>
  <si>
    <t>Al Majma&amp;apos;ah</t>
  </si>
  <si>
    <t>278548</t>
  </si>
  <si>
    <t>The Pilot Field (Hastings, Sussex)</t>
  </si>
  <si>
    <t>Isthmian South East - 4</t>
  </si>
  <si>
    <t>Church Road</t>
  </si>
  <si>
    <t>214069</t>
  </si>
  <si>
    <t>Estadio RamÃ³n SÃ¡nchez PizjuÃ¡n</t>
  </si>
  <si>
    <t>Sevilla</t>
  </si>
  <si>
    <t>Estadio Santiago BernabÃ©u</t>
  </si>
  <si>
    <t>368778</t>
  </si>
  <si>
    <t>Old Trafford</t>
  </si>
  <si>
    <t>Manchester</t>
  </si>
  <si>
    <t>Stadion Partizana</t>
  </si>
  <si>
    <t>295470</t>
  </si>
  <si>
    <t>Stadio Comunale Civitelle (Agnone)</t>
  </si>
  <si>
    <t>Serie D - Girone F</t>
  </si>
  <si>
    <t>Stadio Comunale Civitelle</t>
  </si>
  <si>
    <t>Agnone</t>
  </si>
  <si>
    <t>Stadio Comunale P. Carotti</t>
  </si>
  <si>
    <t>Jesi</t>
  </si>
  <si>
    <t>302146</t>
  </si>
  <si>
    <t>Polideportivo Municipal Abdon MartÃ­nez FariÃ±as</t>
  </si>
  <si>
    <t>Group 9 - 2</t>
  </si>
  <si>
    <t>Torreperogil</t>
  </si>
  <si>
    <t>Estadio MatÃ­as Prats</t>
  </si>
  <si>
    <t>Torredonjimeno</t>
  </si>
  <si>
    <t>125076</t>
  </si>
  <si>
    <t>Stadioni Givi Chokheli (Telavi)</t>
  </si>
  <si>
    <t>Erovnuli Liga 2</t>
  </si>
  <si>
    <t>Regular Season - 34</t>
  </si>
  <si>
    <t>Stadioni Givi Chokheli</t>
  </si>
  <si>
    <t>Telavi</t>
  </si>
  <si>
    <t>Sport-kompleksi Shatili</t>
  </si>
  <si>
    <t>198915</t>
  </si>
  <si>
    <t>Stadion Inhulets</t>
  </si>
  <si>
    <t>Persha Liga</t>
  </si>
  <si>
    <t>Petrovo</t>
  </si>
  <si>
    <t>Obolon' Arena</t>
  </si>
  <si>
    <t>Kiev</t>
  </si>
  <si>
    <t>236007</t>
  </si>
  <si>
    <t>Elbasan Arena</t>
  </si>
  <si>
    <t>Elbasan</t>
  </si>
  <si>
    <t>Stadiumi Adush MuÃ§a</t>
  </si>
  <si>
    <t>Ballsh</t>
  </si>
  <si>
    <t>329407</t>
  </si>
  <si>
    <t>Stadyen RTsOP-BGU</t>
  </si>
  <si>
    <t>Coppa</t>
  </si>
  <si>
    <t>573926</t>
  </si>
  <si>
    <t>Norac Stadion</t>
  </si>
  <si>
    <t>2. Division - Group 2</t>
  </si>
  <si>
    <t>Group 2 - 6</t>
  </si>
  <si>
    <t>Arendal</t>
  </si>
  <si>
    <t>Bryne Stadion</t>
  </si>
  <si>
    <t>Bryne</t>
  </si>
  <si>
    <t>307055</t>
  </si>
  <si>
    <t>Campo Conde de Sucena (Sintra)</t>
  </si>
  <si>
    <t>Group D - 3</t>
  </si>
  <si>
    <t>Campo Conde de Sucena</t>
  </si>
  <si>
    <t>EstÃ¡dio Municipal Fernando Cabrita</t>
  </si>
  <si>
    <t>Lagos</t>
  </si>
  <si>
    <t>272398</t>
  </si>
  <si>
    <t>Stadion Å t?chovice</t>
  </si>
  <si>
    <t>3. liga - CFL</t>
  </si>
  <si>
    <t>?FL A - 2</t>
  </si>
  <si>
    <t>Å t?chovice</t>
  </si>
  <si>
    <t>294161</t>
  </si>
  <si>
    <t>Centro Sportivo Comunale Roberto Battaglia (Busto Garolfo)</t>
  </si>
  <si>
    <t>Stadio Comunale Dro</t>
  </si>
  <si>
    <t>Dro</t>
  </si>
  <si>
    <t>239179</t>
  </si>
  <si>
    <t>EstÃ¡dio Municipal dos Eucaliptos (Kuito)</t>
  </si>
  <si>
    <t>EstÃ¡dio Municipal de Menongue</t>
  </si>
  <si>
    <t>Menongue</t>
  </si>
  <si>
    <t>EstÃ¡dio 11 de Novembro</t>
  </si>
  <si>
    <t>488937</t>
  </si>
  <si>
    <t>EstÃ¡dio Club de Regatas Vasco da Gama</t>
  </si>
  <si>
    <t>TaÃ§a Rio - 5</t>
  </si>
  <si>
    <t>Rio de Janeiro, Rio de Janeiro</t>
  </si>
  <si>
    <t>EstÃ¡dio Aniceto Moscoso</t>
  </si>
  <si>
    <t>79684</t>
  </si>
  <si>
    <t>Fukuda Denshi Arena (Chiba)</t>
  </si>
  <si>
    <t>J. League Div.2</t>
  </si>
  <si>
    <t>Fukuda Denshi Arena</t>
  </si>
  <si>
    <t>Chiba</t>
  </si>
  <si>
    <t>Ajinomoto Stadium</t>
  </si>
  <si>
    <t>Ch?fu</t>
  </si>
  <si>
    <t>590545</t>
  </si>
  <si>
    <t>Acre Municipal Stadium</t>
  </si>
  <si>
    <t>Liga Leumit</t>
  </si>
  <si>
    <t>Umm al-Fahm Municipal Stadium</t>
  </si>
  <si>
    <t>Umm al-Fahm</t>
  </si>
  <si>
    <t>487470</t>
  </si>
  <si>
    <t>Sportplatz Buchlern</t>
  </si>
  <si>
    <t>1. Liga Classic - Group 3</t>
  </si>
  <si>
    <t>ZÃ¼rich</t>
  </si>
  <si>
    <t>Sportanlage Buechenwald</t>
  </si>
  <si>
    <t>Gossau</t>
  </si>
  <si>
    <t>232402</t>
  </si>
  <si>
    <t>Winner Stadium</t>
  </si>
  <si>
    <t>Toto Cup Ligat Al</t>
  </si>
  <si>
    <t>Group Stage - 3</t>
  </si>
  <si>
    <t>Netanya</t>
  </si>
  <si>
    <t>Kfar Bara Stadium</t>
  </si>
  <si>
    <t>Kafr Bara</t>
  </si>
  <si>
    <t>243427</t>
  </si>
  <si>
    <t>Stadiumi Gjorgji KyÃ§yku</t>
  </si>
  <si>
    <t>Pogradec</t>
  </si>
  <si>
    <t>Stadiumi Besa</t>
  </si>
  <si>
    <t>KavajÃ«</t>
  </si>
  <si>
    <t>308243</t>
  </si>
  <si>
    <t>Stade Municipal de l'ArgentÃ©</t>
  </si>
  <si>
    <t>Group A - 4</t>
  </si>
  <si>
    <t>Mont-de-Marsan</t>
  </si>
  <si>
    <t>308235</t>
  </si>
  <si>
    <t>Stade Didier Deschamps</t>
  </si>
  <si>
    <t>Group A - 3</t>
  </si>
  <si>
    <t>Bayonne</t>
  </si>
  <si>
    <t>Stade Michel-Amand</t>
  </si>
  <si>
    <t>Buxerolles</t>
  </si>
  <si>
    <t>315522</t>
  </si>
  <si>
    <t>AlvogenvÃ¶llurinn</t>
  </si>
  <si>
    <t>KÃ³rinn</t>
  </si>
  <si>
    <t>169296</t>
  </si>
  <si>
    <t>Stadion SchÃ¼tzenwiese</t>
  </si>
  <si>
    <t>Winterthur</t>
  </si>
  <si>
    <t>Rheinpark Stadion</t>
  </si>
  <si>
    <t>Vaduz</t>
  </si>
  <si>
    <t>Liechtenstein</t>
  </si>
  <si>
    <t>301746</t>
  </si>
  <si>
    <t>Estadio Municipal de la Arboleda</t>
  </si>
  <si>
    <t>Group 8 - 4</t>
  </si>
  <si>
    <t>AlmazÃ¡n</t>
  </si>
  <si>
    <t>Nuevo Campo San Amaro</t>
  </si>
  <si>
    <t>281298</t>
  </si>
  <si>
    <t>Sportpark De Ebbenhorst (Nijkerk)</t>
  </si>
  <si>
    <t>Zaterdag - 4</t>
  </si>
  <si>
    <t>243546</t>
  </si>
  <si>
    <t>Centre d'Entrenament de la FAF 2</t>
  </si>
  <si>
    <t>2a DivisiÃ³</t>
  </si>
  <si>
    <t>Andorra</t>
  </si>
  <si>
    <t>Camp de Futbol d'Aixovall</t>
  </si>
  <si>
    <t>Sant JuliÃ  de LÃ²ria</t>
  </si>
  <si>
    <t>302282</t>
  </si>
  <si>
    <t>Ciudad Deportiva de la FederaciÃ³n MalagueÃ±a de FÃºtbol</t>
  </si>
  <si>
    <t>Group 9 - 16</t>
  </si>
  <si>
    <t>Estadio Vivar TÃ©llez</t>
  </si>
  <si>
    <t>VÃ©lez-MÃ¡laga</t>
  </si>
  <si>
    <t>167674</t>
  </si>
  <si>
    <t>M?stskÃ½ fotbalovÃ½ stadion Miroslava Valenty</t>
  </si>
  <si>
    <t>UherskÃ© HradiÅ¡t?</t>
  </si>
  <si>
    <t>321940</t>
  </si>
  <si>
    <t>Stade de Yamoussoukro</t>
  </si>
  <si>
    <t>Stade de BouakÃ© (Stade de la Paix)</t>
  </si>
  <si>
    <t>BouakÃ©</t>
  </si>
  <si>
    <t>MONTH</t>
  </si>
  <si>
    <t>YEAR</t>
  </si>
  <si>
    <t>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</si>
</sst>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ing_data" connectionId="1" xr16:uid="{2810B0AF-B301-42E6-8D0D-572F3F600D8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78F3-DB26-4A6C-B53F-39ED61FAB214}">
  <dimension ref="A1:CZ501"/>
  <sheetViews>
    <sheetView tabSelected="1" topLeftCell="A474" workbookViewId="0">
      <selection activeCell="F496" sqref="F496"/>
    </sheetView>
  </sheetViews>
  <sheetFormatPr defaultRowHeight="15" x14ac:dyDescent="0.25"/>
  <cols>
    <col min="1" max="1" width="9.7109375" bestFit="1" customWidth="1"/>
    <col min="2" max="2" width="21.140625" bestFit="1" customWidth="1"/>
    <col min="3" max="3" width="20.5703125" bestFit="1" customWidth="1"/>
    <col min="4" max="4" width="12" bestFit="1" customWidth="1"/>
    <col min="5" max="7" width="12" customWidth="1"/>
    <col min="8" max="8" width="38.140625" customWidth="1"/>
    <col min="9" max="9" width="9.7109375" bestFit="1" customWidth="1"/>
    <col min="10" max="10" width="36.42578125" bestFit="1" customWidth="1"/>
    <col min="11" max="11" width="20.5703125" bestFit="1" customWidth="1"/>
    <col min="12" max="12" width="14.28515625" bestFit="1" customWidth="1"/>
    <col min="13" max="13" width="25.140625" bestFit="1" customWidth="1"/>
    <col min="14" max="14" width="55" bestFit="1" customWidth="1"/>
    <col min="15" max="15" width="37" bestFit="1" customWidth="1"/>
    <col min="16" max="16" width="27" bestFit="1" customWidth="1"/>
    <col min="17" max="18" width="20.5703125" bestFit="1" customWidth="1"/>
    <col min="19" max="19" width="48.28515625" bestFit="1" customWidth="1"/>
    <col min="20" max="20" width="45.42578125" bestFit="1" customWidth="1"/>
    <col min="21" max="21" width="26.42578125" bestFit="1" customWidth="1"/>
    <col min="22" max="22" width="20.5703125" bestFit="1" customWidth="1"/>
    <col min="23" max="23" width="20" bestFit="1" customWidth="1"/>
    <col min="24" max="24" width="13.85546875" bestFit="1" customWidth="1"/>
    <col min="25" max="25" width="11.28515625" bestFit="1" customWidth="1"/>
    <col min="26" max="26" width="11.7109375" bestFit="1" customWidth="1"/>
    <col min="27" max="27" width="11.140625" bestFit="1" customWidth="1"/>
    <col min="28" max="28" width="22.5703125" bestFit="1" customWidth="1"/>
    <col min="29" max="29" width="22.7109375" bestFit="1" customWidth="1"/>
    <col min="30" max="30" width="22" bestFit="1" customWidth="1"/>
    <col min="31" max="31" width="24.28515625" bestFit="1" customWidth="1"/>
    <col min="32" max="32" width="23.7109375" bestFit="1" customWidth="1"/>
    <col min="33" max="33" width="21.140625" bestFit="1" customWidth="1"/>
    <col min="34" max="34" width="20.5703125" bestFit="1" customWidth="1"/>
    <col min="35" max="35" width="21.85546875" bestFit="1" customWidth="1"/>
    <col min="36" max="36" width="21.140625" bestFit="1" customWidth="1"/>
    <col min="37" max="37" width="26.42578125" bestFit="1" customWidth="1"/>
    <col min="38" max="38" width="25.85546875" bestFit="1" customWidth="1"/>
    <col min="39" max="39" width="22.140625" bestFit="1" customWidth="1"/>
    <col min="40" max="40" width="21.5703125" bestFit="1" customWidth="1"/>
    <col min="41" max="41" width="27.85546875" bestFit="1" customWidth="1"/>
    <col min="42" max="42" width="27.28515625" bestFit="1" customWidth="1"/>
    <col min="43" max="43" width="34.42578125" bestFit="1" customWidth="1"/>
    <col min="44" max="44" width="31.28515625" bestFit="1" customWidth="1"/>
    <col min="45" max="45" width="31.85546875" bestFit="1" customWidth="1"/>
    <col min="46" max="46" width="33.85546875" bestFit="1" customWidth="1"/>
    <col min="47" max="47" width="30.7109375" bestFit="1" customWidth="1"/>
    <col min="48" max="48" width="31.28515625" bestFit="1" customWidth="1"/>
    <col min="49" max="49" width="33.42578125" bestFit="1" customWidth="1"/>
    <col min="50" max="50" width="37.5703125" bestFit="1" customWidth="1"/>
    <col min="51" max="51" width="41" bestFit="1" customWidth="1"/>
    <col min="52" max="52" width="45.140625" bestFit="1" customWidth="1"/>
    <col min="53" max="53" width="56.5703125" bestFit="1" customWidth="1"/>
    <col min="54" max="54" width="56" bestFit="1" customWidth="1"/>
    <col min="55" max="55" width="48.140625" bestFit="1" customWidth="1"/>
    <col min="56" max="56" width="47.5703125" bestFit="1" customWidth="1"/>
    <col min="57" max="57" width="49.28515625" bestFit="1" customWidth="1"/>
    <col min="58" max="58" width="48.7109375" bestFit="1" customWidth="1"/>
    <col min="59" max="59" width="48.5703125" bestFit="1" customWidth="1"/>
    <col min="60" max="60" width="48" bestFit="1" customWidth="1"/>
    <col min="61" max="61" width="49.7109375" bestFit="1" customWidth="1"/>
    <col min="62" max="62" width="49.140625" bestFit="1" customWidth="1"/>
    <col min="63" max="63" width="53.5703125" bestFit="1" customWidth="1"/>
    <col min="64" max="64" width="53" bestFit="1" customWidth="1"/>
    <col min="65" max="65" width="53.140625" bestFit="1" customWidth="1"/>
    <col min="66" max="66" width="52.5703125" bestFit="1" customWidth="1"/>
    <col min="67" max="67" width="57" bestFit="1" customWidth="1"/>
    <col min="68" max="68" width="56.42578125" bestFit="1" customWidth="1"/>
    <col min="69" max="69" width="35" bestFit="1" customWidth="1"/>
    <col min="70" max="70" width="34.42578125" bestFit="1" customWidth="1"/>
    <col min="71" max="71" width="33" bestFit="1" customWidth="1"/>
    <col min="72" max="72" width="32.42578125" bestFit="1" customWidth="1"/>
    <col min="73" max="73" width="34.28515625" bestFit="1" customWidth="1"/>
    <col min="74" max="74" width="33.5703125" bestFit="1" customWidth="1"/>
    <col min="75" max="75" width="33.42578125" bestFit="1" customWidth="1"/>
    <col min="76" max="77" width="32.85546875" bestFit="1" customWidth="1"/>
    <col min="78" max="78" width="37" bestFit="1" customWidth="1"/>
    <col min="79" max="79" width="40.42578125" bestFit="1" customWidth="1"/>
    <col min="80" max="80" width="44.5703125" bestFit="1" customWidth="1"/>
    <col min="81" max="81" width="56" bestFit="1" customWidth="1"/>
    <col min="82" max="82" width="55.42578125" bestFit="1" customWidth="1"/>
    <col min="83" max="83" width="47.5703125" bestFit="1" customWidth="1"/>
    <col min="84" max="84" width="47" bestFit="1" customWidth="1"/>
    <col min="85" max="85" width="48.7109375" bestFit="1" customWidth="1"/>
    <col min="86" max="86" width="48.140625" bestFit="1" customWidth="1"/>
    <col min="87" max="87" width="48" bestFit="1" customWidth="1"/>
    <col min="88" max="88" width="47.42578125" bestFit="1" customWidth="1"/>
    <col min="89" max="89" width="49.140625" bestFit="1" customWidth="1"/>
    <col min="90" max="90" width="48.5703125" bestFit="1" customWidth="1"/>
    <col min="91" max="91" width="53" bestFit="1" customWidth="1"/>
    <col min="92" max="92" width="52.42578125" bestFit="1" customWidth="1"/>
    <col min="93" max="93" width="52.5703125" bestFit="1" customWidth="1"/>
    <col min="94" max="94" width="52" bestFit="1" customWidth="1"/>
    <col min="95" max="95" width="56.42578125" bestFit="1" customWidth="1"/>
    <col min="96" max="96" width="55.85546875" bestFit="1" customWidth="1"/>
    <col min="97" max="97" width="34.42578125" bestFit="1" customWidth="1"/>
    <col min="98" max="98" width="33.85546875" bestFit="1" customWidth="1"/>
    <col min="99" max="99" width="32.42578125" bestFit="1" customWidth="1"/>
    <col min="100" max="100" width="31.85546875" bestFit="1" customWidth="1"/>
    <col min="101" max="101" width="33.5703125" bestFit="1" customWidth="1"/>
    <col min="102" max="102" width="33" bestFit="1" customWidth="1"/>
    <col min="103" max="103" width="32.85546875" bestFit="1" customWidth="1"/>
    <col min="104" max="104" width="32.28515625" bestFit="1" customWidth="1"/>
  </cols>
  <sheetData>
    <row r="1" spans="1:104" x14ac:dyDescent="0.25">
      <c r="A1" s="1" t="s">
        <v>0</v>
      </c>
      <c r="B1" t="s">
        <v>1</v>
      </c>
      <c r="C1" t="s">
        <v>2</v>
      </c>
      <c r="D1" t="s">
        <v>3</v>
      </c>
      <c r="E1" t="s">
        <v>2934</v>
      </c>
      <c r="F1" t="s">
        <v>2933</v>
      </c>
      <c r="G1" t="s">
        <v>2935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</row>
    <row r="2" spans="1:104" x14ac:dyDescent="0.25">
      <c r="A2" s="1" t="s">
        <v>101</v>
      </c>
      <c r="B2">
        <v>378</v>
      </c>
      <c r="C2">
        <v>363</v>
      </c>
      <c r="D2" s="2">
        <v>43709</v>
      </c>
      <c r="E2" s="3">
        <f>YEAR(D2)</f>
        <v>2019</v>
      </c>
      <c r="F2" s="3">
        <f>MONTH(D2)</f>
        <v>9</v>
      </c>
      <c r="G2" s="3">
        <f>WEEKDAY(D2)</f>
        <v>1</v>
      </c>
      <c r="H2" t="s">
        <v>102</v>
      </c>
      <c r="I2">
        <v>291</v>
      </c>
      <c r="J2" t="s">
        <v>103</v>
      </c>
      <c r="K2" t="s">
        <v>104</v>
      </c>
      <c r="L2">
        <v>2019</v>
      </c>
      <c r="M2" t="s">
        <v>105</v>
      </c>
      <c r="N2" t="s">
        <v>102</v>
      </c>
      <c r="O2" t="s">
        <v>106</v>
      </c>
      <c r="P2">
        <v>17234</v>
      </c>
      <c r="Q2" t="s">
        <v>104</v>
      </c>
      <c r="R2">
        <v>1897</v>
      </c>
      <c r="S2" t="s">
        <v>107</v>
      </c>
      <c r="T2" t="s">
        <v>108</v>
      </c>
      <c r="U2">
        <v>33000</v>
      </c>
      <c r="V2" t="s">
        <v>104</v>
      </c>
      <c r="W2">
        <v>1897</v>
      </c>
      <c r="X2" t="s">
        <v>109</v>
      </c>
      <c r="Z2">
        <v>-3.5</v>
      </c>
      <c r="AA2">
        <v>-3.5</v>
      </c>
      <c r="AB2">
        <v>45</v>
      </c>
      <c r="AC2">
        <v>45</v>
      </c>
      <c r="AD2">
        <v>10</v>
      </c>
      <c r="AE2">
        <v>50</v>
      </c>
      <c r="AF2">
        <v>50</v>
      </c>
      <c r="AG2">
        <v>44</v>
      </c>
      <c r="AH2">
        <v>56</v>
      </c>
      <c r="AI2">
        <v>100</v>
      </c>
      <c r="AJ2">
        <v>0</v>
      </c>
      <c r="AK2">
        <v>64</v>
      </c>
      <c r="AL2">
        <v>36</v>
      </c>
      <c r="AM2">
        <v>62</v>
      </c>
      <c r="AN2">
        <v>38</v>
      </c>
      <c r="AO2">
        <v>58</v>
      </c>
      <c r="AP2">
        <v>42</v>
      </c>
      <c r="AQ2">
        <v>87</v>
      </c>
      <c r="AR2">
        <v>86</v>
      </c>
      <c r="AS2">
        <v>100</v>
      </c>
      <c r="AT2">
        <v>87</v>
      </c>
      <c r="AU2">
        <v>100</v>
      </c>
      <c r="AV2">
        <v>71</v>
      </c>
      <c r="AW2">
        <v>12</v>
      </c>
      <c r="AX2">
        <v>2.4</v>
      </c>
      <c r="AY2">
        <v>0</v>
      </c>
      <c r="AZ2">
        <v>0</v>
      </c>
      <c r="BA2">
        <v>10</v>
      </c>
      <c r="BB2">
        <v>11</v>
      </c>
      <c r="BC2">
        <v>6</v>
      </c>
      <c r="BD2">
        <v>4</v>
      </c>
      <c r="BE2">
        <v>2</v>
      </c>
      <c r="BF2">
        <v>5</v>
      </c>
      <c r="BG2">
        <v>2</v>
      </c>
      <c r="BH2">
        <v>2</v>
      </c>
      <c r="BI2">
        <v>20</v>
      </c>
      <c r="BJ2">
        <v>15</v>
      </c>
      <c r="BK2">
        <v>8</v>
      </c>
      <c r="BL2">
        <v>11</v>
      </c>
      <c r="BM2">
        <v>2</v>
      </c>
      <c r="BN2">
        <v>1.4</v>
      </c>
      <c r="BO2">
        <v>0.8</v>
      </c>
      <c r="BP2">
        <v>1</v>
      </c>
      <c r="BQ2">
        <v>5</v>
      </c>
      <c r="BR2">
        <v>4</v>
      </c>
      <c r="BS2">
        <v>3</v>
      </c>
      <c r="BT2">
        <v>1</v>
      </c>
      <c r="BU2">
        <v>1</v>
      </c>
      <c r="BV2">
        <v>2</v>
      </c>
      <c r="BW2">
        <v>1</v>
      </c>
      <c r="BX2">
        <v>1</v>
      </c>
      <c r="BY2">
        <v>15</v>
      </c>
      <c r="BZ2">
        <v>3</v>
      </c>
      <c r="CA2">
        <v>4</v>
      </c>
      <c r="CB2">
        <v>0.8</v>
      </c>
      <c r="CC2">
        <v>10</v>
      </c>
      <c r="CD2">
        <v>11</v>
      </c>
      <c r="CE2">
        <v>8</v>
      </c>
      <c r="CF2">
        <v>4</v>
      </c>
      <c r="CG2">
        <v>2</v>
      </c>
      <c r="CH2">
        <v>3</v>
      </c>
      <c r="CI2">
        <v>0</v>
      </c>
      <c r="CJ2">
        <v>4</v>
      </c>
      <c r="CK2">
        <v>30</v>
      </c>
      <c r="CL2">
        <v>19</v>
      </c>
      <c r="CM2">
        <v>10</v>
      </c>
      <c r="CN2">
        <v>18</v>
      </c>
      <c r="CO2">
        <v>3</v>
      </c>
      <c r="CP2">
        <v>1.7</v>
      </c>
      <c r="CQ2">
        <v>1</v>
      </c>
      <c r="CR2">
        <v>1.6</v>
      </c>
      <c r="CS2">
        <v>4</v>
      </c>
      <c r="CT2">
        <v>5</v>
      </c>
      <c r="CU2">
        <v>1</v>
      </c>
      <c r="CV2">
        <v>1</v>
      </c>
      <c r="CW2">
        <v>2</v>
      </c>
      <c r="CX2">
        <v>1</v>
      </c>
      <c r="CY2">
        <v>1</v>
      </c>
      <c r="CZ2">
        <v>3</v>
      </c>
    </row>
    <row r="3" spans="1:104" x14ac:dyDescent="0.25">
      <c r="A3" s="1" t="s">
        <v>110</v>
      </c>
      <c r="B3">
        <v>400</v>
      </c>
      <c r="C3">
        <v>404</v>
      </c>
      <c r="D3" s="2">
        <v>43898</v>
      </c>
      <c r="E3" s="3">
        <f t="shared" ref="E3:E66" si="0">YEAR(D3)</f>
        <v>2020</v>
      </c>
      <c r="F3" s="3">
        <f t="shared" ref="F3:F66" si="1">MONTH(D3)</f>
        <v>3</v>
      </c>
      <c r="G3" s="3">
        <f t="shared" ref="G3:G66" si="2">WEEKDAY(D3)</f>
        <v>1</v>
      </c>
      <c r="H3" t="s">
        <v>111</v>
      </c>
      <c r="I3">
        <v>515</v>
      </c>
      <c r="J3" t="s">
        <v>112</v>
      </c>
      <c r="K3" t="s">
        <v>113</v>
      </c>
      <c r="L3">
        <v>2019</v>
      </c>
      <c r="M3" t="s">
        <v>114</v>
      </c>
      <c r="N3" t="s">
        <v>111</v>
      </c>
      <c r="O3" t="s">
        <v>115</v>
      </c>
      <c r="P3">
        <v>38065</v>
      </c>
      <c r="Q3" t="s">
        <v>113</v>
      </c>
      <c r="R3">
        <v>1992</v>
      </c>
      <c r="S3" t="s">
        <v>116</v>
      </c>
      <c r="T3" t="s">
        <v>117</v>
      </c>
      <c r="U3">
        <v>12452</v>
      </c>
      <c r="V3" t="s">
        <v>113</v>
      </c>
      <c r="W3">
        <v>1994</v>
      </c>
      <c r="X3">
        <v>1</v>
      </c>
      <c r="Z3">
        <v>-3.5</v>
      </c>
      <c r="AA3">
        <v>-1.5</v>
      </c>
      <c r="AB3">
        <v>50</v>
      </c>
      <c r="AC3">
        <v>50</v>
      </c>
      <c r="AD3">
        <v>0</v>
      </c>
      <c r="AE3">
        <v>71</v>
      </c>
      <c r="AF3">
        <v>29</v>
      </c>
      <c r="AG3">
        <v>64</v>
      </c>
      <c r="AH3">
        <v>36</v>
      </c>
      <c r="AI3">
        <v>69</v>
      </c>
      <c r="AJ3">
        <v>31</v>
      </c>
      <c r="AK3">
        <v>84</v>
      </c>
      <c r="AL3">
        <v>16</v>
      </c>
      <c r="AM3">
        <v>80</v>
      </c>
      <c r="AN3">
        <v>20</v>
      </c>
      <c r="AO3">
        <v>73</v>
      </c>
      <c r="AP3">
        <v>27</v>
      </c>
      <c r="AQ3">
        <v>67</v>
      </c>
      <c r="AR3">
        <v>47</v>
      </c>
      <c r="AS3">
        <v>67</v>
      </c>
      <c r="AT3">
        <v>27</v>
      </c>
      <c r="AU3">
        <v>27</v>
      </c>
      <c r="AV3">
        <v>27</v>
      </c>
      <c r="AW3">
        <v>7</v>
      </c>
      <c r="AX3">
        <v>1.4</v>
      </c>
      <c r="AY3">
        <v>5</v>
      </c>
      <c r="AZ3">
        <v>1</v>
      </c>
      <c r="BA3">
        <v>11</v>
      </c>
      <c r="BB3">
        <v>12</v>
      </c>
      <c r="BC3">
        <v>10</v>
      </c>
      <c r="BD3">
        <v>6</v>
      </c>
      <c r="BE3">
        <v>1</v>
      </c>
      <c r="BF3">
        <v>1</v>
      </c>
      <c r="BG3">
        <v>0</v>
      </c>
      <c r="BH3">
        <v>5</v>
      </c>
      <c r="BI3">
        <v>26</v>
      </c>
      <c r="BJ3">
        <v>15</v>
      </c>
      <c r="BK3">
        <v>10</v>
      </c>
      <c r="BL3">
        <v>16</v>
      </c>
      <c r="BM3">
        <v>2.4</v>
      </c>
      <c r="BN3">
        <v>1.3</v>
      </c>
      <c r="BO3">
        <v>0.9</v>
      </c>
      <c r="BP3">
        <v>1.3</v>
      </c>
      <c r="BQ3">
        <v>7</v>
      </c>
      <c r="BR3">
        <v>9</v>
      </c>
      <c r="BS3">
        <v>4</v>
      </c>
      <c r="BT3">
        <v>5</v>
      </c>
      <c r="BU3">
        <v>1</v>
      </c>
      <c r="BV3">
        <v>2</v>
      </c>
      <c r="BW3">
        <v>2</v>
      </c>
      <c r="BX3">
        <v>2</v>
      </c>
      <c r="BY3">
        <v>4</v>
      </c>
      <c r="BZ3">
        <v>0.8</v>
      </c>
      <c r="CA3">
        <v>11</v>
      </c>
      <c r="CB3">
        <v>2.2000000000000002</v>
      </c>
      <c r="CC3">
        <v>12</v>
      </c>
      <c r="CD3">
        <v>11</v>
      </c>
      <c r="CE3">
        <v>5</v>
      </c>
      <c r="CF3">
        <v>2</v>
      </c>
      <c r="CG3">
        <v>1</v>
      </c>
      <c r="CH3">
        <v>3</v>
      </c>
      <c r="CI3">
        <v>6</v>
      </c>
      <c r="CJ3">
        <v>6</v>
      </c>
      <c r="CK3">
        <v>12</v>
      </c>
      <c r="CL3">
        <v>8</v>
      </c>
      <c r="CM3">
        <v>21</v>
      </c>
      <c r="CN3">
        <v>21</v>
      </c>
      <c r="CO3">
        <v>1</v>
      </c>
      <c r="CP3">
        <v>0.7</v>
      </c>
      <c r="CQ3">
        <v>1.8</v>
      </c>
      <c r="CR3">
        <v>1.9</v>
      </c>
      <c r="CS3">
        <v>9</v>
      </c>
      <c r="CT3">
        <v>7</v>
      </c>
      <c r="CU3">
        <v>2</v>
      </c>
      <c r="CV3">
        <v>2</v>
      </c>
      <c r="CW3">
        <v>2</v>
      </c>
      <c r="CX3">
        <v>1</v>
      </c>
      <c r="CY3">
        <v>5</v>
      </c>
      <c r="CZ3">
        <v>4</v>
      </c>
    </row>
    <row r="4" spans="1:104" x14ac:dyDescent="0.25">
      <c r="A4" s="1" t="s">
        <v>118</v>
      </c>
      <c r="B4">
        <v>3729</v>
      </c>
      <c r="C4">
        <v>3731</v>
      </c>
      <c r="D4" s="2">
        <v>43737</v>
      </c>
      <c r="E4" s="3">
        <f t="shared" si="0"/>
        <v>2019</v>
      </c>
      <c r="F4" s="3">
        <f t="shared" si="1"/>
        <v>9</v>
      </c>
      <c r="G4" s="3">
        <f t="shared" si="2"/>
        <v>1</v>
      </c>
      <c r="H4" t="s">
        <v>119</v>
      </c>
      <c r="I4">
        <v>580</v>
      </c>
      <c r="J4" t="s">
        <v>120</v>
      </c>
      <c r="K4" t="s">
        <v>121</v>
      </c>
      <c r="L4">
        <v>2019</v>
      </c>
      <c r="M4" t="s">
        <v>122</v>
      </c>
      <c r="Q4" t="s">
        <v>121</v>
      </c>
      <c r="R4">
        <v>1903</v>
      </c>
      <c r="S4" t="s">
        <v>123</v>
      </c>
      <c r="T4" t="s">
        <v>124</v>
      </c>
      <c r="U4">
        <v>4500</v>
      </c>
      <c r="V4" t="s">
        <v>121</v>
      </c>
      <c r="W4">
        <v>1948</v>
      </c>
      <c r="X4" t="s">
        <v>125</v>
      </c>
      <c r="Y4">
        <v>1.5</v>
      </c>
      <c r="Z4">
        <v>-3.5</v>
      </c>
      <c r="AA4">
        <v>-2.5</v>
      </c>
      <c r="AB4">
        <v>10</v>
      </c>
      <c r="AC4">
        <v>45</v>
      </c>
      <c r="AD4">
        <v>45</v>
      </c>
      <c r="AE4">
        <v>44</v>
      </c>
      <c r="AF4">
        <v>56</v>
      </c>
      <c r="AG4">
        <v>48</v>
      </c>
      <c r="AH4">
        <v>52</v>
      </c>
      <c r="AI4">
        <v>57</v>
      </c>
      <c r="AJ4">
        <v>43</v>
      </c>
      <c r="AK4">
        <v>73</v>
      </c>
      <c r="AL4">
        <v>27</v>
      </c>
      <c r="AM4">
        <v>0</v>
      </c>
      <c r="AN4">
        <v>100</v>
      </c>
      <c r="AO4">
        <v>17</v>
      </c>
      <c r="AP4">
        <v>83</v>
      </c>
      <c r="AQ4">
        <v>47</v>
      </c>
      <c r="AR4">
        <v>75</v>
      </c>
      <c r="AS4">
        <v>44</v>
      </c>
      <c r="AT4">
        <v>60</v>
      </c>
      <c r="AU4">
        <v>81</v>
      </c>
      <c r="AV4">
        <v>25</v>
      </c>
      <c r="AW4">
        <v>12</v>
      </c>
      <c r="AX4">
        <v>2.4</v>
      </c>
      <c r="AY4">
        <v>9</v>
      </c>
      <c r="AZ4">
        <v>1.8</v>
      </c>
      <c r="BA4">
        <v>4</v>
      </c>
      <c r="BB4">
        <v>5</v>
      </c>
      <c r="BC4">
        <v>3</v>
      </c>
      <c r="BD4">
        <v>1</v>
      </c>
      <c r="BE4">
        <v>0</v>
      </c>
      <c r="BF4">
        <v>1</v>
      </c>
      <c r="BG4">
        <v>1</v>
      </c>
      <c r="BH4">
        <v>3</v>
      </c>
      <c r="BI4">
        <v>8</v>
      </c>
      <c r="BJ4">
        <v>9</v>
      </c>
      <c r="BK4">
        <v>3</v>
      </c>
      <c r="BL4">
        <v>11</v>
      </c>
      <c r="BM4">
        <v>2</v>
      </c>
      <c r="BN4">
        <v>1.8</v>
      </c>
      <c r="BO4">
        <v>0.8</v>
      </c>
      <c r="BP4">
        <v>2.2000000000000002</v>
      </c>
      <c r="BQ4">
        <v>2</v>
      </c>
      <c r="BR4">
        <v>2</v>
      </c>
      <c r="BS4">
        <v>0</v>
      </c>
      <c r="BT4">
        <v>1</v>
      </c>
      <c r="BU4">
        <v>1</v>
      </c>
      <c r="BV4">
        <v>0</v>
      </c>
      <c r="BW4">
        <v>1</v>
      </c>
      <c r="BX4">
        <v>1</v>
      </c>
      <c r="BY4">
        <v>13</v>
      </c>
      <c r="BZ4">
        <v>2.6</v>
      </c>
      <c r="CA4">
        <v>12</v>
      </c>
      <c r="CB4">
        <v>2.4</v>
      </c>
      <c r="CC4">
        <v>5</v>
      </c>
      <c r="CD4">
        <v>4</v>
      </c>
      <c r="CE4">
        <v>5</v>
      </c>
      <c r="CF4">
        <v>1</v>
      </c>
      <c r="CG4">
        <v>0</v>
      </c>
      <c r="CH4">
        <v>1</v>
      </c>
      <c r="CI4">
        <v>0</v>
      </c>
      <c r="CJ4">
        <v>2</v>
      </c>
      <c r="CK4">
        <v>14</v>
      </c>
      <c r="CL4">
        <v>4</v>
      </c>
      <c r="CM4">
        <v>6</v>
      </c>
      <c r="CN4">
        <v>6</v>
      </c>
      <c r="CO4">
        <v>2.8</v>
      </c>
      <c r="CP4">
        <v>1</v>
      </c>
      <c r="CQ4">
        <v>1.2</v>
      </c>
      <c r="CR4">
        <v>1.5</v>
      </c>
      <c r="CS4">
        <v>2</v>
      </c>
      <c r="CT4">
        <v>2</v>
      </c>
      <c r="CU4">
        <v>1</v>
      </c>
      <c r="CV4">
        <v>1</v>
      </c>
      <c r="CW4">
        <v>0</v>
      </c>
      <c r="CX4">
        <v>1</v>
      </c>
      <c r="CY4">
        <v>1</v>
      </c>
      <c r="CZ4">
        <v>0</v>
      </c>
    </row>
    <row r="5" spans="1:104" x14ac:dyDescent="0.25">
      <c r="A5" s="1" t="s">
        <v>126</v>
      </c>
      <c r="B5">
        <v>4521</v>
      </c>
      <c r="C5">
        <v>4420</v>
      </c>
      <c r="D5" s="2">
        <v>43737</v>
      </c>
      <c r="E5" s="3">
        <f t="shared" si="0"/>
        <v>2019</v>
      </c>
      <c r="F5" s="3">
        <f t="shared" si="1"/>
        <v>9</v>
      </c>
      <c r="G5" s="3">
        <f t="shared" si="2"/>
        <v>1</v>
      </c>
      <c r="H5" t="s">
        <v>127</v>
      </c>
      <c r="I5">
        <v>1034</v>
      </c>
      <c r="J5" t="s">
        <v>128</v>
      </c>
      <c r="K5" t="s">
        <v>129</v>
      </c>
      <c r="L5">
        <v>2019</v>
      </c>
      <c r="M5" t="s">
        <v>130</v>
      </c>
      <c r="N5" t="s">
        <v>131</v>
      </c>
      <c r="O5" t="s">
        <v>132</v>
      </c>
      <c r="P5">
        <v>8000</v>
      </c>
      <c r="Q5" t="s">
        <v>133</v>
      </c>
      <c r="S5" t="s">
        <v>134</v>
      </c>
      <c r="T5" t="s">
        <v>135</v>
      </c>
      <c r="U5">
        <v>35000</v>
      </c>
      <c r="V5" t="s">
        <v>136</v>
      </c>
      <c r="X5">
        <v>2</v>
      </c>
      <c r="Y5">
        <v>-3.5</v>
      </c>
      <c r="AA5">
        <v>-2.5</v>
      </c>
      <c r="AB5">
        <v>10</v>
      </c>
      <c r="AC5">
        <v>45</v>
      </c>
      <c r="AD5">
        <v>45</v>
      </c>
      <c r="AE5">
        <v>17</v>
      </c>
      <c r="AF5">
        <v>83</v>
      </c>
      <c r="AG5">
        <v>0</v>
      </c>
      <c r="AH5">
        <v>100</v>
      </c>
      <c r="AI5">
        <v>100</v>
      </c>
      <c r="AJ5">
        <v>0</v>
      </c>
      <c r="AK5">
        <v>0</v>
      </c>
      <c r="AL5">
        <v>0</v>
      </c>
      <c r="AM5">
        <v>50</v>
      </c>
      <c r="AN5">
        <v>50</v>
      </c>
      <c r="AO5">
        <v>0</v>
      </c>
      <c r="AP5">
        <v>0</v>
      </c>
      <c r="AQ5">
        <v>33</v>
      </c>
      <c r="AR5">
        <v>0</v>
      </c>
      <c r="AS5">
        <v>100</v>
      </c>
      <c r="AT5">
        <v>56</v>
      </c>
      <c r="AU5">
        <v>38</v>
      </c>
      <c r="AV5">
        <v>69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5</v>
      </c>
      <c r="BZ5">
        <v>1.7</v>
      </c>
      <c r="CA5">
        <v>4</v>
      </c>
      <c r="CB5">
        <v>1.3</v>
      </c>
      <c r="CC5">
        <v>2</v>
      </c>
      <c r="CD5">
        <v>1</v>
      </c>
      <c r="CE5">
        <v>0</v>
      </c>
      <c r="CF5">
        <v>1</v>
      </c>
      <c r="CG5">
        <v>2</v>
      </c>
      <c r="CH5">
        <v>0</v>
      </c>
      <c r="CI5">
        <v>0</v>
      </c>
      <c r="CJ5">
        <v>0</v>
      </c>
      <c r="CK5">
        <v>3</v>
      </c>
      <c r="CL5">
        <v>2</v>
      </c>
      <c r="CM5">
        <v>3</v>
      </c>
      <c r="CN5">
        <v>1</v>
      </c>
      <c r="CO5">
        <v>1.5</v>
      </c>
      <c r="CP5">
        <v>2</v>
      </c>
      <c r="CQ5">
        <v>1.5</v>
      </c>
      <c r="CR5">
        <v>1</v>
      </c>
      <c r="CS5">
        <v>1</v>
      </c>
      <c r="CT5">
        <v>1</v>
      </c>
      <c r="CU5">
        <v>0</v>
      </c>
      <c r="CV5">
        <v>0</v>
      </c>
      <c r="CW5">
        <v>1</v>
      </c>
      <c r="CX5">
        <v>0</v>
      </c>
      <c r="CY5">
        <v>0</v>
      </c>
      <c r="CZ5">
        <v>1</v>
      </c>
    </row>
    <row r="6" spans="1:104" x14ac:dyDescent="0.25">
      <c r="A6" s="1" t="s">
        <v>137</v>
      </c>
      <c r="B6">
        <v>4727</v>
      </c>
      <c r="C6">
        <v>6355</v>
      </c>
      <c r="D6" s="2">
        <v>43786</v>
      </c>
      <c r="E6" s="3">
        <f t="shared" si="0"/>
        <v>2019</v>
      </c>
      <c r="F6" s="3">
        <f t="shared" si="1"/>
        <v>11</v>
      </c>
      <c r="G6" s="3">
        <f t="shared" si="2"/>
        <v>1</v>
      </c>
      <c r="H6" t="s">
        <v>138</v>
      </c>
      <c r="I6">
        <v>1289</v>
      </c>
      <c r="J6" t="s">
        <v>139</v>
      </c>
      <c r="K6" t="s">
        <v>140</v>
      </c>
      <c r="L6">
        <v>2019</v>
      </c>
      <c r="M6" t="s">
        <v>141</v>
      </c>
      <c r="N6" t="s">
        <v>142</v>
      </c>
      <c r="O6" t="s">
        <v>143</v>
      </c>
      <c r="P6">
        <v>6500</v>
      </c>
      <c r="Q6" t="s">
        <v>140</v>
      </c>
      <c r="S6" t="s">
        <v>144</v>
      </c>
      <c r="T6" t="s">
        <v>145</v>
      </c>
      <c r="U6">
        <v>1000</v>
      </c>
      <c r="V6" t="s">
        <v>140</v>
      </c>
      <c r="W6">
        <v>1975</v>
      </c>
      <c r="X6" t="s">
        <v>109</v>
      </c>
      <c r="Y6">
        <v>-3.5</v>
      </c>
      <c r="Z6">
        <v>-1.5</v>
      </c>
      <c r="AA6">
        <v>-1.5</v>
      </c>
      <c r="AB6">
        <v>45</v>
      </c>
      <c r="AC6">
        <v>45</v>
      </c>
      <c r="AD6">
        <v>10</v>
      </c>
      <c r="AE6">
        <v>56</v>
      </c>
      <c r="AF6">
        <v>44</v>
      </c>
      <c r="AG6">
        <v>67</v>
      </c>
      <c r="AH6">
        <v>33</v>
      </c>
      <c r="AI6">
        <v>60</v>
      </c>
      <c r="AJ6">
        <v>40</v>
      </c>
      <c r="AK6">
        <v>75</v>
      </c>
      <c r="AL6">
        <v>25</v>
      </c>
      <c r="AM6">
        <v>0</v>
      </c>
      <c r="AN6">
        <v>0</v>
      </c>
      <c r="AO6">
        <v>0</v>
      </c>
      <c r="AP6">
        <v>0</v>
      </c>
      <c r="AQ6">
        <v>33</v>
      </c>
      <c r="AR6">
        <v>36</v>
      </c>
      <c r="AS6">
        <v>45</v>
      </c>
      <c r="AT6">
        <v>27</v>
      </c>
      <c r="AU6">
        <v>18</v>
      </c>
      <c r="AV6">
        <v>18</v>
      </c>
      <c r="AW6">
        <v>4</v>
      </c>
      <c r="AX6">
        <v>0.8</v>
      </c>
      <c r="AY6">
        <v>6</v>
      </c>
      <c r="AZ6">
        <v>1.2</v>
      </c>
      <c r="BA6">
        <v>4</v>
      </c>
      <c r="BB6">
        <v>6</v>
      </c>
      <c r="BC6">
        <v>1</v>
      </c>
      <c r="BD6">
        <v>2</v>
      </c>
      <c r="BE6">
        <v>3</v>
      </c>
      <c r="BF6">
        <v>2</v>
      </c>
      <c r="BG6">
        <v>0</v>
      </c>
      <c r="BH6">
        <v>2</v>
      </c>
      <c r="BI6">
        <v>3</v>
      </c>
      <c r="BJ6">
        <v>7</v>
      </c>
      <c r="BK6">
        <v>2</v>
      </c>
      <c r="BL6">
        <v>7</v>
      </c>
      <c r="BM6">
        <v>0.8</v>
      </c>
      <c r="BN6">
        <v>1.2</v>
      </c>
      <c r="BO6">
        <v>0.5</v>
      </c>
      <c r="BP6">
        <v>1.2</v>
      </c>
      <c r="BQ6">
        <v>1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2</v>
      </c>
      <c r="BZ6">
        <v>0.4</v>
      </c>
      <c r="CA6">
        <v>9</v>
      </c>
      <c r="CB6">
        <v>1.8</v>
      </c>
      <c r="CC6">
        <v>5</v>
      </c>
      <c r="CD6">
        <v>5</v>
      </c>
      <c r="CE6">
        <v>1</v>
      </c>
      <c r="CF6">
        <v>1</v>
      </c>
      <c r="CG6">
        <v>1</v>
      </c>
      <c r="CH6">
        <v>1</v>
      </c>
      <c r="CI6">
        <v>3</v>
      </c>
      <c r="CJ6">
        <v>3</v>
      </c>
      <c r="CK6">
        <v>4</v>
      </c>
      <c r="CL6">
        <v>4</v>
      </c>
      <c r="CM6">
        <v>7</v>
      </c>
      <c r="CN6">
        <v>10</v>
      </c>
      <c r="CO6">
        <v>0.8</v>
      </c>
      <c r="CP6">
        <v>0.8</v>
      </c>
      <c r="CQ6">
        <v>1.4</v>
      </c>
      <c r="CR6">
        <v>2</v>
      </c>
      <c r="CS6">
        <v>0</v>
      </c>
      <c r="CT6">
        <v>1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</row>
    <row r="7" spans="1:104" x14ac:dyDescent="0.25">
      <c r="A7" s="1" t="s">
        <v>146</v>
      </c>
      <c r="B7">
        <v>285</v>
      </c>
      <c r="C7">
        <v>286</v>
      </c>
      <c r="D7" s="2">
        <v>43726</v>
      </c>
      <c r="E7" s="3">
        <f t="shared" si="0"/>
        <v>2019</v>
      </c>
      <c r="F7" s="3">
        <f t="shared" si="1"/>
        <v>9</v>
      </c>
      <c r="G7" s="3">
        <f t="shared" si="2"/>
        <v>4</v>
      </c>
      <c r="H7" t="s">
        <v>147</v>
      </c>
      <c r="I7">
        <v>953</v>
      </c>
      <c r="J7" t="s">
        <v>148</v>
      </c>
      <c r="K7" t="s">
        <v>149</v>
      </c>
      <c r="L7">
        <v>2019</v>
      </c>
      <c r="M7" t="s">
        <v>150</v>
      </c>
      <c r="N7" t="s">
        <v>151</v>
      </c>
      <c r="O7" t="s">
        <v>152</v>
      </c>
      <c r="P7">
        <v>20258</v>
      </c>
      <c r="Q7" t="s">
        <v>149</v>
      </c>
      <c r="R7">
        <v>1985</v>
      </c>
      <c r="S7" t="s">
        <v>153</v>
      </c>
      <c r="T7" t="s">
        <v>154</v>
      </c>
      <c r="U7">
        <v>19694</v>
      </c>
      <c r="V7" t="s">
        <v>149</v>
      </c>
      <c r="W7">
        <v>1988</v>
      </c>
      <c r="X7">
        <v>2</v>
      </c>
      <c r="Y7">
        <v>-3.5</v>
      </c>
      <c r="AA7">
        <v>-3.5</v>
      </c>
      <c r="AB7">
        <v>10</v>
      </c>
      <c r="AC7">
        <v>45</v>
      </c>
      <c r="AD7">
        <v>45</v>
      </c>
      <c r="AE7">
        <v>25</v>
      </c>
      <c r="AF7">
        <v>75</v>
      </c>
      <c r="AG7">
        <v>0</v>
      </c>
      <c r="AH7">
        <v>100</v>
      </c>
      <c r="AI7">
        <v>100</v>
      </c>
      <c r="AJ7">
        <v>0</v>
      </c>
      <c r="AK7">
        <v>0</v>
      </c>
      <c r="AL7">
        <v>0</v>
      </c>
      <c r="AM7">
        <v>50</v>
      </c>
      <c r="AN7">
        <v>50</v>
      </c>
      <c r="AO7">
        <v>50</v>
      </c>
      <c r="AP7">
        <v>50</v>
      </c>
      <c r="AQ7">
        <v>33</v>
      </c>
      <c r="AR7">
        <v>0</v>
      </c>
      <c r="AS7">
        <v>100</v>
      </c>
      <c r="AT7">
        <v>100</v>
      </c>
      <c r="AU7">
        <v>56</v>
      </c>
      <c r="AV7">
        <v>89</v>
      </c>
      <c r="AW7">
        <v>0</v>
      </c>
      <c r="AX7">
        <v>0</v>
      </c>
      <c r="AY7">
        <v>0</v>
      </c>
      <c r="AZ7">
        <v>0</v>
      </c>
      <c r="BA7">
        <v>1</v>
      </c>
      <c r="BB7">
        <v>1</v>
      </c>
      <c r="BC7">
        <v>0</v>
      </c>
      <c r="BD7">
        <v>0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2</v>
      </c>
      <c r="BR7">
        <v>1</v>
      </c>
      <c r="BS7">
        <v>2</v>
      </c>
      <c r="BT7">
        <v>0</v>
      </c>
      <c r="BU7">
        <v>0</v>
      </c>
      <c r="BV7">
        <v>0</v>
      </c>
      <c r="BW7">
        <v>0</v>
      </c>
      <c r="BX7">
        <v>1</v>
      </c>
      <c r="BY7">
        <v>5</v>
      </c>
      <c r="BZ7">
        <v>2.5</v>
      </c>
      <c r="CA7">
        <v>1</v>
      </c>
      <c r="CB7">
        <v>0.5</v>
      </c>
      <c r="CC7">
        <v>2</v>
      </c>
      <c r="CD7">
        <v>0</v>
      </c>
      <c r="CE7">
        <v>2</v>
      </c>
      <c r="CF7">
        <v>0</v>
      </c>
      <c r="CG7">
        <v>0</v>
      </c>
      <c r="CH7">
        <v>0</v>
      </c>
      <c r="CI7">
        <v>0</v>
      </c>
      <c r="CJ7">
        <v>0</v>
      </c>
      <c r="CK7">
        <v>5</v>
      </c>
      <c r="CL7">
        <v>0</v>
      </c>
      <c r="CM7">
        <v>1</v>
      </c>
      <c r="CN7">
        <v>0</v>
      </c>
      <c r="CO7">
        <v>2.5</v>
      </c>
      <c r="CP7">
        <v>0</v>
      </c>
      <c r="CQ7">
        <v>0.5</v>
      </c>
      <c r="CR7">
        <v>0</v>
      </c>
      <c r="CS7">
        <v>1</v>
      </c>
      <c r="CT7">
        <v>2</v>
      </c>
      <c r="CU7">
        <v>1</v>
      </c>
      <c r="CV7">
        <v>0</v>
      </c>
      <c r="CW7">
        <v>0</v>
      </c>
      <c r="CX7">
        <v>0</v>
      </c>
      <c r="CY7">
        <v>0</v>
      </c>
      <c r="CZ7">
        <v>2</v>
      </c>
    </row>
    <row r="8" spans="1:104" x14ac:dyDescent="0.25">
      <c r="A8" s="1" t="s">
        <v>155</v>
      </c>
      <c r="B8">
        <v>9235</v>
      </c>
      <c r="C8">
        <v>3058</v>
      </c>
      <c r="D8" s="2">
        <v>43799</v>
      </c>
      <c r="E8" s="3">
        <f t="shared" si="0"/>
        <v>2019</v>
      </c>
      <c r="F8" s="3">
        <f t="shared" si="1"/>
        <v>11</v>
      </c>
      <c r="G8" s="3">
        <f t="shared" si="2"/>
        <v>7</v>
      </c>
      <c r="H8" t="s">
        <v>156</v>
      </c>
      <c r="I8">
        <v>1220</v>
      </c>
      <c r="J8" t="s">
        <v>157</v>
      </c>
      <c r="K8" t="s">
        <v>158</v>
      </c>
      <c r="L8">
        <v>2019</v>
      </c>
      <c r="M8" t="s">
        <v>159</v>
      </c>
      <c r="N8" t="s">
        <v>160</v>
      </c>
      <c r="O8" t="s">
        <v>161</v>
      </c>
      <c r="P8">
        <v>1000</v>
      </c>
      <c r="Q8" t="s">
        <v>158</v>
      </c>
      <c r="R8">
        <v>1931</v>
      </c>
      <c r="S8" t="s">
        <v>162</v>
      </c>
      <c r="T8" t="s">
        <v>163</v>
      </c>
      <c r="U8">
        <v>5000</v>
      </c>
      <c r="V8" t="s">
        <v>158</v>
      </c>
      <c r="W8">
        <v>1987</v>
      </c>
      <c r="X8">
        <v>1</v>
      </c>
      <c r="Y8">
        <v>1.5</v>
      </c>
      <c r="Z8">
        <v>-4.5</v>
      </c>
      <c r="AA8">
        <v>-2.5</v>
      </c>
      <c r="AB8">
        <v>45</v>
      </c>
      <c r="AC8">
        <v>45</v>
      </c>
      <c r="AD8">
        <v>10</v>
      </c>
      <c r="AE8">
        <v>57</v>
      </c>
      <c r="AF8">
        <v>43</v>
      </c>
      <c r="AG8">
        <v>63</v>
      </c>
      <c r="AH8">
        <v>37</v>
      </c>
      <c r="AI8">
        <v>54</v>
      </c>
      <c r="AJ8">
        <v>46</v>
      </c>
      <c r="AK8">
        <v>76</v>
      </c>
      <c r="AL8">
        <v>24</v>
      </c>
      <c r="AM8">
        <v>80</v>
      </c>
      <c r="AN8">
        <v>20</v>
      </c>
      <c r="AO8">
        <v>75</v>
      </c>
      <c r="AP8">
        <v>25</v>
      </c>
      <c r="AQ8">
        <v>80</v>
      </c>
      <c r="AR8">
        <v>100</v>
      </c>
      <c r="AS8">
        <v>14</v>
      </c>
      <c r="AT8">
        <v>60</v>
      </c>
      <c r="AU8">
        <v>100</v>
      </c>
      <c r="AV8">
        <v>0</v>
      </c>
      <c r="AW8">
        <v>12</v>
      </c>
      <c r="AX8">
        <v>2.4</v>
      </c>
      <c r="AY8">
        <v>6</v>
      </c>
      <c r="AZ8">
        <v>1.2</v>
      </c>
      <c r="BA8">
        <v>5</v>
      </c>
      <c r="BB8">
        <v>7</v>
      </c>
      <c r="BC8">
        <v>3</v>
      </c>
      <c r="BD8">
        <v>4</v>
      </c>
      <c r="BE8">
        <v>0</v>
      </c>
      <c r="BF8">
        <v>1</v>
      </c>
      <c r="BG8">
        <v>2</v>
      </c>
      <c r="BH8">
        <v>2</v>
      </c>
      <c r="BI8">
        <v>14</v>
      </c>
      <c r="BJ8">
        <v>11</v>
      </c>
      <c r="BK8">
        <v>11</v>
      </c>
      <c r="BL8">
        <v>9</v>
      </c>
      <c r="BM8">
        <v>2.8</v>
      </c>
      <c r="BN8">
        <v>1.6</v>
      </c>
      <c r="BO8">
        <v>2.2000000000000002</v>
      </c>
      <c r="BP8">
        <v>1.3</v>
      </c>
      <c r="BQ8">
        <v>2</v>
      </c>
      <c r="BR8">
        <v>1</v>
      </c>
      <c r="BS8">
        <v>2</v>
      </c>
      <c r="BT8">
        <v>0</v>
      </c>
      <c r="BU8">
        <v>0</v>
      </c>
      <c r="BV8">
        <v>1</v>
      </c>
      <c r="BW8">
        <v>0</v>
      </c>
      <c r="BX8">
        <v>0</v>
      </c>
      <c r="BY8">
        <v>7</v>
      </c>
      <c r="BZ8">
        <v>1.4</v>
      </c>
      <c r="CA8">
        <v>7</v>
      </c>
      <c r="CB8">
        <v>1.4</v>
      </c>
      <c r="CC8">
        <v>7</v>
      </c>
      <c r="CD8">
        <v>5</v>
      </c>
      <c r="CE8">
        <v>2</v>
      </c>
      <c r="CF8">
        <v>1</v>
      </c>
      <c r="CG8">
        <v>1</v>
      </c>
      <c r="CH8">
        <v>0</v>
      </c>
      <c r="CI8">
        <v>4</v>
      </c>
      <c r="CJ8">
        <v>4</v>
      </c>
      <c r="CK8">
        <v>8</v>
      </c>
      <c r="CL8">
        <v>4</v>
      </c>
      <c r="CM8">
        <v>9</v>
      </c>
      <c r="CN8">
        <v>12</v>
      </c>
      <c r="CO8">
        <v>1.1000000000000001</v>
      </c>
      <c r="CP8">
        <v>0.8</v>
      </c>
      <c r="CQ8">
        <v>1.3</v>
      </c>
      <c r="CR8">
        <v>2.4</v>
      </c>
      <c r="CS8">
        <v>1</v>
      </c>
      <c r="CT8">
        <v>2</v>
      </c>
      <c r="CU8">
        <v>0</v>
      </c>
      <c r="CV8">
        <v>0</v>
      </c>
      <c r="CW8">
        <v>1</v>
      </c>
      <c r="CX8">
        <v>0</v>
      </c>
      <c r="CY8">
        <v>0</v>
      </c>
      <c r="CZ8">
        <v>2</v>
      </c>
    </row>
    <row r="9" spans="1:104" x14ac:dyDescent="0.25">
      <c r="A9" s="1" t="s">
        <v>164</v>
      </c>
      <c r="B9">
        <v>3481</v>
      </c>
      <c r="C9">
        <v>6959</v>
      </c>
      <c r="D9" s="2">
        <v>43722</v>
      </c>
      <c r="E9" s="3">
        <f t="shared" si="0"/>
        <v>2019</v>
      </c>
      <c r="F9" s="3">
        <f t="shared" si="1"/>
        <v>9</v>
      </c>
      <c r="G9" s="3">
        <f t="shared" si="2"/>
        <v>7</v>
      </c>
      <c r="H9" t="s">
        <v>165</v>
      </c>
      <c r="I9">
        <v>1191</v>
      </c>
      <c r="J9" t="s">
        <v>166</v>
      </c>
      <c r="K9" t="s">
        <v>167</v>
      </c>
      <c r="L9">
        <v>2019</v>
      </c>
      <c r="M9" t="s">
        <v>168</v>
      </c>
      <c r="Q9" t="s">
        <v>167</v>
      </c>
      <c r="R9">
        <v>1946</v>
      </c>
      <c r="V9" t="s">
        <v>167</v>
      </c>
      <c r="X9" t="s">
        <v>125</v>
      </c>
      <c r="Z9">
        <v>-2.5</v>
      </c>
      <c r="AA9">
        <v>-2.5</v>
      </c>
      <c r="AB9">
        <v>10</v>
      </c>
      <c r="AC9">
        <v>45</v>
      </c>
      <c r="AD9">
        <v>45</v>
      </c>
      <c r="AE9">
        <v>40</v>
      </c>
      <c r="AF9">
        <v>60</v>
      </c>
      <c r="AG9">
        <v>53</v>
      </c>
      <c r="AH9">
        <v>47</v>
      </c>
      <c r="AI9">
        <v>50</v>
      </c>
      <c r="AJ9">
        <v>50</v>
      </c>
      <c r="AK9">
        <v>51</v>
      </c>
      <c r="AL9">
        <v>49</v>
      </c>
      <c r="AM9">
        <v>0</v>
      </c>
      <c r="AN9">
        <v>0</v>
      </c>
      <c r="AO9">
        <v>0</v>
      </c>
      <c r="AP9">
        <v>0</v>
      </c>
      <c r="AQ9">
        <v>40</v>
      </c>
      <c r="AR9">
        <v>53</v>
      </c>
      <c r="AS9">
        <v>53</v>
      </c>
      <c r="AT9">
        <v>60</v>
      </c>
      <c r="AU9">
        <v>47</v>
      </c>
      <c r="AV9">
        <v>53</v>
      </c>
      <c r="AW9">
        <v>9</v>
      </c>
      <c r="AX9">
        <v>1.8</v>
      </c>
      <c r="AY9">
        <v>8</v>
      </c>
      <c r="AZ9">
        <v>1.6</v>
      </c>
      <c r="BA9">
        <v>4</v>
      </c>
      <c r="BB9">
        <v>4</v>
      </c>
      <c r="BC9">
        <v>2</v>
      </c>
      <c r="BD9">
        <v>1</v>
      </c>
      <c r="BE9">
        <v>1</v>
      </c>
      <c r="BF9">
        <v>2</v>
      </c>
      <c r="BG9">
        <v>1</v>
      </c>
      <c r="BH9">
        <v>1</v>
      </c>
      <c r="BI9">
        <v>9</v>
      </c>
      <c r="BJ9">
        <v>5</v>
      </c>
      <c r="BK9">
        <v>7</v>
      </c>
      <c r="BL9">
        <v>5</v>
      </c>
      <c r="BM9">
        <v>2.2999999999999998</v>
      </c>
      <c r="BN9">
        <v>1.3</v>
      </c>
      <c r="BO9">
        <v>1.8</v>
      </c>
      <c r="BP9">
        <v>1.3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0</v>
      </c>
      <c r="BX9">
        <v>0</v>
      </c>
      <c r="BY9">
        <v>8</v>
      </c>
      <c r="BZ9">
        <v>1.6</v>
      </c>
      <c r="CA9">
        <v>8</v>
      </c>
      <c r="CB9">
        <v>1.6</v>
      </c>
      <c r="CC9">
        <v>4</v>
      </c>
      <c r="CD9">
        <v>4</v>
      </c>
      <c r="CE9">
        <v>2</v>
      </c>
      <c r="CF9">
        <v>3</v>
      </c>
      <c r="CG9">
        <v>0</v>
      </c>
      <c r="CH9">
        <v>0</v>
      </c>
      <c r="CI9">
        <v>2</v>
      </c>
      <c r="CJ9">
        <v>1</v>
      </c>
      <c r="CK9">
        <v>5</v>
      </c>
      <c r="CL9">
        <v>6</v>
      </c>
      <c r="CM9">
        <v>6</v>
      </c>
      <c r="CN9">
        <v>5</v>
      </c>
      <c r="CO9">
        <v>1.3</v>
      </c>
      <c r="CP9">
        <v>1.5</v>
      </c>
      <c r="CQ9">
        <v>1.5</v>
      </c>
      <c r="CR9">
        <v>1.3</v>
      </c>
      <c r="CS9">
        <v>1</v>
      </c>
      <c r="CT9">
        <v>1</v>
      </c>
      <c r="CU9">
        <v>0</v>
      </c>
      <c r="CV9">
        <v>0</v>
      </c>
      <c r="CW9">
        <v>0</v>
      </c>
      <c r="CX9">
        <v>0</v>
      </c>
      <c r="CY9">
        <v>1</v>
      </c>
      <c r="CZ9">
        <v>1</v>
      </c>
    </row>
    <row r="10" spans="1:104" x14ac:dyDescent="0.25">
      <c r="A10" s="1" t="s">
        <v>169</v>
      </c>
      <c r="B10">
        <v>1428</v>
      </c>
      <c r="C10">
        <v>1421</v>
      </c>
      <c r="D10" s="2">
        <v>43792</v>
      </c>
      <c r="E10" s="3">
        <f t="shared" si="0"/>
        <v>2019</v>
      </c>
      <c r="F10" s="3">
        <f t="shared" si="1"/>
        <v>11</v>
      </c>
      <c r="G10" s="3">
        <f t="shared" si="2"/>
        <v>7</v>
      </c>
      <c r="H10" t="s">
        <v>170</v>
      </c>
      <c r="I10">
        <v>716</v>
      </c>
      <c r="J10" t="s">
        <v>171</v>
      </c>
      <c r="K10" t="s">
        <v>172</v>
      </c>
      <c r="L10">
        <v>2019</v>
      </c>
      <c r="M10" t="s">
        <v>173</v>
      </c>
      <c r="N10" t="s">
        <v>170</v>
      </c>
      <c r="O10" t="s">
        <v>174</v>
      </c>
      <c r="P10">
        <v>15000</v>
      </c>
      <c r="Q10" t="s">
        <v>172</v>
      </c>
      <c r="R10">
        <v>1931</v>
      </c>
      <c r="S10" t="s">
        <v>175</v>
      </c>
      <c r="T10" t="s">
        <v>176</v>
      </c>
      <c r="U10">
        <v>5000</v>
      </c>
      <c r="V10" t="s">
        <v>172</v>
      </c>
      <c r="X10" t="s">
        <v>109</v>
      </c>
      <c r="Z10">
        <v>-2.5</v>
      </c>
      <c r="AA10">
        <v>-2.5</v>
      </c>
      <c r="AB10">
        <v>35</v>
      </c>
      <c r="AC10">
        <v>35</v>
      </c>
      <c r="AD10">
        <v>30</v>
      </c>
      <c r="AE10">
        <v>46</v>
      </c>
      <c r="AF10">
        <v>54</v>
      </c>
      <c r="AG10">
        <v>46</v>
      </c>
      <c r="AH10">
        <v>54</v>
      </c>
      <c r="AI10">
        <v>38</v>
      </c>
      <c r="AJ10">
        <v>63</v>
      </c>
      <c r="AK10">
        <v>0</v>
      </c>
      <c r="AL10">
        <v>0</v>
      </c>
      <c r="AM10">
        <v>50</v>
      </c>
      <c r="AN10">
        <v>50</v>
      </c>
      <c r="AO10">
        <v>60</v>
      </c>
      <c r="AP10">
        <v>40</v>
      </c>
      <c r="AQ10">
        <v>40</v>
      </c>
      <c r="AR10">
        <v>35</v>
      </c>
      <c r="AS10">
        <v>41</v>
      </c>
      <c r="AT10">
        <v>47</v>
      </c>
      <c r="AU10">
        <v>41</v>
      </c>
      <c r="AV10">
        <v>65</v>
      </c>
      <c r="AW10">
        <v>6</v>
      </c>
      <c r="AX10">
        <v>1.2</v>
      </c>
      <c r="AY10">
        <v>10</v>
      </c>
      <c r="AZ10">
        <v>2</v>
      </c>
      <c r="BA10">
        <v>7</v>
      </c>
      <c r="BB10">
        <v>7</v>
      </c>
      <c r="BC10">
        <v>2</v>
      </c>
      <c r="BD10">
        <v>3</v>
      </c>
      <c r="BE10">
        <v>3</v>
      </c>
      <c r="BF10">
        <v>1</v>
      </c>
      <c r="BG10">
        <v>2</v>
      </c>
      <c r="BH10">
        <v>3</v>
      </c>
      <c r="BI10">
        <v>10</v>
      </c>
      <c r="BJ10">
        <v>9</v>
      </c>
      <c r="BK10">
        <v>12</v>
      </c>
      <c r="BL10">
        <v>9</v>
      </c>
      <c r="BM10">
        <v>1.4</v>
      </c>
      <c r="BN10">
        <v>1.3</v>
      </c>
      <c r="BO10">
        <v>1.7</v>
      </c>
      <c r="BP10">
        <v>1.3</v>
      </c>
      <c r="BQ10">
        <v>2</v>
      </c>
      <c r="BR10">
        <v>1</v>
      </c>
      <c r="BS10">
        <v>2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7</v>
      </c>
      <c r="BZ10">
        <v>1.4</v>
      </c>
      <c r="CA10">
        <v>6</v>
      </c>
      <c r="CB10">
        <v>1.2</v>
      </c>
      <c r="CC10">
        <v>7</v>
      </c>
      <c r="CD10">
        <v>8</v>
      </c>
      <c r="CE10">
        <v>3</v>
      </c>
      <c r="CF10">
        <v>1</v>
      </c>
      <c r="CG10">
        <v>1</v>
      </c>
      <c r="CH10">
        <v>0</v>
      </c>
      <c r="CI10">
        <v>3</v>
      </c>
      <c r="CJ10">
        <v>7</v>
      </c>
      <c r="CK10">
        <v>10</v>
      </c>
      <c r="CL10">
        <v>5</v>
      </c>
      <c r="CM10">
        <v>9</v>
      </c>
      <c r="CN10">
        <v>16</v>
      </c>
      <c r="CO10">
        <v>1.4</v>
      </c>
      <c r="CP10">
        <v>0.6</v>
      </c>
      <c r="CQ10">
        <v>1.3</v>
      </c>
      <c r="CR10">
        <v>2</v>
      </c>
      <c r="CS10">
        <v>1</v>
      </c>
      <c r="CT10">
        <v>2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2</v>
      </c>
    </row>
    <row r="11" spans="1:104" x14ac:dyDescent="0.25">
      <c r="A11" s="1" t="s">
        <v>177</v>
      </c>
      <c r="B11">
        <v>1163</v>
      </c>
      <c r="C11">
        <v>689</v>
      </c>
      <c r="D11" s="2">
        <v>44058</v>
      </c>
      <c r="E11" s="3">
        <f t="shared" si="0"/>
        <v>2020</v>
      </c>
      <c r="F11" s="3">
        <f t="shared" si="1"/>
        <v>8</v>
      </c>
      <c r="G11" s="3">
        <f t="shared" si="2"/>
        <v>7</v>
      </c>
      <c r="H11" t="s">
        <v>178</v>
      </c>
      <c r="I11">
        <v>1338</v>
      </c>
      <c r="J11" t="s">
        <v>179</v>
      </c>
      <c r="K11" t="s">
        <v>180</v>
      </c>
      <c r="L11">
        <v>2020</v>
      </c>
      <c r="M11" t="s">
        <v>122</v>
      </c>
      <c r="N11" t="s">
        <v>181</v>
      </c>
      <c r="O11" t="s">
        <v>182</v>
      </c>
      <c r="P11">
        <v>5060</v>
      </c>
      <c r="Q11" t="s">
        <v>180</v>
      </c>
      <c r="S11" t="s">
        <v>183</v>
      </c>
      <c r="T11" t="s">
        <v>184</v>
      </c>
      <c r="U11">
        <v>6000</v>
      </c>
      <c r="V11" t="s">
        <v>180</v>
      </c>
      <c r="X11" t="s">
        <v>109</v>
      </c>
      <c r="Z11">
        <v>-2.5</v>
      </c>
      <c r="AA11">
        <v>-1.5</v>
      </c>
      <c r="AB11">
        <v>45</v>
      </c>
      <c r="AC11">
        <v>45</v>
      </c>
      <c r="AD11">
        <v>10</v>
      </c>
      <c r="AE11">
        <v>63</v>
      </c>
      <c r="AF11">
        <v>38</v>
      </c>
      <c r="AG11">
        <v>60</v>
      </c>
      <c r="AH11">
        <v>40</v>
      </c>
      <c r="AI11">
        <v>43</v>
      </c>
      <c r="AJ11">
        <v>57</v>
      </c>
      <c r="AK11">
        <v>73</v>
      </c>
      <c r="AL11">
        <v>27</v>
      </c>
      <c r="AM11">
        <v>100</v>
      </c>
      <c r="AN11">
        <v>0</v>
      </c>
      <c r="AO11">
        <v>80</v>
      </c>
      <c r="AP11">
        <v>20</v>
      </c>
      <c r="AQ11">
        <v>33</v>
      </c>
      <c r="AR11">
        <v>38</v>
      </c>
      <c r="AS11">
        <v>50</v>
      </c>
      <c r="AT11">
        <v>20</v>
      </c>
      <c r="AU11">
        <v>25</v>
      </c>
      <c r="AV11">
        <v>63</v>
      </c>
      <c r="AW11">
        <v>6</v>
      </c>
      <c r="AX11">
        <v>1.2</v>
      </c>
      <c r="AY11">
        <v>8</v>
      </c>
      <c r="AZ11">
        <v>1.6</v>
      </c>
      <c r="BA11">
        <v>4</v>
      </c>
      <c r="BB11">
        <v>5</v>
      </c>
      <c r="BC11">
        <v>2</v>
      </c>
      <c r="BD11">
        <v>1</v>
      </c>
      <c r="BE11">
        <v>2</v>
      </c>
      <c r="BF11">
        <v>1</v>
      </c>
      <c r="BG11">
        <v>0</v>
      </c>
      <c r="BH11">
        <v>3</v>
      </c>
      <c r="BI11">
        <v>7</v>
      </c>
      <c r="BJ11">
        <v>5</v>
      </c>
      <c r="BK11">
        <v>5</v>
      </c>
      <c r="BL11">
        <v>11</v>
      </c>
      <c r="BM11">
        <v>1.8</v>
      </c>
      <c r="BN11">
        <v>1</v>
      </c>
      <c r="BO11">
        <v>1.3</v>
      </c>
      <c r="BP11">
        <v>2.2000000000000002</v>
      </c>
      <c r="BQ11">
        <v>10</v>
      </c>
      <c r="BR11">
        <v>10</v>
      </c>
      <c r="BS11">
        <v>5</v>
      </c>
      <c r="BT11">
        <v>6</v>
      </c>
      <c r="BU11">
        <v>3</v>
      </c>
      <c r="BV11">
        <v>1</v>
      </c>
      <c r="BW11">
        <v>2</v>
      </c>
      <c r="BX11">
        <v>3</v>
      </c>
      <c r="BY11">
        <v>4</v>
      </c>
      <c r="BZ11">
        <v>0.8</v>
      </c>
      <c r="CA11">
        <v>6</v>
      </c>
      <c r="CB11">
        <v>1.2</v>
      </c>
      <c r="CC11">
        <v>4</v>
      </c>
      <c r="CD11">
        <v>4</v>
      </c>
      <c r="CE11">
        <v>1</v>
      </c>
      <c r="CF11">
        <v>0</v>
      </c>
      <c r="CG11">
        <v>2</v>
      </c>
      <c r="CH11">
        <v>2</v>
      </c>
      <c r="CI11">
        <v>1</v>
      </c>
      <c r="CJ11">
        <v>2</v>
      </c>
      <c r="CK11">
        <v>4</v>
      </c>
      <c r="CL11">
        <v>2</v>
      </c>
      <c r="CM11">
        <v>4</v>
      </c>
      <c r="CN11">
        <v>4</v>
      </c>
      <c r="CO11">
        <v>1</v>
      </c>
      <c r="CP11">
        <v>0.5</v>
      </c>
      <c r="CQ11">
        <v>1</v>
      </c>
      <c r="CR11">
        <v>1</v>
      </c>
      <c r="CS11">
        <v>10</v>
      </c>
      <c r="CT11">
        <v>10</v>
      </c>
      <c r="CU11">
        <v>3</v>
      </c>
      <c r="CV11">
        <v>2</v>
      </c>
      <c r="CW11">
        <v>1</v>
      </c>
      <c r="CX11">
        <v>3</v>
      </c>
      <c r="CY11">
        <v>6</v>
      </c>
      <c r="CZ11">
        <v>5</v>
      </c>
    </row>
    <row r="12" spans="1:104" x14ac:dyDescent="0.25">
      <c r="A12" s="1" t="s">
        <v>185</v>
      </c>
      <c r="B12">
        <v>10367</v>
      </c>
      <c r="C12">
        <v>10365</v>
      </c>
      <c r="D12" s="2">
        <v>43753</v>
      </c>
      <c r="E12" s="3">
        <f t="shared" si="0"/>
        <v>2019</v>
      </c>
      <c r="F12" s="3">
        <f t="shared" si="1"/>
        <v>10</v>
      </c>
      <c r="G12" s="3">
        <f t="shared" si="2"/>
        <v>3</v>
      </c>
      <c r="H12" t="s">
        <v>186</v>
      </c>
      <c r="I12">
        <v>1419</v>
      </c>
      <c r="J12" t="s">
        <v>187</v>
      </c>
      <c r="K12" t="s">
        <v>129</v>
      </c>
      <c r="L12">
        <v>2020</v>
      </c>
      <c r="M12" t="s">
        <v>188</v>
      </c>
      <c r="Q12" t="s">
        <v>189</v>
      </c>
      <c r="V12" t="s">
        <v>190</v>
      </c>
      <c r="X12" t="s">
        <v>125</v>
      </c>
      <c r="Y12">
        <v>1.5</v>
      </c>
      <c r="Z12">
        <v>-1.5</v>
      </c>
      <c r="AA12">
        <v>-1.5</v>
      </c>
      <c r="AB12">
        <v>10</v>
      </c>
      <c r="AC12">
        <v>45</v>
      </c>
      <c r="AD12">
        <v>45</v>
      </c>
      <c r="AE12">
        <v>0</v>
      </c>
      <c r="AF12">
        <v>0</v>
      </c>
      <c r="AG12">
        <v>33</v>
      </c>
      <c r="AH12">
        <v>67</v>
      </c>
      <c r="AI12">
        <v>50</v>
      </c>
      <c r="AJ12">
        <v>50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7</v>
      </c>
      <c r="AS12">
        <v>60</v>
      </c>
      <c r="AT12">
        <v>0</v>
      </c>
      <c r="AU12">
        <v>13</v>
      </c>
      <c r="AV12">
        <v>60</v>
      </c>
      <c r="AW12">
        <v>1</v>
      </c>
      <c r="AX12">
        <v>0.5</v>
      </c>
      <c r="AY12">
        <v>6</v>
      </c>
      <c r="AZ12">
        <v>3</v>
      </c>
      <c r="BA12">
        <v>0</v>
      </c>
      <c r="BB12">
        <v>2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2</v>
      </c>
      <c r="BI12">
        <v>0</v>
      </c>
      <c r="BJ12">
        <v>1</v>
      </c>
      <c r="BK12">
        <v>0</v>
      </c>
      <c r="BL12">
        <v>6</v>
      </c>
      <c r="BM12">
        <v>0</v>
      </c>
      <c r="BN12">
        <v>0.5</v>
      </c>
      <c r="BO12">
        <v>0</v>
      </c>
      <c r="BP12">
        <v>3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2</v>
      </c>
      <c r="BZ12">
        <v>1</v>
      </c>
      <c r="CA12">
        <v>6</v>
      </c>
      <c r="CB12">
        <v>3</v>
      </c>
      <c r="CC12">
        <v>1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1</v>
      </c>
      <c r="CK12">
        <v>2</v>
      </c>
      <c r="CL12">
        <v>0</v>
      </c>
      <c r="CM12">
        <v>4</v>
      </c>
      <c r="CN12">
        <v>2</v>
      </c>
      <c r="CO12">
        <v>2</v>
      </c>
      <c r="CP12">
        <v>0</v>
      </c>
      <c r="CQ12">
        <v>4</v>
      </c>
      <c r="CR12">
        <v>2</v>
      </c>
      <c r="CS12">
        <v>0</v>
      </c>
      <c r="CT12">
        <v>1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</row>
    <row r="13" spans="1:104" x14ac:dyDescent="0.25">
      <c r="A13" s="1" t="s">
        <v>191</v>
      </c>
      <c r="B13">
        <v>7602</v>
      </c>
      <c r="C13">
        <v>4498</v>
      </c>
      <c r="D13" s="2">
        <v>43745</v>
      </c>
      <c r="E13" s="3">
        <f t="shared" si="0"/>
        <v>2019</v>
      </c>
      <c r="F13" s="3">
        <f t="shared" si="1"/>
        <v>10</v>
      </c>
      <c r="G13" s="3">
        <f t="shared" si="2"/>
        <v>2</v>
      </c>
      <c r="H13" t="s">
        <v>192</v>
      </c>
      <c r="I13">
        <v>913</v>
      </c>
      <c r="J13" t="s">
        <v>193</v>
      </c>
      <c r="K13" t="s">
        <v>194</v>
      </c>
      <c r="L13">
        <v>2019</v>
      </c>
      <c r="M13" t="s">
        <v>195</v>
      </c>
      <c r="Q13" t="s">
        <v>194</v>
      </c>
      <c r="S13" t="s">
        <v>196</v>
      </c>
      <c r="T13" t="s">
        <v>197</v>
      </c>
      <c r="U13">
        <v>2500</v>
      </c>
      <c r="V13" t="s">
        <v>194</v>
      </c>
      <c r="X13">
        <v>2</v>
      </c>
      <c r="Y13">
        <v>-3.5</v>
      </c>
      <c r="AA13">
        <v>-2.5</v>
      </c>
      <c r="AB13">
        <v>0</v>
      </c>
      <c r="AC13">
        <v>50</v>
      </c>
      <c r="AD13">
        <v>50</v>
      </c>
      <c r="AE13">
        <v>0</v>
      </c>
      <c r="AF13">
        <v>100</v>
      </c>
      <c r="AG13">
        <v>0</v>
      </c>
      <c r="AH13">
        <v>100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100</v>
      </c>
      <c r="AU13">
        <v>13</v>
      </c>
      <c r="AV13">
        <v>100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2</v>
      </c>
      <c r="BZ13">
        <v>2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2</v>
      </c>
      <c r="CM13">
        <v>0</v>
      </c>
      <c r="CN13">
        <v>0</v>
      </c>
      <c r="CO13">
        <v>0</v>
      </c>
      <c r="CP13">
        <v>2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</row>
    <row r="14" spans="1:104" x14ac:dyDescent="0.25">
      <c r="A14" s="1" t="s">
        <v>198</v>
      </c>
      <c r="B14">
        <v>3067</v>
      </c>
      <c r="C14">
        <v>9958</v>
      </c>
      <c r="D14" s="2">
        <v>43757</v>
      </c>
      <c r="E14" s="3">
        <f t="shared" si="0"/>
        <v>2019</v>
      </c>
      <c r="F14" s="3">
        <f t="shared" si="1"/>
        <v>10</v>
      </c>
      <c r="G14" s="3">
        <f t="shared" si="2"/>
        <v>7</v>
      </c>
      <c r="H14" t="s">
        <v>199</v>
      </c>
      <c r="I14">
        <v>1304</v>
      </c>
      <c r="J14" t="s">
        <v>200</v>
      </c>
      <c r="K14" t="s">
        <v>158</v>
      </c>
      <c r="L14">
        <v>2019</v>
      </c>
      <c r="M14" t="s">
        <v>201</v>
      </c>
      <c r="N14" t="s">
        <v>199</v>
      </c>
      <c r="O14" t="s">
        <v>202</v>
      </c>
      <c r="P14">
        <v>1000</v>
      </c>
      <c r="Q14" t="s">
        <v>158</v>
      </c>
      <c r="R14">
        <v>2000</v>
      </c>
      <c r="S14" t="s">
        <v>203</v>
      </c>
      <c r="T14" t="s">
        <v>204</v>
      </c>
      <c r="U14">
        <v>3800</v>
      </c>
      <c r="V14" t="s">
        <v>158</v>
      </c>
      <c r="W14">
        <v>1950</v>
      </c>
      <c r="X14" t="s">
        <v>109</v>
      </c>
      <c r="Z14">
        <v>-1.5</v>
      </c>
      <c r="AA14">
        <v>-1.5</v>
      </c>
      <c r="AB14">
        <v>45</v>
      </c>
      <c r="AC14">
        <v>45</v>
      </c>
      <c r="AD14">
        <v>10</v>
      </c>
      <c r="AE14">
        <v>62</v>
      </c>
      <c r="AF14">
        <v>38</v>
      </c>
      <c r="AG14">
        <v>45</v>
      </c>
      <c r="AH14">
        <v>55</v>
      </c>
      <c r="AI14">
        <v>69</v>
      </c>
      <c r="AJ14">
        <v>31</v>
      </c>
      <c r="AK14">
        <v>56</v>
      </c>
      <c r="AL14">
        <v>44</v>
      </c>
      <c r="AM14">
        <v>0</v>
      </c>
      <c r="AN14">
        <v>0</v>
      </c>
      <c r="AO14">
        <v>0</v>
      </c>
      <c r="AP14">
        <v>0</v>
      </c>
      <c r="AQ14">
        <v>53</v>
      </c>
      <c r="AR14">
        <v>42</v>
      </c>
      <c r="AS14">
        <v>58</v>
      </c>
      <c r="AT14">
        <v>33</v>
      </c>
      <c r="AU14">
        <v>50</v>
      </c>
      <c r="AV14">
        <v>8</v>
      </c>
      <c r="AW14">
        <v>5</v>
      </c>
      <c r="AX14">
        <v>1</v>
      </c>
      <c r="AY14">
        <v>5</v>
      </c>
      <c r="AZ14">
        <v>1</v>
      </c>
      <c r="BA14">
        <v>3</v>
      </c>
      <c r="BB14">
        <v>3</v>
      </c>
      <c r="BC14">
        <v>0</v>
      </c>
      <c r="BD14">
        <v>2</v>
      </c>
      <c r="BE14">
        <v>3</v>
      </c>
      <c r="BF14">
        <v>0</v>
      </c>
      <c r="BG14">
        <v>0</v>
      </c>
      <c r="BH14">
        <v>1</v>
      </c>
      <c r="BI14">
        <v>2</v>
      </c>
      <c r="BJ14">
        <v>4</v>
      </c>
      <c r="BK14">
        <v>2</v>
      </c>
      <c r="BL14">
        <v>4</v>
      </c>
      <c r="BM14">
        <v>0.7</v>
      </c>
      <c r="BN14">
        <v>1.3</v>
      </c>
      <c r="BO14">
        <v>0.7</v>
      </c>
      <c r="BP14">
        <v>1.3</v>
      </c>
      <c r="BQ14">
        <v>1</v>
      </c>
      <c r="BR14">
        <v>2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2</v>
      </c>
      <c r="BY14">
        <v>6</v>
      </c>
      <c r="BZ14">
        <v>1.2</v>
      </c>
      <c r="CA14">
        <v>11</v>
      </c>
      <c r="CB14">
        <v>2.2000000000000002</v>
      </c>
      <c r="CC14">
        <v>3</v>
      </c>
      <c r="CD14">
        <v>3</v>
      </c>
      <c r="CE14">
        <v>0</v>
      </c>
      <c r="CF14">
        <v>1</v>
      </c>
      <c r="CG14">
        <v>1</v>
      </c>
      <c r="CH14">
        <v>1</v>
      </c>
      <c r="CI14">
        <v>2</v>
      </c>
      <c r="CJ14">
        <v>1</v>
      </c>
      <c r="CK14">
        <v>1</v>
      </c>
      <c r="CL14">
        <v>5</v>
      </c>
      <c r="CM14">
        <v>8</v>
      </c>
      <c r="CN14">
        <v>6</v>
      </c>
      <c r="CO14">
        <v>0.3</v>
      </c>
      <c r="CP14">
        <v>1.7</v>
      </c>
      <c r="CQ14">
        <v>2.7</v>
      </c>
      <c r="CR14">
        <v>2</v>
      </c>
      <c r="CS14">
        <v>2</v>
      </c>
      <c r="CT14">
        <v>1</v>
      </c>
      <c r="CU14">
        <v>2</v>
      </c>
      <c r="CV14">
        <v>1</v>
      </c>
      <c r="CW14">
        <v>0</v>
      </c>
      <c r="CX14">
        <v>0</v>
      </c>
      <c r="CY14">
        <v>0</v>
      </c>
      <c r="CZ14">
        <v>0</v>
      </c>
    </row>
    <row r="15" spans="1:104" x14ac:dyDescent="0.25">
      <c r="A15" s="1" t="s">
        <v>205</v>
      </c>
      <c r="B15">
        <v>9142</v>
      </c>
      <c r="C15">
        <v>9140</v>
      </c>
      <c r="D15" s="2">
        <v>43792</v>
      </c>
      <c r="E15" s="3">
        <f t="shared" si="0"/>
        <v>2019</v>
      </c>
      <c r="F15" s="3">
        <f t="shared" si="1"/>
        <v>11</v>
      </c>
      <c r="G15" s="3">
        <f t="shared" si="2"/>
        <v>7</v>
      </c>
      <c r="H15" t="s">
        <v>206</v>
      </c>
      <c r="I15">
        <v>1192</v>
      </c>
      <c r="J15" t="s">
        <v>207</v>
      </c>
      <c r="K15" t="s">
        <v>208</v>
      </c>
      <c r="L15">
        <v>2019</v>
      </c>
      <c r="M15" t="s">
        <v>209</v>
      </c>
      <c r="N15" t="s">
        <v>210</v>
      </c>
      <c r="O15" t="s">
        <v>211</v>
      </c>
      <c r="P15">
        <v>3000</v>
      </c>
      <c r="Q15" t="s">
        <v>208</v>
      </c>
      <c r="S15" t="s">
        <v>212</v>
      </c>
      <c r="T15" t="s">
        <v>213</v>
      </c>
      <c r="U15">
        <v>700</v>
      </c>
      <c r="V15" t="s">
        <v>208</v>
      </c>
      <c r="X15" t="s">
        <v>125</v>
      </c>
      <c r="Z15">
        <v>-2.5</v>
      </c>
      <c r="AA15">
        <v>-1.5</v>
      </c>
      <c r="AB15">
        <v>10</v>
      </c>
      <c r="AC15">
        <v>45</v>
      </c>
      <c r="AD15">
        <v>45</v>
      </c>
      <c r="AE15">
        <v>50</v>
      </c>
      <c r="AF15">
        <v>50</v>
      </c>
      <c r="AG15">
        <v>67</v>
      </c>
      <c r="AH15">
        <v>33</v>
      </c>
      <c r="AI15">
        <v>0</v>
      </c>
      <c r="AJ15">
        <v>100</v>
      </c>
      <c r="AK15">
        <v>0</v>
      </c>
      <c r="AL15">
        <v>0</v>
      </c>
      <c r="AM15">
        <v>40</v>
      </c>
      <c r="AN15">
        <v>60</v>
      </c>
      <c r="AO15">
        <v>44</v>
      </c>
      <c r="AP15">
        <v>56</v>
      </c>
      <c r="AQ15">
        <v>67</v>
      </c>
      <c r="AR15">
        <v>29</v>
      </c>
      <c r="AS15">
        <v>79</v>
      </c>
      <c r="AT15">
        <v>67</v>
      </c>
      <c r="AU15">
        <v>14</v>
      </c>
      <c r="AV15">
        <v>100</v>
      </c>
      <c r="AW15">
        <v>4</v>
      </c>
      <c r="AX15">
        <v>2</v>
      </c>
      <c r="AY15">
        <v>3</v>
      </c>
      <c r="AZ15">
        <v>1.5</v>
      </c>
      <c r="BA15">
        <v>1</v>
      </c>
      <c r="BB15">
        <v>1</v>
      </c>
      <c r="BC15">
        <v>0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3</v>
      </c>
      <c r="BK15">
        <v>1</v>
      </c>
      <c r="BL15">
        <v>2</v>
      </c>
      <c r="BM15">
        <v>1</v>
      </c>
      <c r="BN15">
        <v>3</v>
      </c>
      <c r="BO15">
        <v>1</v>
      </c>
      <c r="BP15">
        <v>2</v>
      </c>
      <c r="BQ15">
        <v>5</v>
      </c>
      <c r="BR15">
        <v>5</v>
      </c>
      <c r="BS15">
        <v>2</v>
      </c>
      <c r="BT15">
        <v>0</v>
      </c>
      <c r="BU15">
        <v>0</v>
      </c>
      <c r="BV15">
        <v>0</v>
      </c>
      <c r="BW15">
        <v>3</v>
      </c>
      <c r="BX15">
        <v>5</v>
      </c>
      <c r="BY15">
        <v>2</v>
      </c>
      <c r="BZ15">
        <v>1</v>
      </c>
      <c r="CA15">
        <v>0</v>
      </c>
      <c r="CB15">
        <v>0</v>
      </c>
      <c r="CC15">
        <v>1</v>
      </c>
      <c r="CD15">
        <v>1</v>
      </c>
      <c r="CE15">
        <v>1</v>
      </c>
      <c r="CF15">
        <v>0</v>
      </c>
      <c r="CG15">
        <v>0</v>
      </c>
      <c r="CH15">
        <v>1</v>
      </c>
      <c r="CI15">
        <v>0</v>
      </c>
      <c r="CJ15">
        <v>0</v>
      </c>
      <c r="CK15">
        <v>2</v>
      </c>
      <c r="CL15">
        <v>0</v>
      </c>
      <c r="CM15">
        <v>0</v>
      </c>
      <c r="CN15">
        <v>0</v>
      </c>
      <c r="CO15">
        <v>2</v>
      </c>
      <c r="CP15">
        <v>0</v>
      </c>
      <c r="CQ15">
        <v>0</v>
      </c>
      <c r="CR15">
        <v>0</v>
      </c>
      <c r="CS15">
        <v>5</v>
      </c>
      <c r="CT15">
        <v>5</v>
      </c>
      <c r="CU15">
        <v>5</v>
      </c>
      <c r="CV15">
        <v>3</v>
      </c>
      <c r="CW15">
        <v>0</v>
      </c>
      <c r="CX15">
        <v>0</v>
      </c>
      <c r="CY15">
        <v>0</v>
      </c>
      <c r="CZ15">
        <v>2</v>
      </c>
    </row>
    <row r="16" spans="1:104" x14ac:dyDescent="0.25">
      <c r="A16" s="1" t="s">
        <v>214</v>
      </c>
      <c r="B16">
        <v>386</v>
      </c>
      <c r="C16">
        <v>390</v>
      </c>
      <c r="D16" s="2">
        <v>44002</v>
      </c>
      <c r="E16" s="3">
        <f t="shared" si="0"/>
        <v>2020</v>
      </c>
      <c r="F16" s="3">
        <f t="shared" si="1"/>
        <v>6</v>
      </c>
      <c r="G16" s="3">
        <f t="shared" si="2"/>
        <v>7</v>
      </c>
      <c r="H16" t="s">
        <v>215</v>
      </c>
      <c r="I16">
        <v>1383</v>
      </c>
      <c r="J16" t="s">
        <v>216</v>
      </c>
      <c r="K16" t="s">
        <v>217</v>
      </c>
      <c r="L16">
        <v>2020</v>
      </c>
      <c r="M16" t="s">
        <v>218</v>
      </c>
      <c r="N16" t="s">
        <v>215</v>
      </c>
      <c r="O16" t="s">
        <v>204</v>
      </c>
      <c r="P16">
        <v>10169</v>
      </c>
      <c r="Q16" t="s">
        <v>217</v>
      </c>
      <c r="R16">
        <v>1960</v>
      </c>
      <c r="S16" t="s">
        <v>219</v>
      </c>
      <c r="T16" t="s">
        <v>220</v>
      </c>
      <c r="U16">
        <v>1625</v>
      </c>
      <c r="V16" t="s">
        <v>217</v>
      </c>
      <c r="X16" t="s">
        <v>109</v>
      </c>
      <c r="Z16">
        <v>-3.5</v>
      </c>
      <c r="AA16">
        <v>-2.5</v>
      </c>
      <c r="AB16">
        <v>50</v>
      </c>
      <c r="AC16">
        <v>50</v>
      </c>
      <c r="AD16">
        <v>0</v>
      </c>
      <c r="AE16">
        <v>69</v>
      </c>
      <c r="AF16">
        <v>31</v>
      </c>
      <c r="AG16">
        <v>70</v>
      </c>
      <c r="AH16">
        <v>30</v>
      </c>
      <c r="AI16">
        <v>59</v>
      </c>
      <c r="AJ16">
        <v>41</v>
      </c>
      <c r="AK16">
        <v>0</v>
      </c>
      <c r="AL16">
        <v>0</v>
      </c>
      <c r="AM16">
        <v>71</v>
      </c>
      <c r="AN16">
        <v>29</v>
      </c>
      <c r="AO16">
        <v>72</v>
      </c>
      <c r="AP16">
        <v>28</v>
      </c>
      <c r="AQ16">
        <v>60</v>
      </c>
      <c r="AR16">
        <v>100</v>
      </c>
      <c r="AS16">
        <v>46</v>
      </c>
      <c r="AT16">
        <v>27</v>
      </c>
      <c r="AU16">
        <v>46</v>
      </c>
      <c r="AV16">
        <v>23</v>
      </c>
      <c r="AW16">
        <v>14</v>
      </c>
      <c r="AX16">
        <v>2.8</v>
      </c>
      <c r="AY16">
        <v>7</v>
      </c>
      <c r="AZ16">
        <v>1.4</v>
      </c>
      <c r="BA16">
        <v>7</v>
      </c>
      <c r="BB16">
        <v>6</v>
      </c>
      <c r="BC16">
        <v>3</v>
      </c>
      <c r="BD16">
        <v>4</v>
      </c>
      <c r="BE16">
        <v>1</v>
      </c>
      <c r="BF16">
        <v>0</v>
      </c>
      <c r="BG16">
        <v>3</v>
      </c>
      <c r="BH16">
        <v>2</v>
      </c>
      <c r="BI16">
        <v>14</v>
      </c>
      <c r="BJ16">
        <v>11</v>
      </c>
      <c r="BK16">
        <v>11</v>
      </c>
      <c r="BL16">
        <v>4</v>
      </c>
      <c r="BM16">
        <v>2</v>
      </c>
      <c r="BN16">
        <v>1.8</v>
      </c>
      <c r="BO16">
        <v>1.6</v>
      </c>
      <c r="BP16">
        <v>0.7</v>
      </c>
      <c r="BQ16">
        <v>5</v>
      </c>
      <c r="BR16">
        <v>4</v>
      </c>
      <c r="BS16">
        <v>3</v>
      </c>
      <c r="BT16">
        <v>1</v>
      </c>
      <c r="BU16">
        <v>2</v>
      </c>
      <c r="BV16">
        <v>2</v>
      </c>
      <c r="BW16">
        <v>0</v>
      </c>
      <c r="BX16">
        <v>1</v>
      </c>
      <c r="BY16">
        <v>6</v>
      </c>
      <c r="BZ16">
        <v>1.2</v>
      </c>
      <c r="CA16">
        <v>10</v>
      </c>
      <c r="CB16">
        <v>2</v>
      </c>
      <c r="CC16">
        <v>6</v>
      </c>
      <c r="CD16">
        <v>7</v>
      </c>
      <c r="CE16">
        <v>2</v>
      </c>
      <c r="CF16">
        <v>2</v>
      </c>
      <c r="CG16">
        <v>1</v>
      </c>
      <c r="CH16">
        <v>2</v>
      </c>
      <c r="CI16">
        <v>3</v>
      </c>
      <c r="CJ16">
        <v>3</v>
      </c>
      <c r="CK16">
        <v>5</v>
      </c>
      <c r="CL16">
        <v>6</v>
      </c>
      <c r="CM16">
        <v>7</v>
      </c>
      <c r="CN16">
        <v>10</v>
      </c>
      <c r="CO16">
        <v>0.8</v>
      </c>
      <c r="CP16">
        <v>0.9</v>
      </c>
      <c r="CQ16">
        <v>1.2</v>
      </c>
      <c r="CR16">
        <v>1.4</v>
      </c>
      <c r="CS16">
        <v>4</v>
      </c>
      <c r="CT16">
        <v>5</v>
      </c>
      <c r="CU16">
        <v>1</v>
      </c>
      <c r="CV16">
        <v>0</v>
      </c>
      <c r="CW16">
        <v>2</v>
      </c>
      <c r="CX16">
        <v>2</v>
      </c>
      <c r="CY16">
        <v>1</v>
      </c>
      <c r="CZ16">
        <v>3</v>
      </c>
    </row>
    <row r="17" spans="1:104" x14ac:dyDescent="0.25">
      <c r="A17" s="1" t="s">
        <v>221</v>
      </c>
      <c r="B17">
        <v>2122</v>
      </c>
      <c r="C17">
        <v>4173</v>
      </c>
      <c r="D17" s="2">
        <v>43729</v>
      </c>
      <c r="E17" s="3">
        <f t="shared" si="0"/>
        <v>2019</v>
      </c>
      <c r="F17" s="3">
        <f t="shared" si="1"/>
        <v>9</v>
      </c>
      <c r="G17" s="3">
        <f t="shared" si="2"/>
        <v>7</v>
      </c>
      <c r="H17" t="s">
        <v>222</v>
      </c>
      <c r="I17">
        <v>547</v>
      </c>
      <c r="J17" t="s">
        <v>223</v>
      </c>
      <c r="K17" t="s">
        <v>224</v>
      </c>
      <c r="L17">
        <v>2019</v>
      </c>
      <c r="M17" t="s">
        <v>105</v>
      </c>
      <c r="N17" t="s">
        <v>225</v>
      </c>
      <c r="O17" t="s">
        <v>226</v>
      </c>
      <c r="P17">
        <v>800</v>
      </c>
      <c r="Q17" t="s">
        <v>224</v>
      </c>
      <c r="R17">
        <v>1907</v>
      </c>
      <c r="S17" t="s">
        <v>227</v>
      </c>
      <c r="T17" t="s">
        <v>228</v>
      </c>
      <c r="U17">
        <v>2300</v>
      </c>
      <c r="V17" t="s">
        <v>224</v>
      </c>
      <c r="X17" t="s">
        <v>109</v>
      </c>
      <c r="Z17">
        <v>-2.5</v>
      </c>
      <c r="AA17">
        <v>-1.5</v>
      </c>
      <c r="AB17">
        <v>45</v>
      </c>
      <c r="AC17">
        <v>45</v>
      </c>
      <c r="AD17">
        <v>10</v>
      </c>
      <c r="AE17">
        <v>57</v>
      </c>
      <c r="AF17">
        <v>43</v>
      </c>
      <c r="AG17">
        <v>45</v>
      </c>
      <c r="AH17">
        <v>55</v>
      </c>
      <c r="AI17">
        <v>62</v>
      </c>
      <c r="AJ17">
        <v>38</v>
      </c>
      <c r="AK17">
        <v>86</v>
      </c>
      <c r="AL17">
        <v>14</v>
      </c>
      <c r="AM17">
        <v>100</v>
      </c>
      <c r="AN17">
        <v>0</v>
      </c>
      <c r="AO17">
        <v>60</v>
      </c>
      <c r="AP17">
        <v>40</v>
      </c>
      <c r="AQ17">
        <v>27</v>
      </c>
      <c r="AR17">
        <v>33</v>
      </c>
      <c r="AS17">
        <v>47</v>
      </c>
      <c r="AT17">
        <v>20</v>
      </c>
      <c r="AU17">
        <v>40</v>
      </c>
      <c r="AV17">
        <v>13</v>
      </c>
      <c r="AW17">
        <v>5</v>
      </c>
      <c r="AX17">
        <v>1</v>
      </c>
      <c r="AY17">
        <v>8</v>
      </c>
      <c r="AZ17">
        <v>1.6</v>
      </c>
      <c r="BA17">
        <v>10</v>
      </c>
      <c r="BB17">
        <v>11</v>
      </c>
      <c r="BC17">
        <v>3</v>
      </c>
      <c r="BD17">
        <v>4</v>
      </c>
      <c r="BE17">
        <v>5</v>
      </c>
      <c r="BF17">
        <v>2</v>
      </c>
      <c r="BG17">
        <v>2</v>
      </c>
      <c r="BH17">
        <v>5</v>
      </c>
      <c r="BI17">
        <v>13</v>
      </c>
      <c r="BJ17">
        <v>17</v>
      </c>
      <c r="BK17">
        <v>13</v>
      </c>
      <c r="BL17">
        <v>18</v>
      </c>
      <c r="BM17">
        <v>1.3</v>
      </c>
      <c r="BN17">
        <v>1.5</v>
      </c>
      <c r="BO17">
        <v>1.3</v>
      </c>
      <c r="BP17">
        <v>1.6</v>
      </c>
      <c r="BQ17">
        <v>1</v>
      </c>
      <c r="BR17">
        <v>1</v>
      </c>
      <c r="BS17">
        <v>0</v>
      </c>
      <c r="BT17">
        <v>1</v>
      </c>
      <c r="BU17">
        <v>1</v>
      </c>
      <c r="BV17">
        <v>0</v>
      </c>
      <c r="BW17">
        <v>0</v>
      </c>
      <c r="BX17">
        <v>0</v>
      </c>
      <c r="BY17">
        <v>6</v>
      </c>
      <c r="BZ17">
        <v>1.2</v>
      </c>
      <c r="CA17">
        <v>13</v>
      </c>
      <c r="CB17">
        <v>2.6</v>
      </c>
      <c r="CC17">
        <v>11</v>
      </c>
      <c r="CD17">
        <v>10</v>
      </c>
      <c r="CE17">
        <v>6</v>
      </c>
      <c r="CF17">
        <v>0</v>
      </c>
      <c r="CG17">
        <v>0</v>
      </c>
      <c r="CH17">
        <v>0</v>
      </c>
      <c r="CI17">
        <v>5</v>
      </c>
      <c r="CJ17">
        <v>10</v>
      </c>
      <c r="CK17">
        <v>28</v>
      </c>
      <c r="CL17">
        <v>3</v>
      </c>
      <c r="CM17">
        <v>20</v>
      </c>
      <c r="CN17">
        <v>32</v>
      </c>
      <c r="CO17">
        <v>2.5</v>
      </c>
      <c r="CP17">
        <v>0.3</v>
      </c>
      <c r="CQ17">
        <v>1.8</v>
      </c>
      <c r="CR17">
        <v>3.2</v>
      </c>
      <c r="CS17">
        <v>1</v>
      </c>
      <c r="CT17">
        <v>1</v>
      </c>
      <c r="CU17">
        <v>0</v>
      </c>
      <c r="CV17">
        <v>0</v>
      </c>
      <c r="CW17">
        <v>0</v>
      </c>
      <c r="CX17">
        <v>1</v>
      </c>
      <c r="CY17">
        <v>1</v>
      </c>
      <c r="CZ17">
        <v>0</v>
      </c>
    </row>
    <row r="18" spans="1:104" x14ac:dyDescent="0.25">
      <c r="A18" s="1" t="s">
        <v>229</v>
      </c>
      <c r="B18">
        <v>5459</v>
      </c>
      <c r="C18">
        <v>5457</v>
      </c>
      <c r="D18" s="2">
        <v>43903</v>
      </c>
      <c r="E18" s="3">
        <f t="shared" si="0"/>
        <v>2020</v>
      </c>
      <c r="F18" s="3">
        <f t="shared" si="1"/>
        <v>3</v>
      </c>
      <c r="G18" s="3">
        <f t="shared" si="2"/>
        <v>6</v>
      </c>
      <c r="H18" t="s">
        <v>230</v>
      </c>
      <c r="I18">
        <v>986</v>
      </c>
      <c r="J18" t="s">
        <v>231</v>
      </c>
      <c r="K18" t="s">
        <v>232</v>
      </c>
      <c r="L18">
        <v>2019</v>
      </c>
      <c r="M18" t="s">
        <v>233</v>
      </c>
      <c r="N18" t="s">
        <v>234</v>
      </c>
      <c r="O18" t="s">
        <v>235</v>
      </c>
      <c r="P18">
        <v>16872</v>
      </c>
      <c r="Q18" t="s">
        <v>232</v>
      </c>
      <c r="S18" t="s">
        <v>236</v>
      </c>
      <c r="T18" t="s">
        <v>237</v>
      </c>
      <c r="U18">
        <v>7000</v>
      </c>
      <c r="V18" t="s">
        <v>232</v>
      </c>
      <c r="X18" t="s">
        <v>125</v>
      </c>
      <c r="Y18">
        <v>-3.5</v>
      </c>
      <c r="Z18">
        <v>-1.5</v>
      </c>
      <c r="AA18">
        <v>-1.5</v>
      </c>
      <c r="AB18">
        <v>10</v>
      </c>
      <c r="AC18">
        <v>45</v>
      </c>
      <c r="AD18">
        <v>45</v>
      </c>
      <c r="AE18">
        <v>27</v>
      </c>
      <c r="AF18">
        <v>73</v>
      </c>
      <c r="AG18">
        <v>25</v>
      </c>
      <c r="AH18">
        <v>75</v>
      </c>
      <c r="AI18">
        <v>17</v>
      </c>
      <c r="AJ18">
        <v>83</v>
      </c>
      <c r="AK18">
        <v>69</v>
      </c>
      <c r="AL18">
        <v>31</v>
      </c>
      <c r="AM18">
        <v>29</v>
      </c>
      <c r="AN18">
        <v>71</v>
      </c>
      <c r="AO18">
        <v>0</v>
      </c>
      <c r="AP18">
        <v>100</v>
      </c>
      <c r="AQ18">
        <v>27</v>
      </c>
      <c r="AR18">
        <v>17</v>
      </c>
      <c r="AS18">
        <v>58</v>
      </c>
      <c r="AT18">
        <v>73</v>
      </c>
      <c r="AU18">
        <v>50</v>
      </c>
      <c r="AV18">
        <v>92</v>
      </c>
      <c r="AW18">
        <v>2</v>
      </c>
      <c r="AX18">
        <v>0.4</v>
      </c>
      <c r="AY18">
        <v>5</v>
      </c>
      <c r="AZ18">
        <v>1</v>
      </c>
      <c r="BA18">
        <v>9</v>
      </c>
      <c r="BB18">
        <v>9</v>
      </c>
      <c r="BC18">
        <v>5</v>
      </c>
      <c r="BD18">
        <v>1</v>
      </c>
      <c r="BE18">
        <v>4</v>
      </c>
      <c r="BF18">
        <v>4</v>
      </c>
      <c r="BG18">
        <v>0</v>
      </c>
      <c r="BH18">
        <v>4</v>
      </c>
      <c r="BI18">
        <v>12</v>
      </c>
      <c r="BJ18">
        <v>5</v>
      </c>
      <c r="BK18">
        <v>2</v>
      </c>
      <c r="BL18">
        <v>10</v>
      </c>
      <c r="BM18">
        <v>1.3</v>
      </c>
      <c r="BN18">
        <v>0.6</v>
      </c>
      <c r="BO18">
        <v>0.2</v>
      </c>
      <c r="BP18">
        <v>1.1000000000000001</v>
      </c>
      <c r="BQ18">
        <v>2</v>
      </c>
      <c r="BR18">
        <v>2</v>
      </c>
      <c r="BS18">
        <v>1</v>
      </c>
      <c r="BT18">
        <v>0</v>
      </c>
      <c r="BU18">
        <v>1</v>
      </c>
      <c r="BV18">
        <v>1</v>
      </c>
      <c r="BW18">
        <v>0</v>
      </c>
      <c r="BX18">
        <v>1</v>
      </c>
      <c r="BY18">
        <v>6</v>
      </c>
      <c r="BZ18">
        <v>1.2</v>
      </c>
      <c r="CA18">
        <v>1</v>
      </c>
      <c r="CB18">
        <v>0.2</v>
      </c>
      <c r="CC18">
        <v>9</v>
      </c>
      <c r="CD18">
        <v>9</v>
      </c>
      <c r="CE18">
        <v>5</v>
      </c>
      <c r="CF18">
        <v>2</v>
      </c>
      <c r="CG18">
        <v>3</v>
      </c>
      <c r="CH18">
        <v>6</v>
      </c>
      <c r="CI18">
        <v>1</v>
      </c>
      <c r="CJ18">
        <v>1</v>
      </c>
      <c r="CK18">
        <v>11</v>
      </c>
      <c r="CL18">
        <v>6</v>
      </c>
      <c r="CM18">
        <v>4</v>
      </c>
      <c r="CN18">
        <v>3</v>
      </c>
      <c r="CO18">
        <v>1.2</v>
      </c>
      <c r="CP18">
        <v>0.7</v>
      </c>
      <c r="CQ18">
        <v>0.4</v>
      </c>
      <c r="CR18">
        <v>0.3</v>
      </c>
      <c r="CS18">
        <v>2</v>
      </c>
      <c r="CT18">
        <v>2</v>
      </c>
      <c r="CU18">
        <v>1</v>
      </c>
      <c r="CV18">
        <v>0</v>
      </c>
      <c r="CW18">
        <v>1</v>
      </c>
      <c r="CX18">
        <v>1</v>
      </c>
      <c r="CY18">
        <v>0</v>
      </c>
      <c r="CZ18">
        <v>1</v>
      </c>
    </row>
    <row r="19" spans="1:104" x14ac:dyDescent="0.25">
      <c r="A19" s="1" t="s">
        <v>238</v>
      </c>
      <c r="B19">
        <v>54</v>
      </c>
      <c r="C19">
        <v>37</v>
      </c>
      <c r="D19" s="2">
        <v>44013</v>
      </c>
      <c r="E19" s="3">
        <f t="shared" si="0"/>
        <v>2020</v>
      </c>
      <c r="F19" s="3">
        <f t="shared" si="1"/>
        <v>7</v>
      </c>
      <c r="G19" s="3">
        <f t="shared" si="2"/>
        <v>4</v>
      </c>
      <c r="H19" t="s">
        <v>239</v>
      </c>
      <c r="I19">
        <v>565</v>
      </c>
      <c r="J19" t="s">
        <v>240</v>
      </c>
      <c r="K19" t="s">
        <v>241</v>
      </c>
      <c r="L19">
        <v>2019</v>
      </c>
      <c r="M19" t="s">
        <v>242</v>
      </c>
      <c r="N19" t="s">
        <v>239</v>
      </c>
      <c r="O19" t="s">
        <v>243</v>
      </c>
      <c r="P19">
        <v>30009</v>
      </c>
      <c r="Q19" t="s">
        <v>241</v>
      </c>
      <c r="R19">
        <v>1875</v>
      </c>
      <c r="S19" t="s">
        <v>244</v>
      </c>
      <c r="T19" t="s">
        <v>245</v>
      </c>
      <c r="U19">
        <v>24554</v>
      </c>
      <c r="V19" t="s">
        <v>241</v>
      </c>
      <c r="W19">
        <v>1908</v>
      </c>
      <c r="X19" t="s">
        <v>125</v>
      </c>
      <c r="Z19">
        <v>-2.5</v>
      </c>
      <c r="AA19">
        <v>-2.5</v>
      </c>
      <c r="AB19">
        <v>10</v>
      </c>
      <c r="AC19">
        <v>45</v>
      </c>
      <c r="AD19">
        <v>45</v>
      </c>
      <c r="AE19">
        <v>40</v>
      </c>
      <c r="AF19">
        <v>60</v>
      </c>
      <c r="AG19">
        <v>46</v>
      </c>
      <c r="AH19">
        <v>54</v>
      </c>
      <c r="AI19">
        <v>50</v>
      </c>
      <c r="AJ19">
        <v>50</v>
      </c>
      <c r="AK19">
        <v>0</v>
      </c>
      <c r="AL19">
        <v>0</v>
      </c>
      <c r="AM19">
        <v>50</v>
      </c>
      <c r="AN19">
        <v>50</v>
      </c>
      <c r="AO19">
        <v>46</v>
      </c>
      <c r="AP19">
        <v>54</v>
      </c>
      <c r="AQ19">
        <v>27</v>
      </c>
      <c r="AR19">
        <v>55</v>
      </c>
      <c r="AS19">
        <v>27</v>
      </c>
      <c r="AT19">
        <v>40</v>
      </c>
      <c r="AU19">
        <v>64</v>
      </c>
      <c r="AV19">
        <v>27</v>
      </c>
      <c r="AW19">
        <v>6</v>
      </c>
      <c r="AX19">
        <v>1.2</v>
      </c>
      <c r="AY19">
        <v>8</v>
      </c>
      <c r="AZ19">
        <v>1.6</v>
      </c>
      <c r="BA19">
        <v>19</v>
      </c>
      <c r="BB19">
        <v>20</v>
      </c>
      <c r="BC19">
        <v>6</v>
      </c>
      <c r="BD19">
        <v>6</v>
      </c>
      <c r="BE19">
        <v>6</v>
      </c>
      <c r="BF19">
        <v>7</v>
      </c>
      <c r="BG19">
        <v>7</v>
      </c>
      <c r="BH19">
        <v>7</v>
      </c>
      <c r="BI19">
        <v>30</v>
      </c>
      <c r="BJ19">
        <v>21</v>
      </c>
      <c r="BK19">
        <v>32</v>
      </c>
      <c r="BL19">
        <v>28</v>
      </c>
      <c r="BM19">
        <v>1.6</v>
      </c>
      <c r="BN19">
        <v>1.1000000000000001</v>
      </c>
      <c r="BO19">
        <v>1.7</v>
      </c>
      <c r="BP19">
        <v>1.4</v>
      </c>
      <c r="BQ19">
        <v>7</v>
      </c>
      <c r="BR19">
        <v>7</v>
      </c>
      <c r="BS19">
        <v>1</v>
      </c>
      <c r="BT19">
        <v>2</v>
      </c>
      <c r="BU19">
        <v>1</v>
      </c>
      <c r="BV19">
        <v>5</v>
      </c>
      <c r="BW19">
        <v>5</v>
      </c>
      <c r="BX19">
        <v>0</v>
      </c>
      <c r="BY19">
        <v>7</v>
      </c>
      <c r="BZ19">
        <v>1.4</v>
      </c>
      <c r="CA19">
        <v>8</v>
      </c>
      <c r="CB19">
        <v>1.6</v>
      </c>
      <c r="CC19">
        <v>20</v>
      </c>
      <c r="CD19">
        <v>19</v>
      </c>
      <c r="CE19">
        <v>7</v>
      </c>
      <c r="CF19">
        <v>4</v>
      </c>
      <c r="CG19">
        <v>5</v>
      </c>
      <c r="CH19">
        <v>4</v>
      </c>
      <c r="CI19">
        <v>8</v>
      </c>
      <c r="CJ19">
        <v>11</v>
      </c>
      <c r="CK19">
        <v>24</v>
      </c>
      <c r="CL19">
        <v>22</v>
      </c>
      <c r="CM19">
        <v>27</v>
      </c>
      <c r="CN19">
        <v>36</v>
      </c>
      <c r="CO19">
        <v>1.2</v>
      </c>
      <c r="CP19">
        <v>1.2</v>
      </c>
      <c r="CQ19">
        <v>1.4</v>
      </c>
      <c r="CR19">
        <v>1.9</v>
      </c>
      <c r="CS19">
        <v>7</v>
      </c>
      <c r="CT19">
        <v>7</v>
      </c>
      <c r="CU19">
        <v>0</v>
      </c>
      <c r="CV19">
        <v>5</v>
      </c>
      <c r="CW19">
        <v>5</v>
      </c>
      <c r="CX19">
        <v>1</v>
      </c>
      <c r="CY19">
        <v>2</v>
      </c>
      <c r="CZ19">
        <v>1</v>
      </c>
    </row>
    <row r="20" spans="1:104" x14ac:dyDescent="0.25">
      <c r="A20" s="1" t="s">
        <v>246</v>
      </c>
      <c r="B20">
        <v>1351</v>
      </c>
      <c r="C20">
        <v>1371</v>
      </c>
      <c r="D20" s="2">
        <v>43785</v>
      </c>
      <c r="E20" s="3">
        <f t="shared" si="0"/>
        <v>2019</v>
      </c>
      <c r="F20" s="3">
        <f t="shared" si="1"/>
        <v>11</v>
      </c>
      <c r="G20" s="3">
        <f t="shared" si="2"/>
        <v>7</v>
      </c>
      <c r="H20" t="s">
        <v>247</v>
      </c>
      <c r="I20">
        <v>582</v>
      </c>
      <c r="J20" t="s">
        <v>248</v>
      </c>
      <c r="K20" t="s">
        <v>241</v>
      </c>
      <c r="L20">
        <v>2019</v>
      </c>
      <c r="M20" t="s">
        <v>249</v>
      </c>
      <c r="N20" t="s">
        <v>247</v>
      </c>
      <c r="O20" t="s">
        <v>250</v>
      </c>
      <c r="P20">
        <v>19052</v>
      </c>
      <c r="Q20" t="s">
        <v>241</v>
      </c>
      <c r="R20">
        <v>1876</v>
      </c>
      <c r="S20" t="s">
        <v>251</v>
      </c>
      <c r="T20" t="s">
        <v>252</v>
      </c>
      <c r="U20">
        <v>18202</v>
      </c>
      <c r="V20" t="s">
        <v>241</v>
      </c>
      <c r="W20">
        <v>1903</v>
      </c>
      <c r="X20" t="s">
        <v>109</v>
      </c>
      <c r="Z20">
        <v>-2.5</v>
      </c>
      <c r="AA20">
        <v>-1.5</v>
      </c>
      <c r="AB20">
        <v>45</v>
      </c>
      <c r="AC20">
        <v>45</v>
      </c>
      <c r="AD20">
        <v>10</v>
      </c>
      <c r="AE20">
        <v>67</v>
      </c>
      <c r="AF20">
        <v>33</v>
      </c>
      <c r="AG20">
        <v>50</v>
      </c>
      <c r="AH20">
        <v>50</v>
      </c>
      <c r="AI20">
        <v>71</v>
      </c>
      <c r="AJ20">
        <v>29</v>
      </c>
      <c r="AK20">
        <v>73</v>
      </c>
      <c r="AL20">
        <v>27</v>
      </c>
      <c r="AM20">
        <v>20</v>
      </c>
      <c r="AN20">
        <v>80</v>
      </c>
      <c r="AO20">
        <v>38</v>
      </c>
      <c r="AP20">
        <v>62</v>
      </c>
      <c r="AQ20">
        <v>53</v>
      </c>
      <c r="AR20">
        <v>42</v>
      </c>
      <c r="AS20">
        <v>67</v>
      </c>
      <c r="AT20">
        <v>27</v>
      </c>
      <c r="AU20">
        <v>42</v>
      </c>
      <c r="AV20">
        <v>17</v>
      </c>
      <c r="AW20">
        <v>5</v>
      </c>
      <c r="AX20">
        <v>1</v>
      </c>
      <c r="AY20">
        <v>4</v>
      </c>
      <c r="AZ20">
        <v>0.8</v>
      </c>
      <c r="BA20">
        <v>8</v>
      </c>
      <c r="BB20">
        <v>9</v>
      </c>
      <c r="BC20">
        <v>4</v>
      </c>
      <c r="BD20">
        <v>2</v>
      </c>
      <c r="BE20">
        <v>4</v>
      </c>
      <c r="BF20">
        <v>3</v>
      </c>
      <c r="BG20">
        <v>0</v>
      </c>
      <c r="BH20">
        <v>4</v>
      </c>
      <c r="BI20">
        <v>11</v>
      </c>
      <c r="BJ20">
        <v>11</v>
      </c>
      <c r="BK20">
        <v>6</v>
      </c>
      <c r="BL20">
        <v>16</v>
      </c>
      <c r="BM20">
        <v>1.4</v>
      </c>
      <c r="BN20">
        <v>1.2</v>
      </c>
      <c r="BO20">
        <v>0.8</v>
      </c>
      <c r="BP20">
        <v>1.8</v>
      </c>
      <c r="BQ20">
        <v>5</v>
      </c>
      <c r="BR20">
        <v>4</v>
      </c>
      <c r="BS20">
        <v>3</v>
      </c>
      <c r="BT20">
        <v>2</v>
      </c>
      <c r="BU20">
        <v>0</v>
      </c>
      <c r="BV20">
        <v>0</v>
      </c>
      <c r="BW20">
        <v>2</v>
      </c>
      <c r="BX20">
        <v>2</v>
      </c>
      <c r="BY20">
        <v>5</v>
      </c>
      <c r="BZ20">
        <v>1</v>
      </c>
      <c r="CA20">
        <v>10</v>
      </c>
      <c r="CB20">
        <v>2</v>
      </c>
      <c r="CC20">
        <v>9</v>
      </c>
      <c r="CD20">
        <v>8</v>
      </c>
      <c r="CE20">
        <v>3</v>
      </c>
      <c r="CF20">
        <v>2</v>
      </c>
      <c r="CG20">
        <v>2</v>
      </c>
      <c r="CH20">
        <v>1</v>
      </c>
      <c r="CI20">
        <v>4</v>
      </c>
      <c r="CJ20">
        <v>5</v>
      </c>
      <c r="CK20">
        <v>10</v>
      </c>
      <c r="CL20">
        <v>8</v>
      </c>
      <c r="CM20">
        <v>15</v>
      </c>
      <c r="CN20">
        <v>14</v>
      </c>
      <c r="CO20">
        <v>1.1000000000000001</v>
      </c>
      <c r="CP20">
        <v>1</v>
      </c>
      <c r="CQ20">
        <v>1.7</v>
      </c>
      <c r="CR20">
        <v>1.8</v>
      </c>
      <c r="CS20">
        <v>4</v>
      </c>
      <c r="CT20">
        <v>5</v>
      </c>
      <c r="CU20">
        <v>2</v>
      </c>
      <c r="CV20">
        <v>2</v>
      </c>
      <c r="CW20">
        <v>0</v>
      </c>
      <c r="CX20">
        <v>0</v>
      </c>
      <c r="CY20">
        <v>2</v>
      </c>
      <c r="CZ20">
        <v>3</v>
      </c>
    </row>
    <row r="21" spans="1:104" x14ac:dyDescent="0.25">
      <c r="A21" s="1" t="s">
        <v>253</v>
      </c>
      <c r="B21">
        <v>4770</v>
      </c>
      <c r="C21">
        <v>4736</v>
      </c>
      <c r="D21" s="2">
        <v>43800</v>
      </c>
      <c r="E21" s="3">
        <f t="shared" si="0"/>
        <v>2019</v>
      </c>
      <c r="F21" s="3">
        <f t="shared" si="1"/>
        <v>12</v>
      </c>
      <c r="G21" s="3">
        <f t="shared" si="2"/>
        <v>1</v>
      </c>
      <c r="H21" t="s">
        <v>254</v>
      </c>
      <c r="I21">
        <v>1287</v>
      </c>
      <c r="J21" t="s">
        <v>255</v>
      </c>
      <c r="K21" t="s">
        <v>140</v>
      </c>
      <c r="L21">
        <v>2019</v>
      </c>
      <c r="M21" t="s">
        <v>256</v>
      </c>
      <c r="N21" t="s">
        <v>257</v>
      </c>
      <c r="O21" t="s">
        <v>258</v>
      </c>
      <c r="P21">
        <v>5000</v>
      </c>
      <c r="Q21" t="s">
        <v>140</v>
      </c>
      <c r="R21">
        <v>1964</v>
      </c>
      <c r="S21" t="s">
        <v>259</v>
      </c>
      <c r="T21" t="s">
        <v>260</v>
      </c>
      <c r="U21">
        <v>1000</v>
      </c>
      <c r="V21" t="s">
        <v>140</v>
      </c>
      <c r="X21" t="s">
        <v>109</v>
      </c>
      <c r="Y21">
        <v>1.5</v>
      </c>
      <c r="Z21">
        <v>-3.5</v>
      </c>
      <c r="AA21">
        <v>-2.5</v>
      </c>
      <c r="AB21">
        <v>45</v>
      </c>
      <c r="AC21">
        <v>45</v>
      </c>
      <c r="AD21">
        <v>10</v>
      </c>
      <c r="AE21">
        <v>57</v>
      </c>
      <c r="AF21">
        <v>43</v>
      </c>
      <c r="AG21">
        <v>64</v>
      </c>
      <c r="AH21">
        <v>36</v>
      </c>
      <c r="AI21">
        <v>40</v>
      </c>
      <c r="AJ21">
        <v>60</v>
      </c>
      <c r="AK21">
        <v>67</v>
      </c>
      <c r="AL21">
        <v>33</v>
      </c>
      <c r="AM21">
        <v>0</v>
      </c>
      <c r="AN21">
        <v>0</v>
      </c>
      <c r="AO21">
        <v>0</v>
      </c>
      <c r="AP21">
        <v>0</v>
      </c>
      <c r="AQ21">
        <v>27</v>
      </c>
      <c r="AR21">
        <v>50</v>
      </c>
      <c r="AS21">
        <v>14</v>
      </c>
      <c r="AT21">
        <v>20</v>
      </c>
      <c r="AU21">
        <v>29</v>
      </c>
      <c r="AV21">
        <v>43</v>
      </c>
      <c r="AW21">
        <v>7</v>
      </c>
      <c r="AX21">
        <v>1.4</v>
      </c>
      <c r="AY21">
        <v>12</v>
      </c>
      <c r="AZ21">
        <v>2.4</v>
      </c>
      <c r="BA21">
        <v>5</v>
      </c>
      <c r="BB21">
        <v>6</v>
      </c>
      <c r="BC21">
        <v>3</v>
      </c>
      <c r="BD21">
        <v>2</v>
      </c>
      <c r="BE21">
        <v>1</v>
      </c>
      <c r="BF21">
        <v>1</v>
      </c>
      <c r="BG21">
        <v>1</v>
      </c>
      <c r="BH21">
        <v>3</v>
      </c>
      <c r="BI21">
        <v>14</v>
      </c>
      <c r="BJ21">
        <v>7</v>
      </c>
      <c r="BK21">
        <v>8</v>
      </c>
      <c r="BL21">
        <v>9</v>
      </c>
      <c r="BM21">
        <v>2.8</v>
      </c>
      <c r="BN21">
        <v>1.2</v>
      </c>
      <c r="BO21">
        <v>1.6</v>
      </c>
      <c r="BP21">
        <v>1.5</v>
      </c>
      <c r="BQ21">
        <v>1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4</v>
      </c>
      <c r="BZ21">
        <v>0.8</v>
      </c>
      <c r="CA21">
        <v>8</v>
      </c>
      <c r="CB21">
        <v>1.6</v>
      </c>
      <c r="CC21">
        <v>5</v>
      </c>
      <c r="CD21">
        <v>6</v>
      </c>
      <c r="CE21">
        <v>0</v>
      </c>
      <c r="CF21">
        <v>0</v>
      </c>
      <c r="CG21">
        <v>2</v>
      </c>
      <c r="CH21">
        <v>3</v>
      </c>
      <c r="CI21">
        <v>3</v>
      </c>
      <c r="CJ21">
        <v>3</v>
      </c>
      <c r="CK21">
        <v>5</v>
      </c>
      <c r="CL21">
        <v>7</v>
      </c>
      <c r="CM21">
        <v>10</v>
      </c>
      <c r="CN21">
        <v>12</v>
      </c>
      <c r="CO21">
        <v>1</v>
      </c>
      <c r="CP21">
        <v>1.2</v>
      </c>
      <c r="CQ21">
        <v>2</v>
      </c>
      <c r="CR21">
        <v>2</v>
      </c>
      <c r="CS21">
        <v>0</v>
      </c>
      <c r="CT21">
        <v>1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0</v>
      </c>
    </row>
    <row r="22" spans="1:104" x14ac:dyDescent="0.25">
      <c r="A22" s="1" t="s">
        <v>261</v>
      </c>
      <c r="B22">
        <v>7768</v>
      </c>
      <c r="C22">
        <v>6370</v>
      </c>
      <c r="D22" s="2">
        <v>44080</v>
      </c>
      <c r="E22" s="3">
        <f t="shared" si="0"/>
        <v>2020</v>
      </c>
      <c r="F22" s="3">
        <f t="shared" si="1"/>
        <v>9</v>
      </c>
      <c r="G22" s="3">
        <f t="shared" si="2"/>
        <v>1</v>
      </c>
      <c r="H22" t="s">
        <v>262</v>
      </c>
      <c r="I22">
        <v>1529</v>
      </c>
      <c r="J22" t="s">
        <v>263</v>
      </c>
      <c r="K22" t="s">
        <v>264</v>
      </c>
      <c r="L22">
        <v>2020</v>
      </c>
      <c r="M22" t="s">
        <v>265</v>
      </c>
      <c r="N22" t="s">
        <v>266</v>
      </c>
      <c r="O22" t="s">
        <v>267</v>
      </c>
      <c r="P22">
        <v>13534</v>
      </c>
      <c r="Q22" t="s">
        <v>264</v>
      </c>
      <c r="R22">
        <v>1952</v>
      </c>
      <c r="S22" t="s">
        <v>266</v>
      </c>
      <c r="T22" t="s">
        <v>267</v>
      </c>
      <c r="U22">
        <v>13534</v>
      </c>
      <c r="V22" t="s">
        <v>264</v>
      </c>
      <c r="W22">
        <v>1952</v>
      </c>
      <c r="X22">
        <v>1</v>
      </c>
      <c r="Y22">
        <v>1.5</v>
      </c>
      <c r="Z22">
        <v>-4.5</v>
      </c>
      <c r="AA22">
        <v>-1.5</v>
      </c>
      <c r="AB22">
        <v>50</v>
      </c>
      <c r="AC22">
        <v>50</v>
      </c>
      <c r="AD22">
        <v>0</v>
      </c>
      <c r="AE22">
        <v>100</v>
      </c>
      <c r="AF22">
        <v>0</v>
      </c>
      <c r="AG22">
        <v>60</v>
      </c>
      <c r="AH22">
        <v>40</v>
      </c>
      <c r="AI22">
        <v>76</v>
      </c>
      <c r="AJ22">
        <v>24</v>
      </c>
      <c r="AK22">
        <v>94</v>
      </c>
      <c r="AL22">
        <v>6</v>
      </c>
      <c r="AM22">
        <v>93</v>
      </c>
      <c r="AN22">
        <v>7</v>
      </c>
      <c r="AO22">
        <v>92</v>
      </c>
      <c r="AP22">
        <v>8</v>
      </c>
      <c r="AQ22">
        <v>80</v>
      </c>
      <c r="AR22">
        <v>45</v>
      </c>
      <c r="AS22">
        <v>70</v>
      </c>
      <c r="AT22">
        <v>0</v>
      </c>
      <c r="AU22">
        <v>30</v>
      </c>
      <c r="AV22">
        <v>5</v>
      </c>
      <c r="AW22">
        <v>9</v>
      </c>
      <c r="AX22">
        <v>1.8</v>
      </c>
      <c r="AY22">
        <v>6</v>
      </c>
      <c r="AZ22">
        <v>1.2</v>
      </c>
      <c r="BA22">
        <v>5</v>
      </c>
      <c r="BB22">
        <v>4</v>
      </c>
      <c r="BC22">
        <v>3</v>
      </c>
      <c r="BD22">
        <v>4</v>
      </c>
      <c r="BE22">
        <v>0</v>
      </c>
      <c r="BF22">
        <v>0</v>
      </c>
      <c r="BG22">
        <v>2</v>
      </c>
      <c r="BH22">
        <v>0</v>
      </c>
      <c r="BI22">
        <v>12</v>
      </c>
      <c r="BJ22">
        <v>9</v>
      </c>
      <c r="BK22">
        <v>6</v>
      </c>
      <c r="BL22">
        <v>3</v>
      </c>
      <c r="BM22">
        <v>2.4</v>
      </c>
      <c r="BN22">
        <v>2.2999999999999998</v>
      </c>
      <c r="BO22">
        <v>1.2</v>
      </c>
      <c r="BP22">
        <v>0.8</v>
      </c>
      <c r="BQ22">
        <v>7</v>
      </c>
      <c r="BR22">
        <v>3</v>
      </c>
      <c r="BS22">
        <v>6</v>
      </c>
      <c r="BT22">
        <v>3</v>
      </c>
      <c r="BU22">
        <v>1</v>
      </c>
      <c r="BV22">
        <v>0</v>
      </c>
      <c r="BW22">
        <v>0</v>
      </c>
      <c r="BX22">
        <v>0</v>
      </c>
      <c r="BY22">
        <v>6</v>
      </c>
      <c r="BZ22">
        <v>1.2</v>
      </c>
      <c r="CA22">
        <v>19</v>
      </c>
      <c r="CB22">
        <v>3.8</v>
      </c>
      <c r="CC22">
        <v>5</v>
      </c>
      <c r="CD22">
        <v>2</v>
      </c>
      <c r="CE22">
        <v>0</v>
      </c>
      <c r="CF22">
        <v>0</v>
      </c>
      <c r="CG22">
        <v>0</v>
      </c>
      <c r="CH22">
        <v>0</v>
      </c>
      <c r="CI22">
        <v>5</v>
      </c>
      <c r="CJ22">
        <v>2</v>
      </c>
      <c r="CK22">
        <v>6</v>
      </c>
      <c r="CL22">
        <v>1</v>
      </c>
      <c r="CM22">
        <v>24</v>
      </c>
      <c r="CN22">
        <v>8</v>
      </c>
      <c r="CO22">
        <v>1.2</v>
      </c>
      <c r="CP22">
        <v>0.5</v>
      </c>
      <c r="CQ22">
        <v>4.8</v>
      </c>
      <c r="CR22">
        <v>4</v>
      </c>
      <c r="CS22">
        <v>3</v>
      </c>
      <c r="CT22">
        <v>7</v>
      </c>
      <c r="CU22">
        <v>0</v>
      </c>
      <c r="CV22">
        <v>0</v>
      </c>
      <c r="CW22">
        <v>0</v>
      </c>
      <c r="CX22">
        <v>1</v>
      </c>
      <c r="CY22">
        <v>3</v>
      </c>
      <c r="CZ22">
        <v>6</v>
      </c>
    </row>
    <row r="23" spans="1:104" x14ac:dyDescent="0.25">
      <c r="A23" s="1" t="s">
        <v>268</v>
      </c>
      <c r="B23">
        <v>2665</v>
      </c>
      <c r="C23">
        <v>10567</v>
      </c>
      <c r="D23" s="2">
        <v>43792</v>
      </c>
      <c r="E23" s="3">
        <f t="shared" si="0"/>
        <v>2019</v>
      </c>
      <c r="F23" s="3">
        <f t="shared" si="1"/>
        <v>11</v>
      </c>
      <c r="G23" s="3">
        <f t="shared" si="2"/>
        <v>7</v>
      </c>
      <c r="H23" t="s">
        <v>269</v>
      </c>
      <c r="I23">
        <v>1590</v>
      </c>
      <c r="J23" t="s">
        <v>270</v>
      </c>
      <c r="K23" t="s">
        <v>271</v>
      </c>
      <c r="L23">
        <v>2019</v>
      </c>
      <c r="M23" t="s">
        <v>272</v>
      </c>
      <c r="N23" t="s">
        <v>269</v>
      </c>
      <c r="O23" t="s">
        <v>273</v>
      </c>
      <c r="P23">
        <v>15000</v>
      </c>
      <c r="Q23" t="s">
        <v>271</v>
      </c>
      <c r="S23" t="s">
        <v>274</v>
      </c>
      <c r="T23" t="s">
        <v>275</v>
      </c>
      <c r="U23">
        <v>8000</v>
      </c>
      <c r="V23" t="s">
        <v>271</v>
      </c>
      <c r="X23" t="s">
        <v>125</v>
      </c>
      <c r="Y23">
        <v>-3.5</v>
      </c>
      <c r="AA23">
        <v>-1.5</v>
      </c>
      <c r="AB23">
        <v>10</v>
      </c>
      <c r="AC23">
        <v>45</v>
      </c>
      <c r="AD23">
        <v>45</v>
      </c>
      <c r="AE23">
        <v>25</v>
      </c>
      <c r="AF23">
        <v>75</v>
      </c>
      <c r="AG23">
        <v>0</v>
      </c>
      <c r="AH23">
        <v>100</v>
      </c>
      <c r="AI23">
        <v>44</v>
      </c>
      <c r="AJ23">
        <v>56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7</v>
      </c>
      <c r="AR23">
        <v>0</v>
      </c>
      <c r="AS23">
        <v>44</v>
      </c>
      <c r="AT23">
        <v>20</v>
      </c>
      <c r="AU23">
        <v>22</v>
      </c>
      <c r="AV23">
        <v>56</v>
      </c>
      <c r="AW23">
        <v>0</v>
      </c>
      <c r="AX23">
        <v>0</v>
      </c>
      <c r="AY23">
        <v>5</v>
      </c>
      <c r="AZ23">
        <v>1</v>
      </c>
      <c r="BA23">
        <v>4</v>
      </c>
      <c r="BB23">
        <v>6</v>
      </c>
      <c r="BC23">
        <v>1</v>
      </c>
      <c r="BD23">
        <v>1</v>
      </c>
      <c r="BE23">
        <v>2</v>
      </c>
      <c r="BF23">
        <v>1</v>
      </c>
      <c r="BG23">
        <v>1</v>
      </c>
      <c r="BH23">
        <v>4</v>
      </c>
      <c r="BI23">
        <v>2</v>
      </c>
      <c r="BJ23">
        <v>3</v>
      </c>
      <c r="BK23">
        <v>2</v>
      </c>
      <c r="BL23">
        <v>7</v>
      </c>
      <c r="BM23">
        <v>0.5</v>
      </c>
      <c r="BN23">
        <v>0.5</v>
      </c>
      <c r="BO23">
        <v>0.5</v>
      </c>
      <c r="BP23">
        <v>1.2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2</v>
      </c>
      <c r="BZ23">
        <v>0.4</v>
      </c>
      <c r="CA23">
        <v>4</v>
      </c>
      <c r="CB23">
        <v>0.8</v>
      </c>
      <c r="CC23">
        <v>4</v>
      </c>
      <c r="CD23">
        <v>6</v>
      </c>
      <c r="CE23">
        <v>1</v>
      </c>
      <c r="CF23">
        <v>2</v>
      </c>
      <c r="CG23">
        <v>2</v>
      </c>
      <c r="CH23">
        <v>3</v>
      </c>
      <c r="CI23">
        <v>1</v>
      </c>
      <c r="CJ23">
        <v>1</v>
      </c>
      <c r="CK23">
        <v>6</v>
      </c>
      <c r="CL23">
        <v>3</v>
      </c>
      <c r="CM23">
        <v>5</v>
      </c>
      <c r="CN23">
        <v>2</v>
      </c>
      <c r="CO23">
        <v>1.5</v>
      </c>
      <c r="CP23">
        <v>0.5</v>
      </c>
      <c r="CQ23">
        <v>1.3</v>
      </c>
      <c r="CR23">
        <v>0.3</v>
      </c>
      <c r="CS23">
        <v>1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1</v>
      </c>
    </row>
    <row r="24" spans="1:104" x14ac:dyDescent="0.25">
      <c r="A24" s="1" t="s">
        <v>276</v>
      </c>
      <c r="B24">
        <v>2010</v>
      </c>
      <c r="C24">
        <v>2007</v>
      </c>
      <c r="D24" s="2">
        <v>43761</v>
      </c>
      <c r="E24" s="3">
        <f t="shared" si="0"/>
        <v>2019</v>
      </c>
      <c r="F24" s="3">
        <f t="shared" si="1"/>
        <v>10</v>
      </c>
      <c r="G24" s="3">
        <f t="shared" si="2"/>
        <v>4</v>
      </c>
      <c r="H24" t="s">
        <v>277</v>
      </c>
      <c r="I24">
        <v>516</v>
      </c>
      <c r="J24" t="s">
        <v>278</v>
      </c>
      <c r="K24" t="s">
        <v>279</v>
      </c>
      <c r="L24">
        <v>2019</v>
      </c>
      <c r="M24" t="s">
        <v>233</v>
      </c>
      <c r="N24" t="s">
        <v>277</v>
      </c>
      <c r="O24" t="s">
        <v>280</v>
      </c>
      <c r="P24">
        <v>45568</v>
      </c>
      <c r="Q24" t="s">
        <v>279</v>
      </c>
      <c r="R24">
        <v>1929</v>
      </c>
      <c r="S24" t="s">
        <v>281</v>
      </c>
      <c r="T24" t="s">
        <v>282</v>
      </c>
      <c r="U24">
        <v>10500</v>
      </c>
      <c r="V24" t="s">
        <v>279</v>
      </c>
      <c r="W24">
        <v>1958</v>
      </c>
      <c r="X24" t="s">
        <v>109</v>
      </c>
      <c r="Z24">
        <v>-2.5</v>
      </c>
      <c r="AA24">
        <v>-2.5</v>
      </c>
      <c r="AB24">
        <v>45</v>
      </c>
      <c r="AC24">
        <v>45</v>
      </c>
      <c r="AD24">
        <v>10</v>
      </c>
      <c r="AE24">
        <v>83</v>
      </c>
      <c r="AF24">
        <v>17</v>
      </c>
      <c r="AG24">
        <v>64</v>
      </c>
      <c r="AH24">
        <v>36</v>
      </c>
      <c r="AI24">
        <v>57</v>
      </c>
      <c r="AJ24">
        <v>43</v>
      </c>
      <c r="AK24">
        <v>52</v>
      </c>
      <c r="AL24">
        <v>48</v>
      </c>
      <c r="AM24">
        <v>64</v>
      </c>
      <c r="AN24">
        <v>36</v>
      </c>
      <c r="AO24">
        <v>60</v>
      </c>
      <c r="AP24">
        <v>40</v>
      </c>
      <c r="AQ24">
        <v>67</v>
      </c>
      <c r="AR24">
        <v>50</v>
      </c>
      <c r="AS24">
        <v>67</v>
      </c>
      <c r="AT24">
        <v>13</v>
      </c>
      <c r="AU24">
        <v>28</v>
      </c>
      <c r="AV24">
        <v>56</v>
      </c>
      <c r="AW24">
        <v>9</v>
      </c>
      <c r="AX24">
        <v>1.8</v>
      </c>
      <c r="AY24">
        <v>6</v>
      </c>
      <c r="AZ24">
        <v>1.2</v>
      </c>
      <c r="BA24">
        <v>7</v>
      </c>
      <c r="BB24">
        <v>11</v>
      </c>
      <c r="BC24">
        <v>4</v>
      </c>
      <c r="BD24">
        <v>7</v>
      </c>
      <c r="BE24">
        <v>1</v>
      </c>
      <c r="BF24">
        <v>1</v>
      </c>
      <c r="BG24">
        <v>2</v>
      </c>
      <c r="BH24">
        <v>3</v>
      </c>
      <c r="BI24">
        <v>15</v>
      </c>
      <c r="BJ24">
        <v>14</v>
      </c>
      <c r="BK24">
        <v>12</v>
      </c>
      <c r="BL24">
        <v>6</v>
      </c>
      <c r="BM24">
        <v>2.1</v>
      </c>
      <c r="BN24">
        <v>1.3</v>
      </c>
      <c r="BO24">
        <v>1.7</v>
      </c>
      <c r="BP24">
        <v>0.5</v>
      </c>
      <c r="BQ24">
        <v>3</v>
      </c>
      <c r="BR24">
        <v>2</v>
      </c>
      <c r="BS24">
        <v>3</v>
      </c>
      <c r="BT24">
        <v>0</v>
      </c>
      <c r="BU24">
        <v>0</v>
      </c>
      <c r="BV24">
        <v>1</v>
      </c>
      <c r="BW24">
        <v>0</v>
      </c>
      <c r="BX24">
        <v>1</v>
      </c>
      <c r="BY24">
        <v>5</v>
      </c>
      <c r="BZ24">
        <v>1</v>
      </c>
      <c r="CA24">
        <v>8</v>
      </c>
      <c r="CB24">
        <v>1.6</v>
      </c>
      <c r="CC24">
        <v>12</v>
      </c>
      <c r="CD24">
        <v>6</v>
      </c>
      <c r="CE24">
        <v>2</v>
      </c>
      <c r="CF24">
        <v>2</v>
      </c>
      <c r="CG24">
        <v>4</v>
      </c>
      <c r="CH24">
        <v>3</v>
      </c>
      <c r="CI24">
        <v>6</v>
      </c>
      <c r="CJ24">
        <v>1</v>
      </c>
      <c r="CK24">
        <v>13</v>
      </c>
      <c r="CL24">
        <v>8</v>
      </c>
      <c r="CM24">
        <v>19</v>
      </c>
      <c r="CN24">
        <v>7</v>
      </c>
      <c r="CO24">
        <v>1.1000000000000001</v>
      </c>
      <c r="CP24">
        <v>1.3</v>
      </c>
      <c r="CQ24">
        <v>1.6</v>
      </c>
      <c r="CR24">
        <v>1.2</v>
      </c>
      <c r="CS24">
        <v>2</v>
      </c>
      <c r="CT24">
        <v>3</v>
      </c>
      <c r="CU24">
        <v>1</v>
      </c>
      <c r="CV24">
        <v>0</v>
      </c>
      <c r="CW24">
        <v>1</v>
      </c>
      <c r="CX24">
        <v>0</v>
      </c>
      <c r="CY24">
        <v>0</v>
      </c>
      <c r="CZ24">
        <v>3</v>
      </c>
    </row>
    <row r="25" spans="1:104" x14ac:dyDescent="0.25">
      <c r="A25" s="1" t="s">
        <v>283</v>
      </c>
      <c r="B25">
        <v>3892</v>
      </c>
      <c r="C25">
        <v>1251</v>
      </c>
      <c r="D25" s="2">
        <v>43897</v>
      </c>
      <c r="E25" s="3">
        <f t="shared" si="0"/>
        <v>2020</v>
      </c>
      <c r="F25" s="3">
        <f t="shared" si="1"/>
        <v>3</v>
      </c>
      <c r="G25" s="3">
        <f t="shared" si="2"/>
        <v>7</v>
      </c>
      <c r="H25" t="s">
        <v>284</v>
      </c>
      <c r="I25">
        <v>1189</v>
      </c>
      <c r="J25" t="s">
        <v>285</v>
      </c>
      <c r="K25" t="s">
        <v>286</v>
      </c>
      <c r="L25">
        <v>2019</v>
      </c>
      <c r="M25" t="s">
        <v>287</v>
      </c>
      <c r="Q25" t="s">
        <v>286</v>
      </c>
      <c r="R25">
        <v>1895</v>
      </c>
      <c r="V25" t="s">
        <v>286</v>
      </c>
      <c r="W25">
        <v>1931</v>
      </c>
      <c r="X25" t="s">
        <v>109</v>
      </c>
      <c r="Y25">
        <v>1.5</v>
      </c>
      <c r="Z25">
        <v>-2.5</v>
      </c>
      <c r="AA25">
        <v>-3.5</v>
      </c>
      <c r="AB25">
        <v>45</v>
      </c>
      <c r="AC25">
        <v>45</v>
      </c>
      <c r="AD25">
        <v>10</v>
      </c>
      <c r="AE25">
        <v>55</v>
      </c>
      <c r="AF25">
        <v>45</v>
      </c>
      <c r="AG25">
        <v>42</v>
      </c>
      <c r="AH25">
        <v>58</v>
      </c>
      <c r="AI25">
        <v>79</v>
      </c>
      <c r="AJ25">
        <v>21</v>
      </c>
      <c r="AK25">
        <v>0</v>
      </c>
      <c r="AL25">
        <v>0</v>
      </c>
      <c r="AM25">
        <v>100</v>
      </c>
      <c r="AN25">
        <v>0</v>
      </c>
      <c r="AO25">
        <v>100</v>
      </c>
      <c r="AP25">
        <v>0</v>
      </c>
      <c r="AQ25">
        <v>73</v>
      </c>
      <c r="AR25">
        <v>63</v>
      </c>
      <c r="AS25">
        <v>81</v>
      </c>
      <c r="AT25">
        <v>60</v>
      </c>
      <c r="AU25">
        <v>88</v>
      </c>
      <c r="AV25">
        <v>31</v>
      </c>
      <c r="AW25">
        <v>10</v>
      </c>
      <c r="AX25">
        <v>2</v>
      </c>
      <c r="AY25">
        <v>3</v>
      </c>
      <c r="AZ25">
        <v>0.6</v>
      </c>
      <c r="BA25">
        <v>11</v>
      </c>
      <c r="BB25">
        <v>11</v>
      </c>
      <c r="BC25">
        <v>5</v>
      </c>
      <c r="BD25">
        <v>4</v>
      </c>
      <c r="BE25">
        <v>1</v>
      </c>
      <c r="BF25">
        <v>3</v>
      </c>
      <c r="BG25">
        <v>5</v>
      </c>
      <c r="BH25">
        <v>4</v>
      </c>
      <c r="BI25">
        <v>15</v>
      </c>
      <c r="BJ25">
        <v>17</v>
      </c>
      <c r="BK25">
        <v>14</v>
      </c>
      <c r="BL25">
        <v>28</v>
      </c>
      <c r="BM25">
        <v>1.4</v>
      </c>
      <c r="BN25">
        <v>1.5</v>
      </c>
      <c r="BO25">
        <v>1.3</v>
      </c>
      <c r="BP25">
        <v>2.5</v>
      </c>
      <c r="BQ25">
        <v>1</v>
      </c>
      <c r="BR25">
        <v>1</v>
      </c>
      <c r="BS25">
        <v>0</v>
      </c>
      <c r="BT25">
        <v>1</v>
      </c>
      <c r="BU25">
        <v>0</v>
      </c>
      <c r="BV25">
        <v>0</v>
      </c>
      <c r="BW25">
        <v>1</v>
      </c>
      <c r="BX25">
        <v>0</v>
      </c>
      <c r="BY25">
        <v>14</v>
      </c>
      <c r="BZ25">
        <v>2.8</v>
      </c>
      <c r="CA25">
        <v>11</v>
      </c>
      <c r="CB25">
        <v>2.2000000000000002</v>
      </c>
      <c r="CC25">
        <v>11</v>
      </c>
      <c r="CD25">
        <v>10</v>
      </c>
      <c r="CE25">
        <v>3</v>
      </c>
      <c r="CF25">
        <v>4</v>
      </c>
      <c r="CG25">
        <v>2</v>
      </c>
      <c r="CH25">
        <v>2</v>
      </c>
      <c r="CI25">
        <v>6</v>
      </c>
      <c r="CJ25">
        <v>4</v>
      </c>
      <c r="CK25">
        <v>22</v>
      </c>
      <c r="CL25">
        <v>23</v>
      </c>
      <c r="CM25">
        <v>29</v>
      </c>
      <c r="CN25">
        <v>18</v>
      </c>
      <c r="CO25">
        <v>2</v>
      </c>
      <c r="CP25">
        <v>2.2999999999999998</v>
      </c>
      <c r="CQ25">
        <v>2.6</v>
      </c>
      <c r="CR25">
        <v>1.8</v>
      </c>
      <c r="CS25">
        <v>1</v>
      </c>
      <c r="CT25">
        <v>1</v>
      </c>
      <c r="CU25">
        <v>0</v>
      </c>
      <c r="CV25">
        <v>1</v>
      </c>
      <c r="CW25">
        <v>0</v>
      </c>
      <c r="CX25">
        <v>0</v>
      </c>
      <c r="CY25">
        <v>1</v>
      </c>
      <c r="CZ25">
        <v>0</v>
      </c>
    </row>
    <row r="26" spans="1:104" x14ac:dyDescent="0.25">
      <c r="A26" s="1" t="s">
        <v>288</v>
      </c>
      <c r="B26">
        <v>110</v>
      </c>
      <c r="C26">
        <v>107</v>
      </c>
      <c r="D26" s="2">
        <v>43868</v>
      </c>
      <c r="E26" s="3">
        <f t="shared" si="0"/>
        <v>2020</v>
      </c>
      <c r="F26" s="3">
        <f t="shared" si="1"/>
        <v>2</v>
      </c>
      <c r="G26" s="3">
        <f t="shared" si="2"/>
        <v>6</v>
      </c>
      <c r="H26" t="s">
        <v>289</v>
      </c>
      <c r="I26">
        <v>526</v>
      </c>
      <c r="J26" t="s">
        <v>290</v>
      </c>
      <c r="K26" t="s">
        <v>158</v>
      </c>
      <c r="L26">
        <v>2019</v>
      </c>
      <c r="M26" t="s">
        <v>114</v>
      </c>
      <c r="N26" t="s">
        <v>291</v>
      </c>
      <c r="O26" t="s">
        <v>292</v>
      </c>
      <c r="P26">
        <v>21877</v>
      </c>
      <c r="Q26" t="s">
        <v>158</v>
      </c>
      <c r="R26">
        <v>1986</v>
      </c>
      <c r="S26" t="s">
        <v>293</v>
      </c>
      <c r="T26" t="s">
        <v>294</v>
      </c>
      <c r="U26">
        <v>17072</v>
      </c>
      <c r="V26" t="s">
        <v>158</v>
      </c>
      <c r="W26">
        <v>1883</v>
      </c>
      <c r="X26" t="s">
        <v>109</v>
      </c>
      <c r="Z26">
        <v>-1.5</v>
      </c>
      <c r="AA26">
        <v>-1.5</v>
      </c>
      <c r="AB26">
        <v>45</v>
      </c>
      <c r="AC26">
        <v>45</v>
      </c>
      <c r="AD26">
        <v>10</v>
      </c>
      <c r="AE26">
        <v>30</v>
      </c>
      <c r="AF26">
        <v>70</v>
      </c>
      <c r="AG26">
        <v>50</v>
      </c>
      <c r="AH26">
        <v>50</v>
      </c>
      <c r="AI26">
        <v>56</v>
      </c>
      <c r="AJ26">
        <v>44</v>
      </c>
      <c r="AK26">
        <v>0</v>
      </c>
      <c r="AL26">
        <v>0</v>
      </c>
      <c r="AM26">
        <v>100</v>
      </c>
      <c r="AN26">
        <v>0</v>
      </c>
      <c r="AO26">
        <v>91</v>
      </c>
      <c r="AP26">
        <v>9</v>
      </c>
      <c r="AQ26">
        <v>20</v>
      </c>
      <c r="AR26">
        <v>31</v>
      </c>
      <c r="AS26">
        <v>50</v>
      </c>
      <c r="AT26">
        <v>47</v>
      </c>
      <c r="AU26">
        <v>31</v>
      </c>
      <c r="AV26">
        <v>38</v>
      </c>
      <c r="AW26">
        <v>5</v>
      </c>
      <c r="AX26">
        <v>1</v>
      </c>
      <c r="AY26">
        <v>8</v>
      </c>
      <c r="AZ26">
        <v>1.6</v>
      </c>
      <c r="BA26">
        <v>11</v>
      </c>
      <c r="BB26">
        <v>12</v>
      </c>
      <c r="BC26">
        <v>6</v>
      </c>
      <c r="BD26">
        <v>6</v>
      </c>
      <c r="BE26">
        <v>0</v>
      </c>
      <c r="BF26">
        <v>2</v>
      </c>
      <c r="BG26">
        <v>5</v>
      </c>
      <c r="BH26">
        <v>4</v>
      </c>
      <c r="BI26">
        <v>14</v>
      </c>
      <c r="BJ26">
        <v>11</v>
      </c>
      <c r="BK26">
        <v>15</v>
      </c>
      <c r="BL26">
        <v>8</v>
      </c>
      <c r="BM26">
        <v>1.3</v>
      </c>
      <c r="BN26">
        <v>0.9</v>
      </c>
      <c r="BO26">
        <v>1.4</v>
      </c>
      <c r="BP26">
        <v>0.7</v>
      </c>
      <c r="BQ26">
        <v>6</v>
      </c>
      <c r="BR26">
        <v>6</v>
      </c>
      <c r="BS26">
        <v>5</v>
      </c>
      <c r="BT26">
        <v>3</v>
      </c>
      <c r="BU26">
        <v>0</v>
      </c>
      <c r="BV26">
        <v>0</v>
      </c>
      <c r="BW26">
        <v>1</v>
      </c>
      <c r="BX26">
        <v>3</v>
      </c>
      <c r="BY26">
        <v>5</v>
      </c>
      <c r="BZ26">
        <v>1</v>
      </c>
      <c r="CA26">
        <v>10</v>
      </c>
      <c r="CB26">
        <v>2</v>
      </c>
      <c r="CC26">
        <v>11</v>
      </c>
      <c r="CD26">
        <v>12</v>
      </c>
      <c r="CE26">
        <v>1</v>
      </c>
      <c r="CF26">
        <v>5</v>
      </c>
      <c r="CG26">
        <v>4</v>
      </c>
      <c r="CH26">
        <v>3</v>
      </c>
      <c r="CI26">
        <v>6</v>
      </c>
      <c r="CJ26">
        <v>4</v>
      </c>
      <c r="CK26">
        <v>6</v>
      </c>
      <c r="CL26">
        <v>10</v>
      </c>
      <c r="CM26">
        <v>17</v>
      </c>
      <c r="CN26">
        <v>13</v>
      </c>
      <c r="CO26">
        <v>0.5</v>
      </c>
      <c r="CP26">
        <v>0.8</v>
      </c>
      <c r="CQ26">
        <v>1.5</v>
      </c>
      <c r="CR26">
        <v>1.1000000000000001</v>
      </c>
      <c r="CS26">
        <v>6</v>
      </c>
      <c r="CT26">
        <v>6</v>
      </c>
      <c r="CU26">
        <v>3</v>
      </c>
      <c r="CV26">
        <v>1</v>
      </c>
      <c r="CW26">
        <v>0</v>
      </c>
      <c r="CX26">
        <v>0</v>
      </c>
      <c r="CY26">
        <v>3</v>
      </c>
      <c r="CZ26">
        <v>5</v>
      </c>
    </row>
    <row r="27" spans="1:104" x14ac:dyDescent="0.25">
      <c r="A27" s="1" t="s">
        <v>295</v>
      </c>
      <c r="B27">
        <v>2682</v>
      </c>
      <c r="C27">
        <v>2683</v>
      </c>
      <c r="D27" s="2">
        <v>44058</v>
      </c>
      <c r="E27" s="3">
        <f t="shared" si="0"/>
        <v>2020</v>
      </c>
      <c r="F27" s="3">
        <f t="shared" si="1"/>
        <v>8</v>
      </c>
      <c r="G27" s="3">
        <f t="shared" si="2"/>
        <v>7</v>
      </c>
      <c r="H27" t="s">
        <v>296</v>
      </c>
      <c r="I27">
        <v>1590</v>
      </c>
      <c r="J27" t="s">
        <v>270</v>
      </c>
      <c r="K27" t="s">
        <v>271</v>
      </c>
      <c r="L27">
        <v>2019</v>
      </c>
      <c r="M27" t="s">
        <v>297</v>
      </c>
      <c r="N27" t="s">
        <v>298</v>
      </c>
      <c r="O27" t="s">
        <v>299</v>
      </c>
      <c r="P27">
        <v>40000</v>
      </c>
      <c r="Q27" t="s">
        <v>271</v>
      </c>
      <c r="R27">
        <v>1986</v>
      </c>
      <c r="S27" t="s">
        <v>300</v>
      </c>
      <c r="T27" t="s">
        <v>301</v>
      </c>
      <c r="U27">
        <v>69070</v>
      </c>
      <c r="V27" t="s">
        <v>271</v>
      </c>
      <c r="W27">
        <v>1999</v>
      </c>
      <c r="X27" t="s">
        <v>125</v>
      </c>
      <c r="Y27">
        <v>-3.5</v>
      </c>
      <c r="Z27">
        <v>-2.5</v>
      </c>
      <c r="AA27">
        <v>-1.5</v>
      </c>
      <c r="AB27">
        <v>10</v>
      </c>
      <c r="AC27">
        <v>45</v>
      </c>
      <c r="AD27">
        <v>45</v>
      </c>
      <c r="AE27">
        <v>50</v>
      </c>
      <c r="AF27">
        <v>50</v>
      </c>
      <c r="AG27">
        <v>55</v>
      </c>
      <c r="AH27">
        <v>45</v>
      </c>
      <c r="AI27">
        <v>50</v>
      </c>
      <c r="AJ27">
        <v>50</v>
      </c>
      <c r="AK27">
        <v>0</v>
      </c>
      <c r="AL27">
        <v>0</v>
      </c>
      <c r="AM27">
        <v>13</v>
      </c>
      <c r="AN27">
        <v>88</v>
      </c>
      <c r="AO27">
        <v>44</v>
      </c>
      <c r="AP27">
        <v>56</v>
      </c>
      <c r="AQ27">
        <v>80</v>
      </c>
      <c r="AR27">
        <v>100</v>
      </c>
      <c r="AS27">
        <v>50</v>
      </c>
      <c r="AT27">
        <v>80</v>
      </c>
      <c r="AU27">
        <v>100</v>
      </c>
      <c r="AV27">
        <v>50</v>
      </c>
      <c r="AW27">
        <v>6</v>
      </c>
      <c r="AX27">
        <v>1.2</v>
      </c>
      <c r="AY27">
        <v>2</v>
      </c>
      <c r="AZ27">
        <v>0.4</v>
      </c>
      <c r="BA27">
        <v>12</v>
      </c>
      <c r="BB27">
        <v>13</v>
      </c>
      <c r="BC27">
        <v>8</v>
      </c>
      <c r="BD27">
        <v>4</v>
      </c>
      <c r="BE27">
        <v>3</v>
      </c>
      <c r="BF27">
        <v>2</v>
      </c>
      <c r="BG27">
        <v>1</v>
      </c>
      <c r="BH27">
        <v>7</v>
      </c>
      <c r="BI27">
        <v>20</v>
      </c>
      <c r="BJ27">
        <v>13</v>
      </c>
      <c r="BK27">
        <v>7</v>
      </c>
      <c r="BL27">
        <v>17</v>
      </c>
      <c r="BM27">
        <v>1.7</v>
      </c>
      <c r="BN27">
        <v>1</v>
      </c>
      <c r="BO27">
        <v>0.6</v>
      </c>
      <c r="BP27">
        <v>1.3</v>
      </c>
      <c r="BQ27">
        <v>2</v>
      </c>
      <c r="BR27">
        <v>2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5</v>
      </c>
      <c r="BZ27">
        <v>1</v>
      </c>
      <c r="CA27">
        <v>2</v>
      </c>
      <c r="CB27">
        <v>0.4</v>
      </c>
      <c r="CC27">
        <v>12</v>
      </c>
      <c r="CD27">
        <v>13</v>
      </c>
      <c r="CE27">
        <v>9</v>
      </c>
      <c r="CF27">
        <v>7</v>
      </c>
      <c r="CG27">
        <v>1</v>
      </c>
      <c r="CH27">
        <v>2</v>
      </c>
      <c r="CI27">
        <v>2</v>
      </c>
      <c r="CJ27">
        <v>4</v>
      </c>
      <c r="CK27">
        <v>22</v>
      </c>
      <c r="CL27">
        <v>23</v>
      </c>
      <c r="CM27">
        <v>15</v>
      </c>
      <c r="CN27">
        <v>18</v>
      </c>
      <c r="CO27">
        <v>1.8</v>
      </c>
      <c r="CP27">
        <v>1.8</v>
      </c>
      <c r="CQ27">
        <v>1.3</v>
      </c>
      <c r="CR27">
        <v>1.4</v>
      </c>
      <c r="CS27">
        <v>2</v>
      </c>
      <c r="CT27">
        <v>2</v>
      </c>
      <c r="CU27">
        <v>1</v>
      </c>
      <c r="CV27">
        <v>1</v>
      </c>
      <c r="CW27">
        <v>1</v>
      </c>
      <c r="CX27">
        <v>0</v>
      </c>
      <c r="CY27">
        <v>0</v>
      </c>
      <c r="CZ27">
        <v>1</v>
      </c>
    </row>
    <row r="28" spans="1:104" x14ac:dyDescent="0.25">
      <c r="A28" s="1" t="s">
        <v>302</v>
      </c>
      <c r="B28">
        <v>2262</v>
      </c>
      <c r="C28">
        <v>704</v>
      </c>
      <c r="D28" s="2">
        <v>44044</v>
      </c>
      <c r="E28" s="3">
        <f t="shared" si="0"/>
        <v>2020</v>
      </c>
      <c r="F28" s="3">
        <f t="shared" si="1"/>
        <v>8</v>
      </c>
      <c r="G28" s="3">
        <f t="shared" si="2"/>
        <v>7</v>
      </c>
      <c r="H28" t="s">
        <v>303</v>
      </c>
      <c r="I28">
        <v>1343</v>
      </c>
      <c r="J28" t="s">
        <v>304</v>
      </c>
      <c r="K28" t="s">
        <v>305</v>
      </c>
      <c r="L28">
        <v>2020</v>
      </c>
      <c r="M28" t="s">
        <v>306</v>
      </c>
      <c r="N28" t="s">
        <v>303</v>
      </c>
      <c r="O28" t="s">
        <v>307</v>
      </c>
      <c r="P28">
        <v>54139</v>
      </c>
      <c r="Q28" t="s">
        <v>305</v>
      </c>
      <c r="R28">
        <v>1925</v>
      </c>
      <c r="S28" t="s">
        <v>308</v>
      </c>
      <c r="T28" t="s">
        <v>309</v>
      </c>
      <c r="U28">
        <v>2000</v>
      </c>
      <c r="V28" t="s">
        <v>305</v>
      </c>
      <c r="X28">
        <v>1</v>
      </c>
      <c r="Z28">
        <v>-3.5</v>
      </c>
      <c r="AA28">
        <v>-1.5</v>
      </c>
      <c r="AB28">
        <v>45</v>
      </c>
      <c r="AC28">
        <v>45</v>
      </c>
      <c r="AD28">
        <v>10</v>
      </c>
      <c r="AE28">
        <v>67</v>
      </c>
      <c r="AF28">
        <v>33</v>
      </c>
      <c r="AG28">
        <v>71</v>
      </c>
      <c r="AH28">
        <v>29</v>
      </c>
      <c r="AI28">
        <v>75</v>
      </c>
      <c r="AJ28">
        <v>25</v>
      </c>
      <c r="AK28">
        <v>81</v>
      </c>
      <c r="AL28">
        <v>19</v>
      </c>
      <c r="AM28">
        <v>71</v>
      </c>
      <c r="AN28">
        <v>29</v>
      </c>
      <c r="AO28">
        <v>57</v>
      </c>
      <c r="AP28">
        <v>43</v>
      </c>
      <c r="AQ28">
        <v>67</v>
      </c>
      <c r="AR28">
        <v>100</v>
      </c>
      <c r="AS28">
        <v>83</v>
      </c>
      <c r="AT28">
        <v>33</v>
      </c>
      <c r="AU28">
        <v>42</v>
      </c>
      <c r="AV28">
        <v>50</v>
      </c>
      <c r="AW28">
        <v>12</v>
      </c>
      <c r="AX28">
        <v>2.4</v>
      </c>
      <c r="AY28">
        <v>2</v>
      </c>
      <c r="AZ28">
        <v>0.4</v>
      </c>
      <c r="BA28">
        <v>4</v>
      </c>
      <c r="BB28">
        <v>3</v>
      </c>
      <c r="BC28">
        <v>1</v>
      </c>
      <c r="BD28">
        <v>2</v>
      </c>
      <c r="BE28">
        <v>2</v>
      </c>
      <c r="BF28">
        <v>1</v>
      </c>
      <c r="BG28">
        <v>1</v>
      </c>
      <c r="BH28">
        <v>0</v>
      </c>
      <c r="BI28">
        <v>6</v>
      </c>
      <c r="BJ28">
        <v>7</v>
      </c>
      <c r="BK28">
        <v>3</v>
      </c>
      <c r="BL28">
        <v>0</v>
      </c>
      <c r="BM28">
        <v>1.5</v>
      </c>
      <c r="BN28">
        <v>2.2999999999999998</v>
      </c>
      <c r="BO28">
        <v>0.8</v>
      </c>
      <c r="BP28">
        <v>0</v>
      </c>
      <c r="BQ28">
        <v>10</v>
      </c>
      <c r="BR28">
        <v>9</v>
      </c>
      <c r="BS28">
        <v>8</v>
      </c>
      <c r="BT28">
        <v>4</v>
      </c>
      <c r="BU28">
        <v>0</v>
      </c>
      <c r="BV28">
        <v>2</v>
      </c>
      <c r="BW28">
        <v>2</v>
      </c>
      <c r="BX28">
        <v>3</v>
      </c>
      <c r="BY28">
        <v>5</v>
      </c>
      <c r="BZ28">
        <v>1</v>
      </c>
      <c r="CA28">
        <v>6</v>
      </c>
      <c r="CB28">
        <v>1.2</v>
      </c>
      <c r="CC28">
        <v>3</v>
      </c>
      <c r="CD28">
        <v>4</v>
      </c>
      <c r="CE28">
        <v>1</v>
      </c>
      <c r="CF28">
        <v>0</v>
      </c>
      <c r="CG28">
        <v>0</v>
      </c>
      <c r="CH28">
        <v>2</v>
      </c>
      <c r="CI28">
        <v>2</v>
      </c>
      <c r="CJ28">
        <v>2</v>
      </c>
      <c r="CK28">
        <v>4</v>
      </c>
      <c r="CL28">
        <v>3</v>
      </c>
      <c r="CM28">
        <v>5</v>
      </c>
      <c r="CN28">
        <v>6</v>
      </c>
      <c r="CO28">
        <v>1.3</v>
      </c>
      <c r="CP28">
        <v>0.8</v>
      </c>
      <c r="CQ28">
        <v>1.7</v>
      </c>
      <c r="CR28">
        <v>1.5</v>
      </c>
      <c r="CS28">
        <v>9</v>
      </c>
      <c r="CT28">
        <v>10</v>
      </c>
      <c r="CU28">
        <v>3</v>
      </c>
      <c r="CV28">
        <v>2</v>
      </c>
      <c r="CW28">
        <v>2</v>
      </c>
      <c r="CX28">
        <v>0</v>
      </c>
      <c r="CY28">
        <v>4</v>
      </c>
      <c r="CZ28">
        <v>8</v>
      </c>
    </row>
    <row r="29" spans="1:104" x14ac:dyDescent="0.25">
      <c r="A29" s="1" t="s">
        <v>310</v>
      </c>
      <c r="B29">
        <v>139</v>
      </c>
      <c r="C29">
        <v>794</v>
      </c>
      <c r="D29" s="2">
        <v>43757</v>
      </c>
      <c r="E29" s="3">
        <f t="shared" si="0"/>
        <v>2019</v>
      </c>
      <c r="F29" s="3">
        <f t="shared" si="1"/>
        <v>10</v>
      </c>
      <c r="G29" s="3">
        <f t="shared" si="2"/>
        <v>7</v>
      </c>
      <c r="H29" t="s">
        <v>311</v>
      </c>
      <c r="I29">
        <v>358</v>
      </c>
      <c r="J29" t="s">
        <v>312</v>
      </c>
      <c r="K29" t="s">
        <v>264</v>
      </c>
      <c r="L29">
        <v>2019</v>
      </c>
      <c r="M29" t="s">
        <v>313</v>
      </c>
      <c r="N29" t="s">
        <v>314</v>
      </c>
      <c r="O29" t="s">
        <v>315</v>
      </c>
      <c r="P29">
        <v>17728</v>
      </c>
      <c r="Q29" t="s">
        <v>264</v>
      </c>
      <c r="R29">
        <v>1900</v>
      </c>
      <c r="S29" t="s">
        <v>316</v>
      </c>
      <c r="T29" t="s">
        <v>317</v>
      </c>
      <c r="U29">
        <v>17128</v>
      </c>
      <c r="V29" t="s">
        <v>264</v>
      </c>
      <c r="W29">
        <v>1928</v>
      </c>
      <c r="X29" t="s">
        <v>109</v>
      </c>
      <c r="Z29">
        <v>-2.5</v>
      </c>
      <c r="AA29">
        <v>-2.5</v>
      </c>
      <c r="AB29">
        <v>35</v>
      </c>
      <c r="AC29">
        <v>35</v>
      </c>
      <c r="AD29">
        <v>30</v>
      </c>
      <c r="AE29">
        <v>44</v>
      </c>
      <c r="AF29">
        <v>56</v>
      </c>
      <c r="AG29">
        <v>47</v>
      </c>
      <c r="AH29">
        <v>53</v>
      </c>
      <c r="AI29">
        <v>40</v>
      </c>
      <c r="AJ29">
        <v>60</v>
      </c>
      <c r="AK29">
        <v>40</v>
      </c>
      <c r="AL29">
        <v>60</v>
      </c>
      <c r="AM29">
        <v>67</v>
      </c>
      <c r="AN29">
        <v>33</v>
      </c>
      <c r="AO29">
        <v>67</v>
      </c>
      <c r="AP29">
        <v>33</v>
      </c>
      <c r="AQ29">
        <v>53</v>
      </c>
      <c r="AR29">
        <v>89</v>
      </c>
      <c r="AS29">
        <v>33</v>
      </c>
      <c r="AT29">
        <v>67</v>
      </c>
      <c r="AU29">
        <v>100</v>
      </c>
      <c r="AV29">
        <v>56</v>
      </c>
      <c r="AW29">
        <v>8</v>
      </c>
      <c r="AX29">
        <v>1.6</v>
      </c>
      <c r="AY29">
        <v>6</v>
      </c>
      <c r="AZ29">
        <v>1.2</v>
      </c>
      <c r="BA29">
        <v>14</v>
      </c>
      <c r="BB29">
        <v>15</v>
      </c>
      <c r="BC29">
        <v>7</v>
      </c>
      <c r="BD29">
        <v>3</v>
      </c>
      <c r="BE29">
        <v>4</v>
      </c>
      <c r="BF29">
        <v>6</v>
      </c>
      <c r="BG29">
        <v>3</v>
      </c>
      <c r="BH29">
        <v>6</v>
      </c>
      <c r="BI29">
        <v>19</v>
      </c>
      <c r="BJ29">
        <v>13</v>
      </c>
      <c r="BK29">
        <v>11</v>
      </c>
      <c r="BL29">
        <v>17</v>
      </c>
      <c r="BM29">
        <v>1.4</v>
      </c>
      <c r="BN29">
        <v>0.9</v>
      </c>
      <c r="BO29">
        <v>0.8</v>
      </c>
      <c r="BP29">
        <v>1.1000000000000001</v>
      </c>
      <c r="BQ29">
        <v>3</v>
      </c>
      <c r="BR29">
        <v>2</v>
      </c>
      <c r="BS29">
        <v>1</v>
      </c>
      <c r="BT29">
        <v>1</v>
      </c>
      <c r="BU29">
        <v>1</v>
      </c>
      <c r="BV29">
        <v>0</v>
      </c>
      <c r="BW29">
        <v>1</v>
      </c>
      <c r="BX29">
        <v>1</v>
      </c>
      <c r="BY29">
        <v>9</v>
      </c>
      <c r="BZ29">
        <v>1.8</v>
      </c>
      <c r="CA29">
        <v>4</v>
      </c>
      <c r="CB29">
        <v>0.8</v>
      </c>
      <c r="CC29">
        <v>15</v>
      </c>
      <c r="CD29">
        <v>14</v>
      </c>
      <c r="CE29">
        <v>10</v>
      </c>
      <c r="CF29">
        <v>7</v>
      </c>
      <c r="CG29">
        <v>5</v>
      </c>
      <c r="CH29">
        <v>2</v>
      </c>
      <c r="CI29">
        <v>0</v>
      </c>
      <c r="CJ29">
        <v>5</v>
      </c>
      <c r="CK29">
        <v>31</v>
      </c>
      <c r="CL29">
        <v>18</v>
      </c>
      <c r="CM29">
        <v>9</v>
      </c>
      <c r="CN29">
        <v>9</v>
      </c>
      <c r="CO29">
        <v>2.1</v>
      </c>
      <c r="CP29">
        <v>1.3</v>
      </c>
      <c r="CQ29">
        <v>0.6</v>
      </c>
      <c r="CR29">
        <v>0.6</v>
      </c>
      <c r="CS29">
        <v>2</v>
      </c>
      <c r="CT29">
        <v>3</v>
      </c>
      <c r="CU29">
        <v>1</v>
      </c>
      <c r="CV29">
        <v>1</v>
      </c>
      <c r="CW29">
        <v>0</v>
      </c>
      <c r="CX29">
        <v>1</v>
      </c>
      <c r="CY29">
        <v>1</v>
      </c>
      <c r="CZ29">
        <v>1</v>
      </c>
    </row>
    <row r="30" spans="1:104" x14ac:dyDescent="0.25">
      <c r="A30" s="1" t="s">
        <v>318</v>
      </c>
      <c r="B30">
        <v>12248</v>
      </c>
      <c r="C30">
        <v>12245</v>
      </c>
      <c r="D30" s="2">
        <v>43897</v>
      </c>
      <c r="E30" s="3">
        <f t="shared" si="0"/>
        <v>2020</v>
      </c>
      <c r="F30" s="3">
        <f t="shared" si="1"/>
        <v>3</v>
      </c>
      <c r="G30" s="3">
        <f t="shared" si="2"/>
        <v>7</v>
      </c>
      <c r="H30" t="s">
        <v>319</v>
      </c>
      <c r="I30">
        <v>2128</v>
      </c>
      <c r="J30" t="s">
        <v>320</v>
      </c>
      <c r="K30" t="s">
        <v>321</v>
      </c>
      <c r="L30">
        <v>2019</v>
      </c>
      <c r="M30" t="s">
        <v>322</v>
      </c>
      <c r="N30" t="s">
        <v>319</v>
      </c>
      <c r="O30" t="s">
        <v>323</v>
      </c>
      <c r="P30">
        <v>35000</v>
      </c>
      <c r="Q30" t="s">
        <v>321</v>
      </c>
      <c r="R30">
        <v>1954</v>
      </c>
      <c r="S30" t="s">
        <v>324</v>
      </c>
      <c r="T30" t="s">
        <v>325</v>
      </c>
      <c r="U30">
        <v>15000</v>
      </c>
      <c r="V30" t="s">
        <v>321</v>
      </c>
      <c r="X30" t="s">
        <v>109</v>
      </c>
      <c r="Y30">
        <v>-3.5</v>
      </c>
      <c r="Z30">
        <v>-1.5</v>
      </c>
      <c r="AA30">
        <v>-1.5</v>
      </c>
      <c r="AB30">
        <v>45</v>
      </c>
      <c r="AC30">
        <v>45</v>
      </c>
      <c r="AD30">
        <v>10</v>
      </c>
      <c r="AE30">
        <v>38</v>
      </c>
      <c r="AF30">
        <v>62</v>
      </c>
      <c r="AG30">
        <v>55</v>
      </c>
      <c r="AH30">
        <v>45</v>
      </c>
      <c r="AI30">
        <v>30</v>
      </c>
      <c r="AJ30">
        <v>70</v>
      </c>
      <c r="AK30">
        <v>81</v>
      </c>
      <c r="AL30">
        <v>19</v>
      </c>
      <c r="AM30">
        <v>80</v>
      </c>
      <c r="AN30">
        <v>20</v>
      </c>
      <c r="AO30">
        <v>100</v>
      </c>
      <c r="AP30">
        <v>0</v>
      </c>
      <c r="AQ30">
        <v>33</v>
      </c>
      <c r="AR30">
        <v>50</v>
      </c>
      <c r="AS30">
        <v>42</v>
      </c>
      <c r="AT30">
        <v>53</v>
      </c>
      <c r="AU30">
        <v>42</v>
      </c>
      <c r="AV30">
        <v>75</v>
      </c>
      <c r="AW30">
        <v>6</v>
      </c>
      <c r="AX30">
        <v>1.2</v>
      </c>
      <c r="AY30">
        <v>7</v>
      </c>
      <c r="AZ30">
        <v>1.4</v>
      </c>
      <c r="BA30">
        <v>6</v>
      </c>
      <c r="BB30">
        <v>6</v>
      </c>
      <c r="BC30">
        <v>2</v>
      </c>
      <c r="BD30">
        <v>1</v>
      </c>
      <c r="BE30">
        <v>0</v>
      </c>
      <c r="BF30">
        <v>3</v>
      </c>
      <c r="BG30">
        <v>4</v>
      </c>
      <c r="BH30">
        <v>2</v>
      </c>
      <c r="BI30">
        <v>4</v>
      </c>
      <c r="BJ30">
        <v>6</v>
      </c>
      <c r="BK30">
        <v>5</v>
      </c>
      <c r="BL30">
        <v>9</v>
      </c>
      <c r="BM30">
        <v>0.7</v>
      </c>
      <c r="BN30">
        <v>1</v>
      </c>
      <c r="BO30">
        <v>0.8</v>
      </c>
      <c r="BP30">
        <v>1.5</v>
      </c>
      <c r="BQ30">
        <v>2</v>
      </c>
      <c r="BR30">
        <v>1</v>
      </c>
      <c r="BS30">
        <v>2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5</v>
      </c>
      <c r="BZ30">
        <v>1</v>
      </c>
      <c r="CA30">
        <v>3</v>
      </c>
      <c r="CB30">
        <v>0.6</v>
      </c>
      <c r="CC30">
        <v>6</v>
      </c>
      <c r="CD30">
        <v>6</v>
      </c>
      <c r="CE30">
        <v>3</v>
      </c>
      <c r="CF30">
        <v>0</v>
      </c>
      <c r="CG30">
        <v>1</v>
      </c>
      <c r="CH30">
        <v>1</v>
      </c>
      <c r="CI30">
        <v>2</v>
      </c>
      <c r="CJ30">
        <v>5</v>
      </c>
      <c r="CK30">
        <v>9</v>
      </c>
      <c r="CL30">
        <v>1</v>
      </c>
      <c r="CM30">
        <v>8</v>
      </c>
      <c r="CN30">
        <v>8</v>
      </c>
      <c r="CO30">
        <v>1.5</v>
      </c>
      <c r="CP30">
        <v>0.2</v>
      </c>
      <c r="CQ30">
        <v>1.3</v>
      </c>
      <c r="CR30">
        <v>1.3</v>
      </c>
      <c r="CS30">
        <v>1</v>
      </c>
      <c r="CT30">
        <v>2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2</v>
      </c>
    </row>
    <row r="31" spans="1:104" x14ac:dyDescent="0.25">
      <c r="A31" s="1" t="s">
        <v>326</v>
      </c>
      <c r="B31">
        <v>7405</v>
      </c>
      <c r="C31">
        <v>6538</v>
      </c>
      <c r="D31" s="2">
        <v>43723</v>
      </c>
      <c r="E31" s="3">
        <f t="shared" si="0"/>
        <v>2019</v>
      </c>
      <c r="F31" s="3">
        <f t="shared" si="1"/>
        <v>9</v>
      </c>
      <c r="G31" s="3">
        <f t="shared" si="2"/>
        <v>1</v>
      </c>
      <c r="H31" t="s">
        <v>327</v>
      </c>
      <c r="I31">
        <v>1615</v>
      </c>
      <c r="J31" t="s">
        <v>328</v>
      </c>
      <c r="K31" t="s">
        <v>329</v>
      </c>
      <c r="L31">
        <v>2019</v>
      </c>
      <c r="M31" t="s">
        <v>330</v>
      </c>
      <c r="N31" t="s">
        <v>331</v>
      </c>
      <c r="O31" t="s">
        <v>332</v>
      </c>
      <c r="P31">
        <v>2000</v>
      </c>
      <c r="Q31" t="s">
        <v>329</v>
      </c>
      <c r="R31">
        <v>1984</v>
      </c>
      <c r="S31" t="s">
        <v>333</v>
      </c>
      <c r="T31" t="s">
        <v>334</v>
      </c>
      <c r="U31">
        <v>5000</v>
      </c>
      <c r="V31" t="s">
        <v>329</v>
      </c>
      <c r="W31">
        <v>1985</v>
      </c>
      <c r="X31" t="s">
        <v>125</v>
      </c>
      <c r="Y31">
        <v>-3.5</v>
      </c>
      <c r="Z31">
        <v>-1.5</v>
      </c>
      <c r="AA31">
        <v>-2.5</v>
      </c>
      <c r="AB31">
        <v>0</v>
      </c>
      <c r="AC31">
        <v>50</v>
      </c>
      <c r="AD31">
        <v>50</v>
      </c>
      <c r="AE31">
        <v>33</v>
      </c>
      <c r="AF31">
        <v>67</v>
      </c>
      <c r="AG31">
        <v>25</v>
      </c>
      <c r="AH31">
        <v>75</v>
      </c>
      <c r="AI31">
        <v>33</v>
      </c>
      <c r="AJ31">
        <v>67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50</v>
      </c>
      <c r="AR31">
        <v>7</v>
      </c>
      <c r="AS31">
        <v>87</v>
      </c>
      <c r="AT31">
        <v>100</v>
      </c>
      <c r="AU31">
        <v>20</v>
      </c>
      <c r="AV31">
        <v>93</v>
      </c>
      <c r="AW31">
        <v>1</v>
      </c>
      <c r="AX31">
        <v>0.5</v>
      </c>
      <c r="AY31">
        <v>2</v>
      </c>
      <c r="AZ31">
        <v>1</v>
      </c>
      <c r="BA31">
        <v>1</v>
      </c>
      <c r="BB31">
        <v>1</v>
      </c>
      <c r="BC31">
        <v>0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1</v>
      </c>
      <c r="BK31">
        <v>2</v>
      </c>
      <c r="BL31">
        <v>0</v>
      </c>
      <c r="BM31">
        <v>0</v>
      </c>
      <c r="BN31">
        <v>1</v>
      </c>
      <c r="BO31">
        <v>2</v>
      </c>
      <c r="BP31">
        <v>0</v>
      </c>
      <c r="BQ31">
        <v>1</v>
      </c>
      <c r="BR31">
        <v>1</v>
      </c>
      <c r="BS31">
        <v>0</v>
      </c>
      <c r="BT31">
        <v>0</v>
      </c>
      <c r="BU31">
        <v>0</v>
      </c>
      <c r="BV31">
        <v>1</v>
      </c>
      <c r="BW31">
        <v>1</v>
      </c>
      <c r="BX31">
        <v>0</v>
      </c>
      <c r="BY31">
        <v>3</v>
      </c>
      <c r="BZ31">
        <v>1.5</v>
      </c>
      <c r="CA31">
        <v>1</v>
      </c>
      <c r="CB31">
        <v>0.5</v>
      </c>
      <c r="CC31">
        <v>1</v>
      </c>
      <c r="CD31">
        <v>1</v>
      </c>
      <c r="CE31">
        <v>1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2</v>
      </c>
      <c r="CM31">
        <v>0</v>
      </c>
      <c r="CN31">
        <v>1</v>
      </c>
      <c r="CO31">
        <v>1</v>
      </c>
      <c r="CP31">
        <v>2</v>
      </c>
      <c r="CQ31">
        <v>0</v>
      </c>
      <c r="CR31">
        <v>1</v>
      </c>
      <c r="CS31">
        <v>1</v>
      </c>
      <c r="CT31">
        <v>1</v>
      </c>
      <c r="CU31">
        <v>0</v>
      </c>
      <c r="CV31">
        <v>1</v>
      </c>
      <c r="CW31">
        <v>1</v>
      </c>
      <c r="CX31">
        <v>0</v>
      </c>
      <c r="CY31">
        <v>0</v>
      </c>
      <c r="CZ31">
        <v>0</v>
      </c>
    </row>
    <row r="32" spans="1:104" x14ac:dyDescent="0.25">
      <c r="A32" s="1" t="s">
        <v>335</v>
      </c>
      <c r="B32">
        <v>10681</v>
      </c>
      <c r="C32">
        <v>9474</v>
      </c>
      <c r="D32" s="2">
        <v>43877</v>
      </c>
      <c r="E32" s="3">
        <f t="shared" si="0"/>
        <v>2020</v>
      </c>
      <c r="F32" s="3">
        <f t="shared" si="1"/>
        <v>2</v>
      </c>
      <c r="G32" s="3">
        <f t="shared" si="2"/>
        <v>1</v>
      </c>
      <c r="H32" t="s">
        <v>336</v>
      </c>
      <c r="I32">
        <v>1255</v>
      </c>
      <c r="J32" t="s">
        <v>337</v>
      </c>
      <c r="K32" t="s">
        <v>338</v>
      </c>
      <c r="L32">
        <v>2019</v>
      </c>
      <c r="M32" t="s">
        <v>339</v>
      </c>
      <c r="Q32" t="s">
        <v>338</v>
      </c>
      <c r="S32" t="s">
        <v>340</v>
      </c>
      <c r="T32" t="s">
        <v>341</v>
      </c>
      <c r="U32">
        <v>1900</v>
      </c>
      <c r="V32" t="s">
        <v>338</v>
      </c>
      <c r="X32" t="s">
        <v>109</v>
      </c>
      <c r="Z32">
        <v>-1.5</v>
      </c>
      <c r="AA32">
        <v>-1.5</v>
      </c>
      <c r="AB32">
        <v>35</v>
      </c>
      <c r="AC32">
        <v>35</v>
      </c>
      <c r="AD32">
        <v>30</v>
      </c>
      <c r="AE32">
        <v>50</v>
      </c>
      <c r="AF32">
        <v>50</v>
      </c>
      <c r="AG32">
        <v>29</v>
      </c>
      <c r="AH32">
        <v>71</v>
      </c>
      <c r="AI32">
        <v>65</v>
      </c>
      <c r="AJ32">
        <v>35</v>
      </c>
      <c r="AK32">
        <v>0</v>
      </c>
      <c r="AL32">
        <v>0</v>
      </c>
      <c r="AM32">
        <v>50</v>
      </c>
      <c r="AN32">
        <v>50</v>
      </c>
      <c r="AO32">
        <v>0</v>
      </c>
      <c r="AP32">
        <v>0</v>
      </c>
      <c r="AQ32">
        <v>13</v>
      </c>
      <c r="AR32">
        <v>17</v>
      </c>
      <c r="AS32">
        <v>50</v>
      </c>
      <c r="AT32">
        <v>13</v>
      </c>
      <c r="AU32">
        <v>42</v>
      </c>
      <c r="AV32">
        <v>8</v>
      </c>
      <c r="AW32">
        <v>2</v>
      </c>
      <c r="AX32">
        <v>0.4</v>
      </c>
      <c r="AY32">
        <v>6</v>
      </c>
      <c r="AZ32">
        <v>1.2</v>
      </c>
      <c r="BA32">
        <v>13</v>
      </c>
      <c r="BB32">
        <v>13</v>
      </c>
      <c r="BC32">
        <v>2</v>
      </c>
      <c r="BD32">
        <v>0</v>
      </c>
      <c r="BE32">
        <v>5</v>
      </c>
      <c r="BF32">
        <v>6</v>
      </c>
      <c r="BG32">
        <v>6</v>
      </c>
      <c r="BH32">
        <v>7</v>
      </c>
      <c r="BI32">
        <v>13</v>
      </c>
      <c r="BJ32">
        <v>12</v>
      </c>
      <c r="BK32">
        <v>17</v>
      </c>
      <c r="BL32">
        <v>25</v>
      </c>
      <c r="BM32">
        <v>1</v>
      </c>
      <c r="BN32">
        <v>0.9</v>
      </c>
      <c r="BO32">
        <v>1.3</v>
      </c>
      <c r="BP32">
        <v>1.9</v>
      </c>
      <c r="BQ32">
        <v>1</v>
      </c>
      <c r="BR32">
        <v>1</v>
      </c>
      <c r="BS32">
        <v>0</v>
      </c>
      <c r="BT32">
        <v>0</v>
      </c>
      <c r="BU32">
        <v>0</v>
      </c>
      <c r="BV32">
        <v>1</v>
      </c>
      <c r="BW32">
        <v>1</v>
      </c>
      <c r="BX32">
        <v>0</v>
      </c>
      <c r="BY32">
        <v>5</v>
      </c>
      <c r="BZ32">
        <v>1</v>
      </c>
      <c r="CA32">
        <v>11</v>
      </c>
      <c r="CB32">
        <v>2.2000000000000002</v>
      </c>
      <c r="CC32">
        <v>14</v>
      </c>
      <c r="CD32">
        <v>12</v>
      </c>
      <c r="CE32">
        <v>1</v>
      </c>
      <c r="CF32">
        <v>4</v>
      </c>
      <c r="CG32">
        <v>6</v>
      </c>
      <c r="CH32">
        <v>6</v>
      </c>
      <c r="CI32">
        <v>7</v>
      </c>
      <c r="CJ32">
        <v>2</v>
      </c>
      <c r="CK32">
        <v>11</v>
      </c>
      <c r="CL32">
        <v>14</v>
      </c>
      <c r="CM32">
        <v>23</v>
      </c>
      <c r="CN32">
        <v>12</v>
      </c>
      <c r="CO32">
        <v>0.8</v>
      </c>
      <c r="CP32">
        <v>1.2</v>
      </c>
      <c r="CQ32">
        <v>1.6</v>
      </c>
      <c r="CR32">
        <v>1</v>
      </c>
      <c r="CS32">
        <v>1</v>
      </c>
      <c r="CT32">
        <v>1</v>
      </c>
      <c r="CU32">
        <v>0</v>
      </c>
      <c r="CV32">
        <v>1</v>
      </c>
      <c r="CW32">
        <v>1</v>
      </c>
      <c r="CX32">
        <v>0</v>
      </c>
      <c r="CY32">
        <v>0</v>
      </c>
      <c r="CZ32">
        <v>0</v>
      </c>
    </row>
    <row r="33" spans="1:104" x14ac:dyDescent="0.25">
      <c r="A33" s="1" t="s">
        <v>342</v>
      </c>
      <c r="B33">
        <v>457</v>
      </c>
      <c r="C33">
        <v>439</v>
      </c>
      <c r="D33" s="2">
        <v>43899</v>
      </c>
      <c r="E33" s="3">
        <f t="shared" si="0"/>
        <v>2020</v>
      </c>
      <c r="F33" s="3">
        <f t="shared" si="1"/>
        <v>3</v>
      </c>
      <c r="G33" s="3">
        <f t="shared" si="2"/>
        <v>2</v>
      </c>
      <c r="H33" t="s">
        <v>343</v>
      </c>
      <c r="I33">
        <v>780</v>
      </c>
      <c r="J33" t="s">
        <v>344</v>
      </c>
      <c r="K33" t="s">
        <v>345</v>
      </c>
      <c r="L33">
        <v>2019</v>
      </c>
      <c r="M33" t="s">
        <v>346</v>
      </c>
      <c r="N33" t="s">
        <v>347</v>
      </c>
      <c r="O33" t="s">
        <v>348</v>
      </c>
      <c r="P33">
        <v>42000</v>
      </c>
      <c r="Q33" t="s">
        <v>345</v>
      </c>
      <c r="R33">
        <v>1903</v>
      </c>
      <c r="S33" t="s">
        <v>349</v>
      </c>
      <c r="T33" t="s">
        <v>350</v>
      </c>
      <c r="U33">
        <v>40268</v>
      </c>
      <c r="V33" t="s">
        <v>345</v>
      </c>
      <c r="W33">
        <v>1921</v>
      </c>
      <c r="X33">
        <v>1</v>
      </c>
      <c r="Z33">
        <v>-3.5</v>
      </c>
      <c r="AA33">
        <v>-1.5</v>
      </c>
      <c r="AB33">
        <v>45</v>
      </c>
      <c r="AC33">
        <v>45</v>
      </c>
      <c r="AD33">
        <v>10</v>
      </c>
      <c r="AE33">
        <v>60</v>
      </c>
      <c r="AF33">
        <v>40</v>
      </c>
      <c r="AG33">
        <v>64</v>
      </c>
      <c r="AH33">
        <v>36</v>
      </c>
      <c r="AI33">
        <v>82</v>
      </c>
      <c r="AJ33">
        <v>18</v>
      </c>
      <c r="AK33">
        <v>83</v>
      </c>
      <c r="AL33">
        <v>17</v>
      </c>
      <c r="AM33">
        <v>29</v>
      </c>
      <c r="AN33">
        <v>71</v>
      </c>
      <c r="AO33">
        <v>40</v>
      </c>
      <c r="AP33">
        <v>60</v>
      </c>
      <c r="AQ33">
        <v>60</v>
      </c>
      <c r="AR33">
        <v>44</v>
      </c>
      <c r="AS33">
        <v>88</v>
      </c>
      <c r="AT33">
        <v>40</v>
      </c>
      <c r="AU33">
        <v>25</v>
      </c>
      <c r="AV33">
        <v>44</v>
      </c>
      <c r="AW33">
        <v>7</v>
      </c>
      <c r="AX33">
        <v>1.4</v>
      </c>
      <c r="AY33">
        <v>2</v>
      </c>
      <c r="AZ33">
        <v>0.4</v>
      </c>
      <c r="BA33">
        <v>11</v>
      </c>
      <c r="BB33">
        <v>11</v>
      </c>
      <c r="BC33">
        <v>7</v>
      </c>
      <c r="BD33">
        <v>2</v>
      </c>
      <c r="BE33">
        <v>2</v>
      </c>
      <c r="BF33">
        <v>6</v>
      </c>
      <c r="BG33">
        <v>2</v>
      </c>
      <c r="BH33">
        <v>3</v>
      </c>
      <c r="BI33">
        <v>19</v>
      </c>
      <c r="BJ33">
        <v>14</v>
      </c>
      <c r="BK33">
        <v>8</v>
      </c>
      <c r="BL33">
        <v>15</v>
      </c>
      <c r="BM33">
        <v>1.7</v>
      </c>
      <c r="BN33">
        <v>1.3</v>
      </c>
      <c r="BO33">
        <v>0.7</v>
      </c>
      <c r="BP33">
        <v>1.4</v>
      </c>
      <c r="BQ33">
        <v>5</v>
      </c>
      <c r="BR33">
        <v>1</v>
      </c>
      <c r="BS33">
        <v>1</v>
      </c>
      <c r="BT33">
        <v>0</v>
      </c>
      <c r="BU33">
        <v>1</v>
      </c>
      <c r="BV33">
        <v>0</v>
      </c>
      <c r="BW33">
        <v>3</v>
      </c>
      <c r="BX33">
        <v>1</v>
      </c>
      <c r="BY33">
        <v>4</v>
      </c>
      <c r="BZ33">
        <v>0.8</v>
      </c>
      <c r="CA33">
        <v>9</v>
      </c>
      <c r="CB33">
        <v>1.8</v>
      </c>
      <c r="CC33">
        <v>11</v>
      </c>
      <c r="CD33">
        <v>11</v>
      </c>
      <c r="CE33">
        <v>3</v>
      </c>
      <c r="CF33">
        <v>2</v>
      </c>
      <c r="CG33">
        <v>0</v>
      </c>
      <c r="CH33">
        <v>0</v>
      </c>
      <c r="CI33">
        <v>8</v>
      </c>
      <c r="CJ33">
        <v>9</v>
      </c>
      <c r="CK33">
        <v>11</v>
      </c>
      <c r="CL33">
        <v>9</v>
      </c>
      <c r="CM33">
        <v>24</v>
      </c>
      <c r="CN33">
        <v>22</v>
      </c>
      <c r="CO33">
        <v>1</v>
      </c>
      <c r="CP33">
        <v>0.8</v>
      </c>
      <c r="CQ33">
        <v>2.2000000000000002</v>
      </c>
      <c r="CR33">
        <v>2</v>
      </c>
      <c r="CS33">
        <v>1</v>
      </c>
      <c r="CT33">
        <v>5</v>
      </c>
      <c r="CU33">
        <v>1</v>
      </c>
      <c r="CV33">
        <v>3</v>
      </c>
      <c r="CW33">
        <v>0</v>
      </c>
      <c r="CX33">
        <v>1</v>
      </c>
      <c r="CY33">
        <v>0</v>
      </c>
      <c r="CZ33">
        <v>1</v>
      </c>
    </row>
    <row r="34" spans="1:104" x14ac:dyDescent="0.25">
      <c r="A34" s="1" t="s">
        <v>351</v>
      </c>
      <c r="B34">
        <v>2321</v>
      </c>
      <c r="C34">
        <v>2323</v>
      </c>
      <c r="D34" s="2">
        <v>43722</v>
      </c>
      <c r="E34" s="3">
        <f t="shared" si="0"/>
        <v>2019</v>
      </c>
      <c r="F34" s="3">
        <f t="shared" si="1"/>
        <v>9</v>
      </c>
      <c r="G34" s="3">
        <f t="shared" si="2"/>
        <v>7</v>
      </c>
      <c r="H34" t="s">
        <v>352</v>
      </c>
      <c r="I34">
        <v>303</v>
      </c>
      <c r="J34" t="s">
        <v>344</v>
      </c>
      <c r="K34" t="s">
        <v>353</v>
      </c>
      <c r="L34">
        <v>2019</v>
      </c>
      <c r="M34" t="s">
        <v>354</v>
      </c>
      <c r="N34" t="s">
        <v>355</v>
      </c>
      <c r="O34" t="s">
        <v>356</v>
      </c>
      <c r="P34">
        <v>28500</v>
      </c>
      <c r="Q34" t="s">
        <v>353</v>
      </c>
      <c r="R34">
        <v>1897</v>
      </c>
      <c r="S34" t="s">
        <v>357</v>
      </c>
      <c r="T34" t="s">
        <v>356</v>
      </c>
      <c r="U34">
        <v>48665</v>
      </c>
      <c r="V34" t="s">
        <v>353</v>
      </c>
      <c r="W34">
        <v>1927</v>
      </c>
      <c r="X34" t="s">
        <v>125</v>
      </c>
      <c r="Z34">
        <v>-1.5</v>
      </c>
      <c r="AA34">
        <v>-2.5</v>
      </c>
      <c r="AB34">
        <v>10</v>
      </c>
      <c r="AC34">
        <v>45</v>
      </c>
      <c r="AD34">
        <v>45</v>
      </c>
      <c r="AE34">
        <v>13</v>
      </c>
      <c r="AF34">
        <v>88</v>
      </c>
      <c r="AG34">
        <v>38</v>
      </c>
      <c r="AH34">
        <v>63</v>
      </c>
      <c r="AI34">
        <v>36</v>
      </c>
      <c r="AJ34">
        <v>64</v>
      </c>
      <c r="AK34">
        <v>43</v>
      </c>
      <c r="AL34">
        <v>57</v>
      </c>
      <c r="AM34">
        <v>67</v>
      </c>
      <c r="AN34">
        <v>33</v>
      </c>
      <c r="AO34">
        <v>45</v>
      </c>
      <c r="AP34">
        <v>55</v>
      </c>
      <c r="AQ34">
        <v>7</v>
      </c>
      <c r="AR34">
        <v>23</v>
      </c>
      <c r="AS34">
        <v>46</v>
      </c>
      <c r="AT34">
        <v>47</v>
      </c>
      <c r="AU34">
        <v>38</v>
      </c>
      <c r="AV34">
        <v>69</v>
      </c>
      <c r="AW34">
        <v>3</v>
      </c>
      <c r="AX34">
        <v>0.6</v>
      </c>
      <c r="AY34">
        <v>7</v>
      </c>
      <c r="AZ34">
        <v>1.4</v>
      </c>
      <c r="BA34">
        <v>10</v>
      </c>
      <c r="BB34">
        <v>10</v>
      </c>
      <c r="BC34">
        <v>4</v>
      </c>
      <c r="BD34">
        <v>4</v>
      </c>
      <c r="BE34">
        <v>1</v>
      </c>
      <c r="BF34">
        <v>1</v>
      </c>
      <c r="BG34">
        <v>5</v>
      </c>
      <c r="BH34">
        <v>5</v>
      </c>
      <c r="BI34">
        <v>9</v>
      </c>
      <c r="BJ34">
        <v>12</v>
      </c>
      <c r="BK34">
        <v>16</v>
      </c>
      <c r="BL34">
        <v>13</v>
      </c>
      <c r="BM34">
        <v>0.9</v>
      </c>
      <c r="BN34">
        <v>1.2</v>
      </c>
      <c r="BO34">
        <v>1.6</v>
      </c>
      <c r="BP34">
        <v>1.3</v>
      </c>
      <c r="BQ34">
        <v>2</v>
      </c>
      <c r="BR34">
        <v>3</v>
      </c>
      <c r="BS34">
        <v>0</v>
      </c>
      <c r="BT34">
        <v>2</v>
      </c>
      <c r="BU34">
        <v>1</v>
      </c>
      <c r="BV34">
        <v>0</v>
      </c>
      <c r="BW34">
        <v>1</v>
      </c>
      <c r="BX34">
        <v>1</v>
      </c>
      <c r="BY34">
        <v>5</v>
      </c>
      <c r="BZ34">
        <v>1</v>
      </c>
      <c r="CA34">
        <v>4</v>
      </c>
      <c r="CB34">
        <v>0.8</v>
      </c>
      <c r="CC34">
        <v>10</v>
      </c>
      <c r="CD34">
        <v>10</v>
      </c>
      <c r="CE34">
        <v>2</v>
      </c>
      <c r="CF34">
        <v>1</v>
      </c>
      <c r="CG34">
        <v>7</v>
      </c>
      <c r="CH34">
        <v>4</v>
      </c>
      <c r="CI34">
        <v>1</v>
      </c>
      <c r="CJ34">
        <v>5</v>
      </c>
      <c r="CK34">
        <v>14</v>
      </c>
      <c r="CL34">
        <v>11</v>
      </c>
      <c r="CM34">
        <v>11</v>
      </c>
      <c r="CN34">
        <v>19</v>
      </c>
      <c r="CO34">
        <v>1.4</v>
      </c>
      <c r="CP34">
        <v>1.1000000000000001</v>
      </c>
      <c r="CQ34">
        <v>1.1000000000000001</v>
      </c>
      <c r="CR34">
        <v>1.9</v>
      </c>
      <c r="CS34">
        <v>3</v>
      </c>
      <c r="CT34">
        <v>2</v>
      </c>
      <c r="CU34">
        <v>1</v>
      </c>
      <c r="CV34">
        <v>1</v>
      </c>
      <c r="CW34">
        <v>0</v>
      </c>
      <c r="CX34">
        <v>1</v>
      </c>
      <c r="CY34">
        <v>2</v>
      </c>
      <c r="CZ34">
        <v>0</v>
      </c>
    </row>
    <row r="35" spans="1:104" x14ac:dyDescent="0.25">
      <c r="A35" s="1" t="s">
        <v>358</v>
      </c>
      <c r="B35">
        <v>5375</v>
      </c>
      <c r="C35">
        <v>5381</v>
      </c>
      <c r="D35" s="2">
        <v>43765</v>
      </c>
      <c r="E35" s="3">
        <f t="shared" si="0"/>
        <v>2019</v>
      </c>
      <c r="F35" s="3">
        <f t="shared" si="1"/>
        <v>10</v>
      </c>
      <c r="G35" s="3">
        <f t="shared" si="2"/>
        <v>1</v>
      </c>
      <c r="H35" t="s">
        <v>359</v>
      </c>
      <c r="I35">
        <v>816</v>
      </c>
      <c r="J35" t="s">
        <v>360</v>
      </c>
      <c r="K35" t="s">
        <v>361</v>
      </c>
      <c r="L35">
        <v>2019</v>
      </c>
      <c r="M35" t="s">
        <v>362</v>
      </c>
      <c r="N35" t="s">
        <v>359</v>
      </c>
      <c r="O35" t="s">
        <v>363</v>
      </c>
      <c r="P35">
        <v>2000</v>
      </c>
      <c r="Q35" t="s">
        <v>361</v>
      </c>
      <c r="R35">
        <v>1997</v>
      </c>
      <c r="V35" t="s">
        <v>361</v>
      </c>
      <c r="X35" t="s">
        <v>109</v>
      </c>
      <c r="Z35">
        <v>-2.5</v>
      </c>
      <c r="AA35">
        <v>-2.5</v>
      </c>
      <c r="AB35">
        <v>45</v>
      </c>
      <c r="AC35">
        <v>45</v>
      </c>
      <c r="AD35">
        <v>10</v>
      </c>
      <c r="AE35">
        <v>65</v>
      </c>
      <c r="AF35">
        <v>35</v>
      </c>
      <c r="AG35">
        <v>55</v>
      </c>
      <c r="AH35">
        <v>45</v>
      </c>
      <c r="AI35">
        <v>79</v>
      </c>
      <c r="AJ35">
        <v>21</v>
      </c>
      <c r="AK35">
        <v>84</v>
      </c>
      <c r="AL35">
        <v>16</v>
      </c>
      <c r="AM35">
        <v>50</v>
      </c>
      <c r="AN35">
        <v>50</v>
      </c>
      <c r="AO35">
        <v>0</v>
      </c>
      <c r="AP35">
        <v>0</v>
      </c>
      <c r="AQ35">
        <v>87</v>
      </c>
      <c r="AR35">
        <v>73</v>
      </c>
      <c r="AS35">
        <v>80</v>
      </c>
      <c r="AT35">
        <v>47</v>
      </c>
      <c r="AU35">
        <v>60</v>
      </c>
      <c r="AV35">
        <v>27</v>
      </c>
      <c r="AW35">
        <v>11</v>
      </c>
      <c r="AX35">
        <v>2.2000000000000002</v>
      </c>
      <c r="AY35">
        <v>3</v>
      </c>
      <c r="AZ35">
        <v>0.6</v>
      </c>
      <c r="BA35">
        <v>12</v>
      </c>
      <c r="BB35">
        <v>13</v>
      </c>
      <c r="BC35">
        <v>11</v>
      </c>
      <c r="BD35">
        <v>9</v>
      </c>
      <c r="BE35">
        <v>0</v>
      </c>
      <c r="BF35">
        <v>3</v>
      </c>
      <c r="BG35">
        <v>1</v>
      </c>
      <c r="BH35">
        <v>1</v>
      </c>
      <c r="BI35">
        <v>34</v>
      </c>
      <c r="BJ35">
        <v>28</v>
      </c>
      <c r="BK35">
        <v>5</v>
      </c>
      <c r="BL35">
        <v>7</v>
      </c>
      <c r="BM35">
        <v>2.8</v>
      </c>
      <c r="BN35">
        <v>2.2000000000000002</v>
      </c>
      <c r="BO35">
        <v>0.4</v>
      </c>
      <c r="BP35">
        <v>0.5</v>
      </c>
      <c r="BQ35">
        <v>1</v>
      </c>
      <c r="BR35">
        <v>1</v>
      </c>
      <c r="BS35">
        <v>1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9</v>
      </c>
      <c r="BZ35">
        <v>1.8</v>
      </c>
      <c r="CA35">
        <v>11</v>
      </c>
      <c r="CB35">
        <v>2.2000000000000002</v>
      </c>
      <c r="CC35">
        <v>13</v>
      </c>
      <c r="CD35">
        <v>12</v>
      </c>
      <c r="CE35">
        <v>7</v>
      </c>
      <c r="CF35">
        <v>5</v>
      </c>
      <c r="CG35">
        <v>2</v>
      </c>
      <c r="CH35">
        <v>2</v>
      </c>
      <c r="CI35">
        <v>4</v>
      </c>
      <c r="CJ35">
        <v>5</v>
      </c>
      <c r="CK35">
        <v>24</v>
      </c>
      <c r="CL35">
        <v>17</v>
      </c>
      <c r="CM35">
        <v>13</v>
      </c>
      <c r="CN35">
        <v>16</v>
      </c>
      <c r="CO35">
        <v>1.8</v>
      </c>
      <c r="CP35">
        <v>1.4</v>
      </c>
      <c r="CQ35">
        <v>1</v>
      </c>
      <c r="CR35">
        <v>1.3</v>
      </c>
      <c r="CS35">
        <v>1</v>
      </c>
      <c r="CT35">
        <v>1</v>
      </c>
      <c r="CU35">
        <v>0</v>
      </c>
      <c r="CV35">
        <v>0</v>
      </c>
      <c r="CW35">
        <v>1</v>
      </c>
      <c r="CX35">
        <v>0</v>
      </c>
      <c r="CY35">
        <v>0</v>
      </c>
      <c r="CZ35">
        <v>1</v>
      </c>
    </row>
    <row r="36" spans="1:104" x14ac:dyDescent="0.25">
      <c r="A36" s="1" t="s">
        <v>364</v>
      </c>
      <c r="B36">
        <v>7360</v>
      </c>
      <c r="C36">
        <v>7299</v>
      </c>
      <c r="D36" s="2">
        <v>43764</v>
      </c>
      <c r="E36" s="3">
        <f t="shared" si="0"/>
        <v>2019</v>
      </c>
      <c r="F36" s="3">
        <f t="shared" si="1"/>
        <v>10</v>
      </c>
      <c r="G36" s="3">
        <f t="shared" si="2"/>
        <v>7</v>
      </c>
      <c r="H36" t="s">
        <v>365</v>
      </c>
      <c r="I36">
        <v>1156</v>
      </c>
      <c r="J36" t="s">
        <v>366</v>
      </c>
      <c r="K36" t="s">
        <v>121</v>
      </c>
      <c r="L36">
        <v>2019</v>
      </c>
      <c r="M36" t="s">
        <v>272</v>
      </c>
      <c r="Q36" t="s">
        <v>121</v>
      </c>
      <c r="S36" t="s">
        <v>367</v>
      </c>
      <c r="T36" t="s">
        <v>368</v>
      </c>
      <c r="U36">
        <v>2500</v>
      </c>
      <c r="V36" t="s">
        <v>121</v>
      </c>
      <c r="X36" t="s">
        <v>109</v>
      </c>
      <c r="Z36">
        <v>-2.5</v>
      </c>
      <c r="AA36">
        <v>-1.5</v>
      </c>
      <c r="AB36">
        <v>45</v>
      </c>
      <c r="AC36">
        <v>45</v>
      </c>
      <c r="AD36">
        <v>10</v>
      </c>
      <c r="AE36">
        <v>50</v>
      </c>
      <c r="AF36">
        <v>50</v>
      </c>
      <c r="AG36">
        <v>50</v>
      </c>
      <c r="AH36">
        <v>50</v>
      </c>
      <c r="AI36">
        <v>63</v>
      </c>
      <c r="AJ36">
        <v>38</v>
      </c>
      <c r="AK36">
        <v>89</v>
      </c>
      <c r="AL36">
        <v>11</v>
      </c>
      <c r="AM36">
        <v>0</v>
      </c>
      <c r="AN36">
        <v>0</v>
      </c>
      <c r="AO36">
        <v>0</v>
      </c>
      <c r="AP36">
        <v>0</v>
      </c>
      <c r="AQ36">
        <v>53</v>
      </c>
      <c r="AR36">
        <v>56</v>
      </c>
      <c r="AS36">
        <v>67</v>
      </c>
      <c r="AT36">
        <v>53</v>
      </c>
      <c r="AU36">
        <v>56</v>
      </c>
      <c r="AV36">
        <v>44</v>
      </c>
      <c r="AW36">
        <v>5</v>
      </c>
      <c r="AX36">
        <v>1</v>
      </c>
      <c r="AY36">
        <v>3</v>
      </c>
      <c r="AZ36">
        <v>0.6</v>
      </c>
      <c r="BA36">
        <v>6</v>
      </c>
      <c r="BB36">
        <v>5</v>
      </c>
      <c r="BC36">
        <v>3</v>
      </c>
      <c r="BD36">
        <v>3</v>
      </c>
      <c r="BE36">
        <v>2</v>
      </c>
      <c r="BF36">
        <v>0</v>
      </c>
      <c r="BG36">
        <v>1</v>
      </c>
      <c r="BH36">
        <v>2</v>
      </c>
      <c r="BI36">
        <v>12</v>
      </c>
      <c r="BJ36">
        <v>11</v>
      </c>
      <c r="BK36">
        <v>4</v>
      </c>
      <c r="BL36">
        <v>5</v>
      </c>
      <c r="BM36">
        <v>2</v>
      </c>
      <c r="BN36">
        <v>2.2000000000000002</v>
      </c>
      <c r="BO36">
        <v>0.7</v>
      </c>
      <c r="BP36">
        <v>1</v>
      </c>
      <c r="BQ36">
        <v>1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5</v>
      </c>
      <c r="BZ36">
        <v>1</v>
      </c>
      <c r="CA36">
        <v>5</v>
      </c>
      <c r="CB36">
        <v>1</v>
      </c>
      <c r="CC36">
        <v>6</v>
      </c>
      <c r="CD36">
        <v>5</v>
      </c>
      <c r="CE36">
        <v>3</v>
      </c>
      <c r="CF36">
        <v>0</v>
      </c>
      <c r="CG36">
        <v>2</v>
      </c>
      <c r="CH36">
        <v>1</v>
      </c>
      <c r="CI36">
        <v>1</v>
      </c>
      <c r="CJ36">
        <v>4</v>
      </c>
      <c r="CK36">
        <v>9</v>
      </c>
      <c r="CL36">
        <v>3</v>
      </c>
      <c r="CM36">
        <v>6</v>
      </c>
      <c r="CN36">
        <v>14</v>
      </c>
      <c r="CO36">
        <v>1.5</v>
      </c>
      <c r="CP36">
        <v>0.6</v>
      </c>
      <c r="CQ36">
        <v>1</v>
      </c>
      <c r="CR36">
        <v>2.8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</row>
    <row r="37" spans="1:104" x14ac:dyDescent="0.25">
      <c r="A37" s="1" t="s">
        <v>369</v>
      </c>
      <c r="B37">
        <v>2625</v>
      </c>
      <c r="C37">
        <v>834</v>
      </c>
      <c r="D37" s="2">
        <v>43758</v>
      </c>
      <c r="E37" s="3">
        <f t="shared" si="0"/>
        <v>2019</v>
      </c>
      <c r="F37" s="3">
        <f t="shared" si="1"/>
        <v>10</v>
      </c>
      <c r="G37" s="3">
        <f t="shared" si="2"/>
        <v>1</v>
      </c>
      <c r="H37" t="s">
        <v>370</v>
      </c>
      <c r="I37">
        <v>360</v>
      </c>
      <c r="J37" t="s">
        <v>371</v>
      </c>
      <c r="K37" t="s">
        <v>372</v>
      </c>
      <c r="L37">
        <v>2019</v>
      </c>
      <c r="M37" t="s">
        <v>373</v>
      </c>
      <c r="N37" t="s">
        <v>370</v>
      </c>
      <c r="O37" t="s">
        <v>374</v>
      </c>
      <c r="P37">
        <v>32000</v>
      </c>
      <c r="Q37" t="s">
        <v>372</v>
      </c>
      <c r="R37">
        <v>2016</v>
      </c>
      <c r="S37" t="s">
        <v>375</v>
      </c>
      <c r="T37" t="s">
        <v>376</v>
      </c>
      <c r="U37">
        <v>38500</v>
      </c>
      <c r="V37" t="s">
        <v>372</v>
      </c>
      <c r="W37">
        <v>1996</v>
      </c>
      <c r="X37" t="s">
        <v>125</v>
      </c>
      <c r="Z37">
        <v>-2.5</v>
      </c>
      <c r="AA37">
        <v>-2.5</v>
      </c>
      <c r="AB37">
        <v>10</v>
      </c>
      <c r="AC37">
        <v>45</v>
      </c>
      <c r="AD37">
        <v>45</v>
      </c>
      <c r="AE37">
        <v>56</v>
      </c>
      <c r="AF37">
        <v>44</v>
      </c>
      <c r="AG37">
        <v>36</v>
      </c>
      <c r="AH37">
        <v>64</v>
      </c>
      <c r="AI37">
        <v>58</v>
      </c>
      <c r="AJ37">
        <v>42</v>
      </c>
      <c r="AK37">
        <v>45</v>
      </c>
      <c r="AL37">
        <v>55</v>
      </c>
      <c r="AM37">
        <v>0</v>
      </c>
      <c r="AN37">
        <v>100</v>
      </c>
      <c r="AO37">
        <v>40</v>
      </c>
      <c r="AP37">
        <v>60</v>
      </c>
      <c r="AQ37">
        <v>60</v>
      </c>
      <c r="AR37">
        <v>20</v>
      </c>
      <c r="AS37">
        <v>75</v>
      </c>
      <c r="AT37">
        <v>47</v>
      </c>
      <c r="AU37">
        <v>35</v>
      </c>
      <c r="AV37">
        <v>65</v>
      </c>
      <c r="AW37">
        <v>4</v>
      </c>
      <c r="AX37">
        <v>0.8</v>
      </c>
      <c r="AY37">
        <v>5</v>
      </c>
      <c r="AZ37">
        <v>1</v>
      </c>
      <c r="BA37">
        <v>13</v>
      </c>
      <c r="BB37">
        <v>14</v>
      </c>
      <c r="BC37">
        <v>7</v>
      </c>
      <c r="BD37">
        <v>5</v>
      </c>
      <c r="BE37">
        <v>1</v>
      </c>
      <c r="BF37">
        <v>3</v>
      </c>
      <c r="BG37">
        <v>5</v>
      </c>
      <c r="BH37">
        <v>6</v>
      </c>
      <c r="BI37">
        <v>19</v>
      </c>
      <c r="BJ37">
        <v>12</v>
      </c>
      <c r="BK37">
        <v>13</v>
      </c>
      <c r="BL37">
        <v>18</v>
      </c>
      <c r="BM37">
        <v>1.5</v>
      </c>
      <c r="BN37">
        <v>0.9</v>
      </c>
      <c r="BO37">
        <v>1</v>
      </c>
      <c r="BP37">
        <v>1.3</v>
      </c>
      <c r="BQ37">
        <v>1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1</v>
      </c>
      <c r="BY37">
        <v>7</v>
      </c>
      <c r="BZ37">
        <v>1.4</v>
      </c>
      <c r="CA37">
        <v>7</v>
      </c>
      <c r="CB37">
        <v>1.4</v>
      </c>
      <c r="CC37">
        <v>14</v>
      </c>
      <c r="CD37">
        <v>13</v>
      </c>
      <c r="CE37">
        <v>7</v>
      </c>
      <c r="CF37">
        <v>7</v>
      </c>
      <c r="CG37">
        <v>4</v>
      </c>
      <c r="CH37">
        <v>3</v>
      </c>
      <c r="CI37">
        <v>3</v>
      </c>
      <c r="CJ37">
        <v>3</v>
      </c>
      <c r="CK37">
        <v>23</v>
      </c>
      <c r="CL37">
        <v>25</v>
      </c>
      <c r="CM37">
        <v>18</v>
      </c>
      <c r="CN37">
        <v>18</v>
      </c>
      <c r="CO37">
        <v>1.6</v>
      </c>
      <c r="CP37">
        <v>1.9</v>
      </c>
      <c r="CQ37">
        <v>1.3</v>
      </c>
      <c r="CR37">
        <v>1.4</v>
      </c>
      <c r="CS37">
        <v>1</v>
      </c>
      <c r="CT37">
        <v>1</v>
      </c>
      <c r="CU37">
        <v>1</v>
      </c>
      <c r="CV37">
        <v>1</v>
      </c>
      <c r="CW37">
        <v>0</v>
      </c>
      <c r="CX37">
        <v>0</v>
      </c>
      <c r="CY37">
        <v>0</v>
      </c>
      <c r="CZ37">
        <v>0</v>
      </c>
    </row>
    <row r="38" spans="1:104" x14ac:dyDescent="0.25">
      <c r="A38" s="1" t="s">
        <v>377</v>
      </c>
      <c r="B38">
        <v>9635</v>
      </c>
      <c r="C38">
        <v>9630</v>
      </c>
      <c r="D38" s="2">
        <v>43786</v>
      </c>
      <c r="E38" s="3">
        <f t="shared" si="0"/>
        <v>2019</v>
      </c>
      <c r="F38" s="3">
        <f t="shared" si="1"/>
        <v>11</v>
      </c>
      <c r="G38" s="3">
        <f t="shared" si="2"/>
        <v>1</v>
      </c>
      <c r="H38" t="s">
        <v>378</v>
      </c>
      <c r="I38">
        <v>1270</v>
      </c>
      <c r="J38" t="s">
        <v>379</v>
      </c>
      <c r="K38" t="s">
        <v>380</v>
      </c>
      <c r="L38">
        <v>2019</v>
      </c>
      <c r="M38" t="s">
        <v>381</v>
      </c>
      <c r="N38" t="s">
        <v>378</v>
      </c>
      <c r="O38" t="s">
        <v>382</v>
      </c>
      <c r="P38">
        <v>2800</v>
      </c>
      <c r="Q38" t="s">
        <v>380</v>
      </c>
      <c r="R38">
        <v>1952</v>
      </c>
      <c r="S38" t="s">
        <v>383</v>
      </c>
      <c r="T38" t="s">
        <v>384</v>
      </c>
      <c r="U38">
        <v>2000</v>
      </c>
      <c r="V38" t="s">
        <v>380</v>
      </c>
      <c r="W38">
        <v>1980</v>
      </c>
      <c r="X38" t="s">
        <v>109</v>
      </c>
      <c r="Z38">
        <v>-2.5</v>
      </c>
      <c r="AA38">
        <v>-1.5</v>
      </c>
      <c r="AB38">
        <v>50</v>
      </c>
      <c r="AC38">
        <v>50</v>
      </c>
      <c r="AD38">
        <v>0</v>
      </c>
      <c r="AE38">
        <v>73</v>
      </c>
      <c r="AF38">
        <v>27</v>
      </c>
      <c r="AG38">
        <v>73</v>
      </c>
      <c r="AH38">
        <v>27</v>
      </c>
      <c r="AI38">
        <v>63</v>
      </c>
      <c r="AJ38">
        <v>38</v>
      </c>
      <c r="AK38">
        <v>68</v>
      </c>
      <c r="AL38">
        <v>32</v>
      </c>
      <c r="AM38">
        <v>0</v>
      </c>
      <c r="AN38">
        <v>0</v>
      </c>
      <c r="AO38">
        <v>0</v>
      </c>
      <c r="AP38">
        <v>0</v>
      </c>
      <c r="AQ38">
        <v>53</v>
      </c>
      <c r="AR38">
        <v>73</v>
      </c>
      <c r="AS38">
        <v>45</v>
      </c>
      <c r="AT38">
        <v>20</v>
      </c>
      <c r="AU38">
        <v>27</v>
      </c>
      <c r="AV38">
        <v>9</v>
      </c>
      <c r="AW38">
        <v>8</v>
      </c>
      <c r="AX38">
        <v>1.6</v>
      </c>
      <c r="AY38">
        <v>6</v>
      </c>
      <c r="AZ38">
        <v>1.2</v>
      </c>
      <c r="BA38">
        <v>6</v>
      </c>
      <c r="BB38">
        <v>6</v>
      </c>
      <c r="BC38">
        <v>5</v>
      </c>
      <c r="BD38">
        <v>2</v>
      </c>
      <c r="BE38">
        <v>1</v>
      </c>
      <c r="BF38">
        <v>2</v>
      </c>
      <c r="BG38">
        <v>0</v>
      </c>
      <c r="BH38">
        <v>2</v>
      </c>
      <c r="BI38">
        <v>13</v>
      </c>
      <c r="BJ38">
        <v>11</v>
      </c>
      <c r="BK38">
        <v>6</v>
      </c>
      <c r="BL38">
        <v>9</v>
      </c>
      <c r="BM38">
        <v>2.2000000000000002</v>
      </c>
      <c r="BN38">
        <v>1.8</v>
      </c>
      <c r="BO38">
        <v>1</v>
      </c>
      <c r="BP38">
        <v>1.5</v>
      </c>
      <c r="BQ38">
        <v>1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</v>
      </c>
      <c r="BZ38">
        <v>0.6</v>
      </c>
      <c r="CA38">
        <v>10</v>
      </c>
      <c r="CB38">
        <v>2</v>
      </c>
      <c r="CC38">
        <v>6</v>
      </c>
      <c r="CD38">
        <v>6</v>
      </c>
      <c r="CE38">
        <v>0</v>
      </c>
      <c r="CF38">
        <v>3</v>
      </c>
      <c r="CG38">
        <v>0</v>
      </c>
      <c r="CH38">
        <v>0</v>
      </c>
      <c r="CI38">
        <v>6</v>
      </c>
      <c r="CJ38">
        <v>3</v>
      </c>
      <c r="CK38">
        <v>2</v>
      </c>
      <c r="CL38">
        <v>7</v>
      </c>
      <c r="CM38">
        <v>13</v>
      </c>
      <c r="CN38">
        <v>8</v>
      </c>
      <c r="CO38">
        <v>0.3</v>
      </c>
      <c r="CP38">
        <v>1.2</v>
      </c>
      <c r="CQ38">
        <v>2.2000000000000002</v>
      </c>
      <c r="CR38">
        <v>1.3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1</v>
      </c>
    </row>
    <row r="39" spans="1:104" x14ac:dyDescent="0.25">
      <c r="A39" s="1" t="s">
        <v>385</v>
      </c>
      <c r="B39">
        <v>31</v>
      </c>
      <c r="C39">
        <v>1503</v>
      </c>
      <c r="D39" s="2">
        <v>43753</v>
      </c>
      <c r="E39" s="3">
        <f t="shared" si="0"/>
        <v>2019</v>
      </c>
      <c r="F39" s="3">
        <f t="shared" si="1"/>
        <v>10</v>
      </c>
      <c r="G39" s="3">
        <f t="shared" si="2"/>
        <v>3</v>
      </c>
      <c r="H39" t="s">
        <v>386</v>
      </c>
      <c r="I39">
        <v>803</v>
      </c>
      <c r="J39" t="s">
        <v>387</v>
      </c>
      <c r="K39" t="s">
        <v>129</v>
      </c>
      <c r="L39">
        <v>2019</v>
      </c>
      <c r="M39" t="s">
        <v>388</v>
      </c>
      <c r="N39" t="s">
        <v>389</v>
      </c>
      <c r="O39" t="s">
        <v>390</v>
      </c>
      <c r="P39">
        <v>45891</v>
      </c>
      <c r="Q39" t="s">
        <v>391</v>
      </c>
      <c r="R39">
        <v>1955</v>
      </c>
      <c r="S39" t="s">
        <v>392</v>
      </c>
      <c r="T39" t="s">
        <v>393</v>
      </c>
      <c r="U39">
        <v>40000</v>
      </c>
      <c r="V39" t="s">
        <v>394</v>
      </c>
      <c r="W39">
        <v>1962</v>
      </c>
      <c r="X39" t="s">
        <v>109</v>
      </c>
      <c r="Y39">
        <v>-3.5</v>
      </c>
      <c r="Z39">
        <v>-1.5</v>
      </c>
      <c r="AA39">
        <v>-1.5</v>
      </c>
      <c r="AB39">
        <v>45</v>
      </c>
      <c r="AC39">
        <v>45</v>
      </c>
      <c r="AD39">
        <v>10</v>
      </c>
      <c r="AE39">
        <v>63</v>
      </c>
      <c r="AF39">
        <v>38</v>
      </c>
      <c r="AG39">
        <v>83</v>
      </c>
      <c r="AH39">
        <v>17</v>
      </c>
      <c r="AI39">
        <v>0</v>
      </c>
      <c r="AJ39">
        <v>100</v>
      </c>
      <c r="AK39">
        <v>0</v>
      </c>
      <c r="AL39">
        <v>0</v>
      </c>
      <c r="AM39">
        <v>71</v>
      </c>
      <c r="AN39">
        <v>29</v>
      </c>
      <c r="AO39">
        <v>100</v>
      </c>
      <c r="AP39">
        <v>0</v>
      </c>
      <c r="AQ39">
        <v>33</v>
      </c>
      <c r="AR39">
        <v>38</v>
      </c>
      <c r="AS39">
        <v>54</v>
      </c>
      <c r="AT39">
        <v>100</v>
      </c>
      <c r="AU39">
        <v>8</v>
      </c>
      <c r="AV39">
        <v>100</v>
      </c>
      <c r="AW39">
        <v>5</v>
      </c>
      <c r="AX39">
        <v>1</v>
      </c>
      <c r="AY39">
        <v>6</v>
      </c>
      <c r="AZ39">
        <v>1.2</v>
      </c>
      <c r="BA39">
        <v>6</v>
      </c>
      <c r="BB39">
        <v>0</v>
      </c>
      <c r="BC39">
        <v>1</v>
      </c>
      <c r="BD39">
        <v>0</v>
      </c>
      <c r="BE39">
        <v>2</v>
      </c>
      <c r="BF39">
        <v>0</v>
      </c>
      <c r="BG39">
        <v>3</v>
      </c>
      <c r="BH39">
        <v>0</v>
      </c>
      <c r="BI39">
        <v>5</v>
      </c>
      <c r="BJ39">
        <v>0</v>
      </c>
      <c r="BK39">
        <v>7</v>
      </c>
      <c r="BL39">
        <v>0</v>
      </c>
      <c r="BM39">
        <v>0.8</v>
      </c>
      <c r="BN39">
        <v>0</v>
      </c>
      <c r="BO39">
        <v>1.2</v>
      </c>
      <c r="BP39">
        <v>0</v>
      </c>
      <c r="BQ39">
        <v>2</v>
      </c>
      <c r="BR39">
        <v>2</v>
      </c>
      <c r="BS39">
        <v>1</v>
      </c>
      <c r="BT39">
        <v>0</v>
      </c>
      <c r="BU39">
        <v>0</v>
      </c>
      <c r="BV39">
        <v>2</v>
      </c>
      <c r="BW39">
        <v>1</v>
      </c>
      <c r="BX39">
        <v>0</v>
      </c>
      <c r="BY39">
        <v>1</v>
      </c>
      <c r="BZ39">
        <v>1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1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2</v>
      </c>
      <c r="CT39">
        <v>2</v>
      </c>
      <c r="CU39">
        <v>0</v>
      </c>
      <c r="CV39">
        <v>1</v>
      </c>
      <c r="CW39">
        <v>2</v>
      </c>
      <c r="CX39">
        <v>0</v>
      </c>
      <c r="CY39">
        <v>0</v>
      </c>
      <c r="CZ39">
        <v>1</v>
      </c>
    </row>
    <row r="40" spans="1:104" x14ac:dyDescent="0.25">
      <c r="A40" s="1" t="s">
        <v>395</v>
      </c>
      <c r="B40">
        <v>9880</v>
      </c>
      <c r="C40">
        <v>9893</v>
      </c>
      <c r="D40" s="2">
        <v>43709</v>
      </c>
      <c r="E40" s="3">
        <f t="shared" si="0"/>
        <v>2019</v>
      </c>
      <c r="F40" s="3">
        <f t="shared" si="1"/>
        <v>9</v>
      </c>
      <c r="G40" s="3">
        <f t="shared" si="2"/>
        <v>1</v>
      </c>
      <c r="H40" t="s">
        <v>396</v>
      </c>
      <c r="I40">
        <v>1285</v>
      </c>
      <c r="J40" t="s">
        <v>397</v>
      </c>
      <c r="K40" t="s">
        <v>380</v>
      </c>
      <c r="L40">
        <v>2019</v>
      </c>
      <c r="M40" t="s">
        <v>398</v>
      </c>
      <c r="N40" t="s">
        <v>396</v>
      </c>
      <c r="O40" t="s">
        <v>399</v>
      </c>
      <c r="P40">
        <v>1000</v>
      </c>
      <c r="Q40" t="s">
        <v>380</v>
      </c>
      <c r="R40">
        <v>1997</v>
      </c>
      <c r="S40" t="s">
        <v>400</v>
      </c>
      <c r="T40" t="s">
        <v>401</v>
      </c>
      <c r="U40">
        <v>2000</v>
      </c>
      <c r="V40" t="s">
        <v>380</v>
      </c>
      <c r="W40">
        <v>1974</v>
      </c>
      <c r="X40" t="s">
        <v>109</v>
      </c>
      <c r="Y40">
        <v>-3.5</v>
      </c>
      <c r="AA40">
        <v>-1.5</v>
      </c>
      <c r="AB40">
        <v>45</v>
      </c>
      <c r="AC40">
        <v>45</v>
      </c>
      <c r="AD40">
        <v>10</v>
      </c>
      <c r="AE40">
        <v>100</v>
      </c>
      <c r="AF40">
        <v>0</v>
      </c>
      <c r="AG40">
        <v>0</v>
      </c>
      <c r="AH40">
        <v>100</v>
      </c>
      <c r="AI40">
        <v>100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33</v>
      </c>
      <c r="AR40">
        <v>0</v>
      </c>
      <c r="AS40">
        <v>100</v>
      </c>
      <c r="AT40">
        <v>0</v>
      </c>
      <c r="AU40">
        <v>9</v>
      </c>
      <c r="AV40">
        <v>82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1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1</v>
      </c>
      <c r="BZ40">
        <v>1</v>
      </c>
      <c r="CA40">
        <v>2</v>
      </c>
      <c r="CB40">
        <v>2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1</v>
      </c>
      <c r="CL40">
        <v>0</v>
      </c>
      <c r="CM40">
        <v>2</v>
      </c>
      <c r="CN40">
        <v>0</v>
      </c>
      <c r="CO40">
        <v>1</v>
      </c>
      <c r="CP40">
        <v>0</v>
      </c>
      <c r="CQ40">
        <v>2</v>
      </c>
      <c r="CR40">
        <v>0</v>
      </c>
      <c r="CS40">
        <v>1</v>
      </c>
      <c r="CT40">
        <v>1</v>
      </c>
      <c r="CU40">
        <v>0</v>
      </c>
      <c r="CV40">
        <v>0</v>
      </c>
      <c r="CW40">
        <v>1</v>
      </c>
      <c r="CX40">
        <v>1</v>
      </c>
      <c r="CY40">
        <v>0</v>
      </c>
      <c r="CZ40">
        <v>0</v>
      </c>
    </row>
    <row r="41" spans="1:104" x14ac:dyDescent="0.25">
      <c r="A41" s="1" t="s">
        <v>402</v>
      </c>
      <c r="B41">
        <v>4627</v>
      </c>
      <c r="C41">
        <v>4619</v>
      </c>
      <c r="D41" s="2">
        <v>43707</v>
      </c>
      <c r="E41" s="3">
        <f t="shared" si="0"/>
        <v>2019</v>
      </c>
      <c r="F41" s="3">
        <f t="shared" si="1"/>
        <v>8</v>
      </c>
      <c r="G41" s="3">
        <f t="shared" si="2"/>
        <v>6</v>
      </c>
      <c r="H41" t="s">
        <v>403</v>
      </c>
      <c r="I41">
        <v>666</v>
      </c>
      <c r="J41" t="s">
        <v>320</v>
      </c>
      <c r="K41" t="s">
        <v>404</v>
      </c>
      <c r="L41">
        <v>2019</v>
      </c>
      <c r="M41" t="s">
        <v>405</v>
      </c>
      <c r="N41" t="s">
        <v>406</v>
      </c>
      <c r="O41" t="s">
        <v>407</v>
      </c>
      <c r="P41">
        <v>600</v>
      </c>
      <c r="Q41" t="s">
        <v>404</v>
      </c>
      <c r="R41">
        <v>1935</v>
      </c>
      <c r="S41" t="s">
        <v>408</v>
      </c>
      <c r="T41" t="s">
        <v>409</v>
      </c>
      <c r="U41">
        <v>1500</v>
      </c>
      <c r="V41" t="s">
        <v>404</v>
      </c>
      <c r="X41">
        <v>1</v>
      </c>
      <c r="Z41">
        <v>-4.5</v>
      </c>
      <c r="AA41">
        <v>-1.5</v>
      </c>
      <c r="AB41">
        <v>50</v>
      </c>
      <c r="AC41">
        <v>50</v>
      </c>
      <c r="AD41">
        <v>0</v>
      </c>
      <c r="AE41">
        <v>75</v>
      </c>
      <c r="AF41">
        <v>25</v>
      </c>
      <c r="AG41">
        <v>80</v>
      </c>
      <c r="AH41">
        <v>20</v>
      </c>
      <c r="AI41">
        <v>100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100</v>
      </c>
      <c r="AR41">
        <v>36</v>
      </c>
      <c r="AS41">
        <v>100</v>
      </c>
      <c r="AT41">
        <v>33</v>
      </c>
      <c r="AU41">
        <v>9</v>
      </c>
      <c r="AV41">
        <v>91</v>
      </c>
      <c r="AW41">
        <v>4</v>
      </c>
      <c r="AX41">
        <v>4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4</v>
      </c>
      <c r="BK41">
        <v>0</v>
      </c>
      <c r="BL41">
        <v>0</v>
      </c>
      <c r="BM41">
        <v>0</v>
      </c>
      <c r="BN41">
        <v>4</v>
      </c>
      <c r="BO41">
        <v>0</v>
      </c>
      <c r="BP41">
        <v>0</v>
      </c>
      <c r="BQ41">
        <v>1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1</v>
      </c>
      <c r="CN41">
        <v>0</v>
      </c>
      <c r="CO41">
        <v>1</v>
      </c>
      <c r="CP41">
        <v>0</v>
      </c>
      <c r="CQ41">
        <v>1</v>
      </c>
      <c r="CR41">
        <v>0</v>
      </c>
      <c r="CS41">
        <v>1</v>
      </c>
      <c r="CT41">
        <v>1</v>
      </c>
      <c r="CU41">
        <v>1</v>
      </c>
      <c r="CV41">
        <v>1</v>
      </c>
      <c r="CW41">
        <v>0</v>
      </c>
      <c r="CX41">
        <v>0</v>
      </c>
      <c r="CY41">
        <v>0</v>
      </c>
      <c r="CZ41">
        <v>0</v>
      </c>
    </row>
    <row r="42" spans="1:104" x14ac:dyDescent="0.25">
      <c r="A42" s="1" t="s">
        <v>410</v>
      </c>
      <c r="B42">
        <v>9579</v>
      </c>
      <c r="C42">
        <v>9380</v>
      </c>
      <c r="D42" s="2">
        <v>43750</v>
      </c>
      <c r="E42" s="3">
        <f t="shared" si="0"/>
        <v>2019</v>
      </c>
      <c r="F42" s="3">
        <f t="shared" si="1"/>
        <v>10</v>
      </c>
      <c r="G42" s="3">
        <f t="shared" si="2"/>
        <v>7</v>
      </c>
      <c r="H42" t="s">
        <v>411</v>
      </c>
      <c r="I42">
        <v>1266</v>
      </c>
      <c r="J42" t="s">
        <v>412</v>
      </c>
      <c r="K42" t="s">
        <v>380</v>
      </c>
      <c r="L42">
        <v>2019</v>
      </c>
      <c r="M42" t="s">
        <v>413</v>
      </c>
      <c r="N42" t="s">
        <v>411</v>
      </c>
      <c r="O42" t="s">
        <v>414</v>
      </c>
      <c r="P42">
        <v>2000</v>
      </c>
      <c r="Q42" t="s">
        <v>380</v>
      </c>
      <c r="R42">
        <v>1964</v>
      </c>
      <c r="S42" t="s">
        <v>415</v>
      </c>
      <c r="T42" t="s">
        <v>416</v>
      </c>
      <c r="U42">
        <v>3000</v>
      </c>
      <c r="V42" t="s">
        <v>380</v>
      </c>
      <c r="W42">
        <v>1925</v>
      </c>
      <c r="X42">
        <v>1</v>
      </c>
      <c r="Z42">
        <v>-3.5</v>
      </c>
      <c r="AA42">
        <v>-1.5</v>
      </c>
      <c r="AB42">
        <v>45</v>
      </c>
      <c r="AC42">
        <v>45</v>
      </c>
      <c r="AD42">
        <v>10</v>
      </c>
      <c r="AE42">
        <v>60</v>
      </c>
      <c r="AF42">
        <v>40</v>
      </c>
      <c r="AG42">
        <v>80</v>
      </c>
      <c r="AH42">
        <v>20</v>
      </c>
      <c r="AI42">
        <v>45</v>
      </c>
      <c r="AJ42">
        <v>55</v>
      </c>
      <c r="AK42">
        <v>100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80</v>
      </c>
      <c r="AR42">
        <v>100</v>
      </c>
      <c r="AS42">
        <v>25</v>
      </c>
      <c r="AT42">
        <v>53</v>
      </c>
      <c r="AU42">
        <v>50</v>
      </c>
      <c r="AV42">
        <v>38</v>
      </c>
      <c r="AW42">
        <v>16</v>
      </c>
      <c r="AX42">
        <v>3.2</v>
      </c>
      <c r="AY42">
        <v>6</v>
      </c>
      <c r="AZ42">
        <v>1.2</v>
      </c>
      <c r="BA42">
        <v>3</v>
      </c>
      <c r="BB42">
        <v>4</v>
      </c>
      <c r="BC42">
        <v>2</v>
      </c>
      <c r="BD42">
        <v>3</v>
      </c>
      <c r="BE42">
        <v>1</v>
      </c>
      <c r="BF42">
        <v>0</v>
      </c>
      <c r="BG42">
        <v>0</v>
      </c>
      <c r="BH42">
        <v>1</v>
      </c>
      <c r="BI42">
        <v>9</v>
      </c>
      <c r="BJ42">
        <v>11</v>
      </c>
      <c r="BK42">
        <v>0</v>
      </c>
      <c r="BL42">
        <v>7</v>
      </c>
      <c r="BM42">
        <v>3</v>
      </c>
      <c r="BN42">
        <v>2.8</v>
      </c>
      <c r="BO42">
        <v>0</v>
      </c>
      <c r="BP42">
        <v>1.8</v>
      </c>
      <c r="BQ42">
        <v>1</v>
      </c>
      <c r="BR42">
        <v>1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1</v>
      </c>
      <c r="BY42">
        <v>4</v>
      </c>
      <c r="BZ42">
        <v>0.8</v>
      </c>
      <c r="CA42">
        <v>5</v>
      </c>
      <c r="CB42">
        <v>1</v>
      </c>
      <c r="CC42">
        <v>4</v>
      </c>
      <c r="CD42">
        <v>3</v>
      </c>
      <c r="CE42">
        <v>2</v>
      </c>
      <c r="CF42">
        <v>0</v>
      </c>
      <c r="CG42">
        <v>0</v>
      </c>
      <c r="CH42">
        <v>3</v>
      </c>
      <c r="CI42">
        <v>2</v>
      </c>
      <c r="CJ42">
        <v>0</v>
      </c>
      <c r="CK42">
        <v>5</v>
      </c>
      <c r="CL42">
        <v>2</v>
      </c>
      <c r="CM42">
        <v>7</v>
      </c>
      <c r="CN42">
        <v>2</v>
      </c>
      <c r="CO42">
        <v>1.3</v>
      </c>
      <c r="CP42">
        <v>0.7</v>
      </c>
      <c r="CQ42">
        <v>1.8</v>
      </c>
      <c r="CR42">
        <v>0.7</v>
      </c>
      <c r="CS42">
        <v>1</v>
      </c>
      <c r="CT42">
        <v>1</v>
      </c>
      <c r="CU42">
        <v>1</v>
      </c>
      <c r="CV42">
        <v>0</v>
      </c>
      <c r="CW42">
        <v>0</v>
      </c>
      <c r="CX42">
        <v>1</v>
      </c>
      <c r="CY42">
        <v>0</v>
      </c>
      <c r="CZ42">
        <v>0</v>
      </c>
    </row>
    <row r="43" spans="1:104" x14ac:dyDescent="0.25">
      <c r="A43" s="1" t="s">
        <v>417</v>
      </c>
      <c r="B43">
        <v>1172</v>
      </c>
      <c r="C43">
        <v>689</v>
      </c>
      <c r="D43" s="2">
        <v>44034</v>
      </c>
      <c r="E43" s="3">
        <f t="shared" si="0"/>
        <v>2020</v>
      </c>
      <c r="F43" s="3">
        <f t="shared" si="1"/>
        <v>7</v>
      </c>
      <c r="G43" s="3">
        <f t="shared" si="2"/>
        <v>4</v>
      </c>
      <c r="H43" t="s">
        <v>418</v>
      </c>
      <c r="I43">
        <v>1338</v>
      </c>
      <c r="J43" t="s">
        <v>179</v>
      </c>
      <c r="K43" t="s">
        <v>180</v>
      </c>
      <c r="L43">
        <v>2020</v>
      </c>
      <c r="M43" t="s">
        <v>306</v>
      </c>
      <c r="N43" t="s">
        <v>418</v>
      </c>
      <c r="O43" t="s">
        <v>419</v>
      </c>
      <c r="P43">
        <v>10770</v>
      </c>
      <c r="Q43" t="s">
        <v>180</v>
      </c>
      <c r="R43">
        <v>1897</v>
      </c>
      <c r="S43" t="s">
        <v>183</v>
      </c>
      <c r="T43" t="s">
        <v>184</v>
      </c>
      <c r="U43">
        <v>6000</v>
      </c>
      <c r="V43" t="s">
        <v>180</v>
      </c>
      <c r="X43" t="s">
        <v>125</v>
      </c>
      <c r="Y43">
        <v>-3.5</v>
      </c>
      <c r="Z43">
        <v>-1.5</v>
      </c>
      <c r="AA43">
        <v>-1.5</v>
      </c>
      <c r="AB43">
        <v>10</v>
      </c>
      <c r="AC43">
        <v>45</v>
      </c>
      <c r="AD43">
        <v>45</v>
      </c>
      <c r="AE43">
        <v>43</v>
      </c>
      <c r="AF43">
        <v>57</v>
      </c>
      <c r="AG43">
        <v>33</v>
      </c>
      <c r="AH43">
        <v>67</v>
      </c>
      <c r="AI43">
        <v>25</v>
      </c>
      <c r="AJ43">
        <v>75</v>
      </c>
      <c r="AK43">
        <v>0</v>
      </c>
      <c r="AL43">
        <v>0</v>
      </c>
      <c r="AM43">
        <v>50</v>
      </c>
      <c r="AN43">
        <v>50</v>
      </c>
      <c r="AO43">
        <v>50</v>
      </c>
      <c r="AP43">
        <v>50</v>
      </c>
      <c r="AQ43">
        <v>33</v>
      </c>
      <c r="AR43">
        <v>10</v>
      </c>
      <c r="AS43">
        <v>40</v>
      </c>
      <c r="AT43">
        <v>44</v>
      </c>
      <c r="AU43">
        <v>20</v>
      </c>
      <c r="AV43">
        <v>80</v>
      </c>
      <c r="AW43">
        <v>1</v>
      </c>
      <c r="AX43">
        <v>0.3</v>
      </c>
      <c r="AY43">
        <v>6</v>
      </c>
      <c r="AZ43">
        <v>2</v>
      </c>
      <c r="BA43">
        <v>2</v>
      </c>
      <c r="BB43">
        <v>1</v>
      </c>
      <c r="BC43">
        <v>0</v>
      </c>
      <c r="BD43">
        <v>1</v>
      </c>
      <c r="BE43">
        <v>0</v>
      </c>
      <c r="BF43">
        <v>0</v>
      </c>
      <c r="BG43">
        <v>2</v>
      </c>
      <c r="BH43">
        <v>0</v>
      </c>
      <c r="BI43">
        <v>0</v>
      </c>
      <c r="BJ43">
        <v>1</v>
      </c>
      <c r="BK43">
        <v>6</v>
      </c>
      <c r="BL43">
        <v>0</v>
      </c>
      <c r="BM43">
        <v>0</v>
      </c>
      <c r="BN43">
        <v>1</v>
      </c>
      <c r="BO43">
        <v>3</v>
      </c>
      <c r="BP43">
        <v>0</v>
      </c>
      <c r="BQ43">
        <v>10</v>
      </c>
      <c r="BR43">
        <v>7</v>
      </c>
      <c r="BS43">
        <v>5</v>
      </c>
      <c r="BT43">
        <v>0</v>
      </c>
      <c r="BU43">
        <v>2</v>
      </c>
      <c r="BV43">
        <v>1</v>
      </c>
      <c r="BW43">
        <v>3</v>
      </c>
      <c r="BX43">
        <v>6</v>
      </c>
      <c r="BY43">
        <v>2</v>
      </c>
      <c r="BZ43">
        <v>0.7</v>
      </c>
      <c r="CA43">
        <v>2</v>
      </c>
      <c r="CB43">
        <v>0.7</v>
      </c>
      <c r="CC43">
        <v>2</v>
      </c>
      <c r="CD43">
        <v>1</v>
      </c>
      <c r="CE43">
        <v>1</v>
      </c>
      <c r="CF43">
        <v>0</v>
      </c>
      <c r="CG43">
        <v>0</v>
      </c>
      <c r="CH43">
        <v>1</v>
      </c>
      <c r="CI43">
        <v>1</v>
      </c>
      <c r="CJ43">
        <v>0</v>
      </c>
      <c r="CK43">
        <v>2</v>
      </c>
      <c r="CL43">
        <v>0</v>
      </c>
      <c r="CM43">
        <v>2</v>
      </c>
      <c r="CN43">
        <v>0</v>
      </c>
      <c r="CO43">
        <v>1</v>
      </c>
      <c r="CP43">
        <v>0</v>
      </c>
      <c r="CQ43">
        <v>1</v>
      </c>
      <c r="CR43">
        <v>0</v>
      </c>
      <c r="CS43">
        <v>7</v>
      </c>
      <c r="CT43">
        <v>10</v>
      </c>
      <c r="CU43">
        <v>6</v>
      </c>
      <c r="CV43">
        <v>3</v>
      </c>
      <c r="CW43">
        <v>1</v>
      </c>
      <c r="CX43">
        <v>2</v>
      </c>
      <c r="CY43">
        <v>0</v>
      </c>
      <c r="CZ43">
        <v>5</v>
      </c>
    </row>
    <row r="44" spans="1:104" x14ac:dyDescent="0.25">
      <c r="A44" s="1" t="s">
        <v>420</v>
      </c>
      <c r="B44">
        <v>3358</v>
      </c>
      <c r="C44">
        <v>3362</v>
      </c>
      <c r="D44" s="2">
        <v>43763</v>
      </c>
      <c r="E44" s="3">
        <f t="shared" si="0"/>
        <v>2019</v>
      </c>
      <c r="F44" s="3">
        <f t="shared" si="1"/>
        <v>10</v>
      </c>
      <c r="G44" s="3">
        <f t="shared" si="2"/>
        <v>6</v>
      </c>
      <c r="H44" t="s">
        <v>421</v>
      </c>
      <c r="I44">
        <v>578</v>
      </c>
      <c r="J44" t="s">
        <v>422</v>
      </c>
      <c r="K44" t="s">
        <v>423</v>
      </c>
      <c r="L44">
        <v>2019</v>
      </c>
      <c r="M44" t="s">
        <v>218</v>
      </c>
      <c r="N44" t="s">
        <v>421</v>
      </c>
      <c r="O44" t="s">
        <v>424</v>
      </c>
      <c r="P44">
        <v>3000</v>
      </c>
      <c r="Q44" t="s">
        <v>423</v>
      </c>
      <c r="R44">
        <v>1959</v>
      </c>
      <c r="S44" t="s">
        <v>425</v>
      </c>
      <c r="T44" t="s">
        <v>426</v>
      </c>
      <c r="U44">
        <v>8118</v>
      </c>
      <c r="V44" t="s">
        <v>423</v>
      </c>
      <c r="W44">
        <v>2009</v>
      </c>
      <c r="X44" t="s">
        <v>109</v>
      </c>
      <c r="Z44">
        <v>-2.5</v>
      </c>
      <c r="AA44">
        <v>-1.5</v>
      </c>
      <c r="AB44">
        <v>45</v>
      </c>
      <c r="AC44">
        <v>45</v>
      </c>
      <c r="AD44">
        <v>10</v>
      </c>
      <c r="AE44">
        <v>100</v>
      </c>
      <c r="AF44">
        <v>0</v>
      </c>
      <c r="AG44">
        <v>78</v>
      </c>
      <c r="AH44">
        <v>22</v>
      </c>
      <c r="AI44">
        <v>63</v>
      </c>
      <c r="AJ44">
        <v>37</v>
      </c>
      <c r="AK44">
        <v>100</v>
      </c>
      <c r="AL44">
        <v>0</v>
      </c>
      <c r="AM44">
        <v>38</v>
      </c>
      <c r="AN44">
        <v>62</v>
      </c>
      <c r="AO44">
        <v>50</v>
      </c>
      <c r="AP44">
        <v>50</v>
      </c>
      <c r="AQ44">
        <v>27</v>
      </c>
      <c r="AR44">
        <v>64</v>
      </c>
      <c r="AS44">
        <v>9</v>
      </c>
      <c r="AT44">
        <v>0</v>
      </c>
      <c r="AU44">
        <v>18</v>
      </c>
      <c r="AV44">
        <v>0</v>
      </c>
      <c r="AW44">
        <v>7</v>
      </c>
      <c r="AX44">
        <v>1.4</v>
      </c>
      <c r="AY44">
        <v>10</v>
      </c>
      <c r="AZ44">
        <v>2</v>
      </c>
      <c r="BA44">
        <v>6</v>
      </c>
      <c r="BB44">
        <v>7</v>
      </c>
      <c r="BC44">
        <v>1</v>
      </c>
      <c r="BD44">
        <v>1</v>
      </c>
      <c r="BE44">
        <v>1</v>
      </c>
      <c r="BF44">
        <v>2</v>
      </c>
      <c r="BG44">
        <v>4</v>
      </c>
      <c r="BH44">
        <v>4</v>
      </c>
      <c r="BI44">
        <v>4</v>
      </c>
      <c r="BJ44">
        <v>7</v>
      </c>
      <c r="BK44">
        <v>10</v>
      </c>
      <c r="BL44">
        <v>11</v>
      </c>
      <c r="BM44">
        <v>0.7</v>
      </c>
      <c r="BN44">
        <v>1</v>
      </c>
      <c r="BO44">
        <v>1.7</v>
      </c>
      <c r="BP44">
        <v>1.6</v>
      </c>
      <c r="BQ44">
        <v>2</v>
      </c>
      <c r="BR44">
        <v>4</v>
      </c>
      <c r="BS44">
        <v>1</v>
      </c>
      <c r="BT44">
        <v>1</v>
      </c>
      <c r="BU44">
        <v>1</v>
      </c>
      <c r="BV44">
        <v>1</v>
      </c>
      <c r="BW44">
        <v>0</v>
      </c>
      <c r="BX44">
        <v>2</v>
      </c>
      <c r="BY44">
        <v>2</v>
      </c>
      <c r="BZ44">
        <v>0.4</v>
      </c>
      <c r="CA44">
        <v>17</v>
      </c>
      <c r="CB44">
        <v>3.4</v>
      </c>
      <c r="CC44">
        <v>7</v>
      </c>
      <c r="CD44">
        <v>6</v>
      </c>
      <c r="CE44">
        <v>0</v>
      </c>
      <c r="CF44">
        <v>0</v>
      </c>
      <c r="CG44">
        <v>3</v>
      </c>
      <c r="CH44">
        <v>0</v>
      </c>
      <c r="CI44">
        <v>4</v>
      </c>
      <c r="CJ44">
        <v>6</v>
      </c>
      <c r="CK44">
        <v>6</v>
      </c>
      <c r="CL44">
        <v>0</v>
      </c>
      <c r="CM44">
        <v>16</v>
      </c>
      <c r="CN44">
        <v>16</v>
      </c>
      <c r="CO44">
        <v>0.9</v>
      </c>
      <c r="CP44">
        <v>0</v>
      </c>
      <c r="CQ44">
        <v>2.2999999999999998</v>
      </c>
      <c r="CR44">
        <v>2.7</v>
      </c>
      <c r="CS44">
        <v>4</v>
      </c>
      <c r="CT44">
        <v>2</v>
      </c>
      <c r="CU44">
        <v>2</v>
      </c>
      <c r="CV44">
        <v>0</v>
      </c>
      <c r="CW44">
        <v>1</v>
      </c>
      <c r="CX44">
        <v>1</v>
      </c>
      <c r="CY44">
        <v>1</v>
      </c>
      <c r="CZ44">
        <v>1</v>
      </c>
    </row>
    <row r="45" spans="1:104" x14ac:dyDescent="0.25">
      <c r="A45" s="1" t="s">
        <v>427</v>
      </c>
      <c r="B45">
        <v>3733</v>
      </c>
      <c r="C45">
        <v>3731</v>
      </c>
      <c r="D45" s="2">
        <v>43997</v>
      </c>
      <c r="E45" s="3">
        <f t="shared" si="0"/>
        <v>2020</v>
      </c>
      <c r="F45" s="3">
        <f t="shared" si="1"/>
        <v>6</v>
      </c>
      <c r="G45" s="3">
        <f t="shared" si="2"/>
        <v>2</v>
      </c>
      <c r="H45" t="s">
        <v>428</v>
      </c>
      <c r="I45">
        <v>580</v>
      </c>
      <c r="J45" t="s">
        <v>120</v>
      </c>
      <c r="K45" t="s">
        <v>121</v>
      </c>
      <c r="L45">
        <v>2019</v>
      </c>
      <c r="M45" t="s">
        <v>346</v>
      </c>
      <c r="N45" t="s">
        <v>428</v>
      </c>
      <c r="O45" t="s">
        <v>429</v>
      </c>
      <c r="P45">
        <v>12550</v>
      </c>
      <c r="Q45" t="s">
        <v>121</v>
      </c>
      <c r="R45">
        <v>1913</v>
      </c>
      <c r="S45" t="s">
        <v>123</v>
      </c>
      <c r="T45" t="s">
        <v>124</v>
      </c>
      <c r="U45">
        <v>4500</v>
      </c>
      <c r="V45" t="s">
        <v>121</v>
      </c>
      <c r="W45">
        <v>1948</v>
      </c>
      <c r="X45">
        <v>1</v>
      </c>
      <c r="Z45">
        <v>-3.5</v>
      </c>
      <c r="AA45">
        <v>-1.5</v>
      </c>
      <c r="AB45">
        <v>45</v>
      </c>
      <c r="AC45">
        <v>45</v>
      </c>
      <c r="AD45">
        <v>10</v>
      </c>
      <c r="AE45">
        <v>87</v>
      </c>
      <c r="AF45">
        <v>13</v>
      </c>
      <c r="AG45">
        <v>63</v>
      </c>
      <c r="AH45">
        <v>37</v>
      </c>
      <c r="AI45">
        <v>71</v>
      </c>
      <c r="AJ45">
        <v>29</v>
      </c>
      <c r="AK45">
        <v>79</v>
      </c>
      <c r="AL45">
        <v>21</v>
      </c>
      <c r="AM45">
        <v>33</v>
      </c>
      <c r="AN45">
        <v>67</v>
      </c>
      <c r="AO45">
        <v>56</v>
      </c>
      <c r="AP45">
        <v>44</v>
      </c>
      <c r="AQ45">
        <v>87</v>
      </c>
      <c r="AR45">
        <v>86</v>
      </c>
      <c r="AS45">
        <v>71</v>
      </c>
      <c r="AT45">
        <v>13</v>
      </c>
      <c r="AU45">
        <v>50</v>
      </c>
      <c r="AV45">
        <v>29</v>
      </c>
      <c r="AW45">
        <v>12</v>
      </c>
      <c r="AX45">
        <v>2.4</v>
      </c>
      <c r="AY45">
        <v>4</v>
      </c>
      <c r="AZ45">
        <v>0.8</v>
      </c>
      <c r="BA45">
        <v>11</v>
      </c>
      <c r="BB45">
        <v>11</v>
      </c>
      <c r="BC45">
        <v>8</v>
      </c>
      <c r="BD45">
        <v>6</v>
      </c>
      <c r="BE45">
        <v>3</v>
      </c>
      <c r="BF45">
        <v>2</v>
      </c>
      <c r="BG45">
        <v>0</v>
      </c>
      <c r="BH45">
        <v>3</v>
      </c>
      <c r="BI45">
        <v>27</v>
      </c>
      <c r="BJ45">
        <v>21</v>
      </c>
      <c r="BK45">
        <v>6</v>
      </c>
      <c r="BL45">
        <v>15</v>
      </c>
      <c r="BM45">
        <v>2.5</v>
      </c>
      <c r="BN45">
        <v>1.9</v>
      </c>
      <c r="BO45">
        <v>0.5</v>
      </c>
      <c r="BP45">
        <v>1.4</v>
      </c>
      <c r="BQ45">
        <v>2</v>
      </c>
      <c r="BR45">
        <v>2</v>
      </c>
      <c r="BS45">
        <v>1</v>
      </c>
      <c r="BT45">
        <v>1</v>
      </c>
      <c r="BU45">
        <v>0</v>
      </c>
      <c r="BV45">
        <v>0</v>
      </c>
      <c r="BW45">
        <v>1</v>
      </c>
      <c r="BX45">
        <v>1</v>
      </c>
      <c r="BY45">
        <v>7</v>
      </c>
      <c r="BZ45">
        <v>1.4</v>
      </c>
      <c r="CA45">
        <v>10</v>
      </c>
      <c r="CB45">
        <v>2</v>
      </c>
      <c r="CC45">
        <v>11</v>
      </c>
      <c r="CD45">
        <v>11</v>
      </c>
      <c r="CE45">
        <v>9</v>
      </c>
      <c r="CF45">
        <v>1</v>
      </c>
      <c r="CG45">
        <v>1</v>
      </c>
      <c r="CH45">
        <v>6</v>
      </c>
      <c r="CI45">
        <v>1</v>
      </c>
      <c r="CJ45">
        <v>4</v>
      </c>
      <c r="CK45">
        <v>28</v>
      </c>
      <c r="CL45">
        <v>13</v>
      </c>
      <c r="CM45">
        <v>13</v>
      </c>
      <c r="CN45">
        <v>17</v>
      </c>
      <c r="CO45">
        <v>2.5</v>
      </c>
      <c r="CP45">
        <v>1.2</v>
      </c>
      <c r="CQ45">
        <v>1.2</v>
      </c>
      <c r="CR45">
        <v>1.5</v>
      </c>
      <c r="CS45">
        <v>2</v>
      </c>
      <c r="CT45">
        <v>2</v>
      </c>
      <c r="CU45">
        <v>1</v>
      </c>
      <c r="CV45">
        <v>1</v>
      </c>
      <c r="CW45">
        <v>0</v>
      </c>
      <c r="CX45">
        <v>0</v>
      </c>
      <c r="CY45">
        <v>1</v>
      </c>
      <c r="CZ45">
        <v>1</v>
      </c>
    </row>
    <row r="46" spans="1:104" x14ac:dyDescent="0.25">
      <c r="A46" s="1" t="s">
        <v>430</v>
      </c>
      <c r="B46">
        <v>3608</v>
      </c>
      <c r="C46">
        <v>7423</v>
      </c>
      <c r="D46" s="2">
        <v>43743</v>
      </c>
      <c r="E46" s="3">
        <f t="shared" si="0"/>
        <v>2019</v>
      </c>
      <c r="F46" s="3">
        <f t="shared" si="1"/>
        <v>10</v>
      </c>
      <c r="G46" s="3">
        <f t="shared" si="2"/>
        <v>7</v>
      </c>
      <c r="H46" t="s">
        <v>431</v>
      </c>
      <c r="I46">
        <v>1613</v>
      </c>
      <c r="J46" t="s">
        <v>432</v>
      </c>
      <c r="K46" t="s">
        <v>329</v>
      </c>
      <c r="L46">
        <v>2019</v>
      </c>
      <c r="M46" t="s">
        <v>433</v>
      </c>
      <c r="N46" t="s">
        <v>431</v>
      </c>
      <c r="O46" t="s">
        <v>434</v>
      </c>
      <c r="P46">
        <v>5762</v>
      </c>
      <c r="Q46" t="s">
        <v>329</v>
      </c>
      <c r="R46">
        <v>1969</v>
      </c>
      <c r="S46" t="s">
        <v>435</v>
      </c>
      <c r="T46" t="s">
        <v>436</v>
      </c>
      <c r="U46">
        <v>2000</v>
      </c>
      <c r="V46" t="s">
        <v>329</v>
      </c>
      <c r="W46">
        <v>1986</v>
      </c>
      <c r="X46" t="s">
        <v>125</v>
      </c>
      <c r="Z46">
        <v>-1.5</v>
      </c>
      <c r="AA46">
        <v>-1.5</v>
      </c>
      <c r="AB46">
        <v>10</v>
      </c>
      <c r="AC46">
        <v>45</v>
      </c>
      <c r="AD46">
        <v>45</v>
      </c>
      <c r="AE46">
        <v>25</v>
      </c>
      <c r="AF46">
        <v>75</v>
      </c>
      <c r="AG46">
        <v>57</v>
      </c>
      <c r="AH46">
        <v>43</v>
      </c>
      <c r="AI46">
        <v>40</v>
      </c>
      <c r="AJ46">
        <v>60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7</v>
      </c>
      <c r="AR46">
        <v>67</v>
      </c>
      <c r="AS46">
        <v>0</v>
      </c>
      <c r="AT46">
        <v>20</v>
      </c>
      <c r="AU46">
        <v>50</v>
      </c>
      <c r="AV46">
        <v>0</v>
      </c>
      <c r="AW46">
        <v>4</v>
      </c>
      <c r="AX46">
        <v>0.8</v>
      </c>
      <c r="AY46">
        <v>9</v>
      </c>
      <c r="AZ46">
        <v>1.8</v>
      </c>
      <c r="BA46">
        <v>2</v>
      </c>
      <c r="BB46">
        <v>3</v>
      </c>
      <c r="BC46">
        <v>0</v>
      </c>
      <c r="BD46">
        <v>0</v>
      </c>
      <c r="BE46">
        <v>0</v>
      </c>
      <c r="BF46">
        <v>1</v>
      </c>
      <c r="BG46">
        <v>2</v>
      </c>
      <c r="BH46">
        <v>2</v>
      </c>
      <c r="BI46">
        <v>2</v>
      </c>
      <c r="BJ46">
        <v>2</v>
      </c>
      <c r="BK46">
        <v>4</v>
      </c>
      <c r="BL46">
        <v>5</v>
      </c>
      <c r="BM46">
        <v>1</v>
      </c>
      <c r="BN46">
        <v>0.7</v>
      </c>
      <c r="BO46">
        <v>2</v>
      </c>
      <c r="BP46">
        <v>1.7</v>
      </c>
      <c r="BQ46">
        <v>1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1</v>
      </c>
      <c r="BY46">
        <v>3</v>
      </c>
      <c r="BZ46">
        <v>0.6</v>
      </c>
      <c r="CA46">
        <v>6</v>
      </c>
      <c r="CB46">
        <v>1.2</v>
      </c>
      <c r="CC46">
        <v>3</v>
      </c>
      <c r="CD46">
        <v>2</v>
      </c>
      <c r="CE46">
        <v>0</v>
      </c>
      <c r="CF46">
        <v>0</v>
      </c>
      <c r="CG46">
        <v>1</v>
      </c>
      <c r="CH46">
        <v>2</v>
      </c>
      <c r="CI46">
        <v>2</v>
      </c>
      <c r="CJ46">
        <v>0</v>
      </c>
      <c r="CK46">
        <v>1</v>
      </c>
      <c r="CL46">
        <v>2</v>
      </c>
      <c r="CM46">
        <v>4</v>
      </c>
      <c r="CN46">
        <v>2</v>
      </c>
      <c r="CO46">
        <v>0.3</v>
      </c>
      <c r="CP46">
        <v>1</v>
      </c>
      <c r="CQ46">
        <v>1.3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0</v>
      </c>
      <c r="CX46">
        <v>0</v>
      </c>
      <c r="CY46">
        <v>0</v>
      </c>
      <c r="CZ46">
        <v>0</v>
      </c>
    </row>
    <row r="47" spans="1:104" x14ac:dyDescent="0.25">
      <c r="A47" s="1" t="s">
        <v>437</v>
      </c>
      <c r="B47">
        <v>565</v>
      </c>
      <c r="C47">
        <v>598</v>
      </c>
      <c r="D47" s="2">
        <v>43698</v>
      </c>
      <c r="E47" s="3">
        <f t="shared" si="0"/>
        <v>2019</v>
      </c>
      <c r="F47" s="3">
        <f t="shared" si="1"/>
        <v>8</v>
      </c>
      <c r="G47" s="3">
        <f t="shared" si="2"/>
        <v>4</v>
      </c>
      <c r="H47" t="s">
        <v>438</v>
      </c>
      <c r="I47">
        <v>530</v>
      </c>
      <c r="J47" t="s">
        <v>439</v>
      </c>
      <c r="K47" t="s">
        <v>129</v>
      </c>
      <c r="L47">
        <v>2019</v>
      </c>
      <c r="M47" t="s">
        <v>440</v>
      </c>
      <c r="N47" t="s">
        <v>438</v>
      </c>
      <c r="O47" t="s">
        <v>441</v>
      </c>
      <c r="P47">
        <v>31783</v>
      </c>
      <c r="Q47" t="s">
        <v>442</v>
      </c>
      <c r="R47">
        <v>1898</v>
      </c>
      <c r="S47" t="s">
        <v>443</v>
      </c>
      <c r="T47" t="s">
        <v>444</v>
      </c>
      <c r="U47">
        <v>51862</v>
      </c>
      <c r="V47" t="s">
        <v>445</v>
      </c>
      <c r="W47">
        <v>1945</v>
      </c>
      <c r="X47">
        <v>2</v>
      </c>
      <c r="Y47">
        <v>-3.5</v>
      </c>
      <c r="AA47">
        <v>-2.5</v>
      </c>
      <c r="AB47">
        <v>10</v>
      </c>
      <c r="AC47">
        <v>45</v>
      </c>
      <c r="AD47">
        <v>45</v>
      </c>
      <c r="AE47">
        <v>0</v>
      </c>
      <c r="AF47">
        <v>100</v>
      </c>
      <c r="AG47">
        <v>0</v>
      </c>
      <c r="AH47">
        <v>100</v>
      </c>
      <c r="AI47">
        <v>100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53</v>
      </c>
      <c r="AU47">
        <v>50</v>
      </c>
      <c r="AV47">
        <v>64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1</v>
      </c>
      <c r="BS47">
        <v>0</v>
      </c>
      <c r="BT47">
        <v>0</v>
      </c>
      <c r="BU47">
        <v>1</v>
      </c>
      <c r="BV47">
        <v>1</v>
      </c>
      <c r="BW47">
        <v>0</v>
      </c>
      <c r="BX47">
        <v>0</v>
      </c>
      <c r="BY47">
        <v>7</v>
      </c>
      <c r="BZ47">
        <v>1.4</v>
      </c>
      <c r="CA47">
        <v>5</v>
      </c>
      <c r="CB47">
        <v>1</v>
      </c>
      <c r="CC47">
        <v>3</v>
      </c>
      <c r="CD47">
        <v>3</v>
      </c>
      <c r="CE47">
        <v>2</v>
      </c>
      <c r="CF47">
        <v>0</v>
      </c>
      <c r="CG47">
        <v>1</v>
      </c>
      <c r="CH47">
        <v>2</v>
      </c>
      <c r="CI47">
        <v>0</v>
      </c>
      <c r="CJ47">
        <v>1</v>
      </c>
      <c r="CK47">
        <v>5</v>
      </c>
      <c r="CL47">
        <v>2</v>
      </c>
      <c r="CM47">
        <v>2</v>
      </c>
      <c r="CN47">
        <v>3</v>
      </c>
      <c r="CO47">
        <v>1.7</v>
      </c>
      <c r="CP47">
        <v>0.7</v>
      </c>
      <c r="CQ47">
        <v>0.7</v>
      </c>
      <c r="CR47">
        <v>1</v>
      </c>
      <c r="CS47">
        <v>1</v>
      </c>
      <c r="CT47">
        <v>1</v>
      </c>
      <c r="CU47">
        <v>0</v>
      </c>
      <c r="CV47">
        <v>0</v>
      </c>
      <c r="CW47">
        <v>1</v>
      </c>
      <c r="CX47">
        <v>1</v>
      </c>
      <c r="CY47">
        <v>0</v>
      </c>
      <c r="CZ47">
        <v>0</v>
      </c>
    </row>
    <row r="48" spans="1:104" x14ac:dyDescent="0.25">
      <c r="A48" s="1" t="s">
        <v>446</v>
      </c>
      <c r="B48">
        <v>3409</v>
      </c>
      <c r="C48">
        <v>3432</v>
      </c>
      <c r="D48" s="2">
        <v>43778</v>
      </c>
      <c r="E48" s="3">
        <f t="shared" si="0"/>
        <v>2019</v>
      </c>
      <c r="F48" s="3">
        <f t="shared" si="1"/>
        <v>11</v>
      </c>
      <c r="G48" s="3">
        <f t="shared" si="2"/>
        <v>7</v>
      </c>
      <c r="H48" t="s">
        <v>447</v>
      </c>
      <c r="I48">
        <v>921</v>
      </c>
      <c r="J48" t="s">
        <v>448</v>
      </c>
      <c r="K48" t="s">
        <v>449</v>
      </c>
      <c r="L48">
        <v>2019</v>
      </c>
      <c r="M48" t="s">
        <v>450</v>
      </c>
      <c r="N48" t="s">
        <v>447</v>
      </c>
      <c r="O48" t="s">
        <v>451</v>
      </c>
      <c r="P48">
        <v>2000</v>
      </c>
      <c r="Q48" t="s">
        <v>449</v>
      </c>
      <c r="R48">
        <v>1990</v>
      </c>
      <c r="S48" t="s">
        <v>452</v>
      </c>
      <c r="T48" t="s">
        <v>453</v>
      </c>
      <c r="U48">
        <v>1000</v>
      </c>
      <c r="V48" t="s">
        <v>449</v>
      </c>
      <c r="W48">
        <v>1969</v>
      </c>
      <c r="X48">
        <v>1</v>
      </c>
      <c r="Y48">
        <v>1.5</v>
      </c>
      <c r="Z48">
        <v>-4.5</v>
      </c>
      <c r="AA48">
        <v>-1.5</v>
      </c>
      <c r="AB48">
        <v>50</v>
      </c>
      <c r="AC48">
        <v>50</v>
      </c>
      <c r="AD48">
        <v>0</v>
      </c>
      <c r="AE48">
        <v>77</v>
      </c>
      <c r="AF48">
        <v>23</v>
      </c>
      <c r="AG48">
        <v>64</v>
      </c>
      <c r="AH48">
        <v>36</v>
      </c>
      <c r="AI48">
        <v>78</v>
      </c>
      <c r="AJ48">
        <v>22</v>
      </c>
      <c r="AK48">
        <v>94</v>
      </c>
      <c r="AL48">
        <v>6</v>
      </c>
      <c r="AM48">
        <v>0</v>
      </c>
      <c r="AN48">
        <v>0</v>
      </c>
      <c r="AO48">
        <v>0</v>
      </c>
      <c r="AP48">
        <v>0</v>
      </c>
      <c r="AQ48">
        <v>67</v>
      </c>
      <c r="AR48">
        <v>58</v>
      </c>
      <c r="AS48">
        <v>50</v>
      </c>
      <c r="AT48">
        <v>20</v>
      </c>
      <c r="AU48">
        <v>33</v>
      </c>
      <c r="AV48">
        <v>0</v>
      </c>
      <c r="AW48">
        <v>7</v>
      </c>
      <c r="AX48">
        <v>1.4</v>
      </c>
      <c r="AY48">
        <v>6</v>
      </c>
      <c r="AZ48">
        <v>1.2</v>
      </c>
      <c r="BA48">
        <v>2</v>
      </c>
      <c r="BB48">
        <v>3</v>
      </c>
      <c r="BC48">
        <v>1</v>
      </c>
      <c r="BD48">
        <v>2</v>
      </c>
      <c r="BE48">
        <v>1</v>
      </c>
      <c r="BF48">
        <v>0</v>
      </c>
      <c r="BG48">
        <v>0</v>
      </c>
      <c r="BH48">
        <v>1</v>
      </c>
      <c r="BI48">
        <v>3</v>
      </c>
      <c r="BJ48">
        <v>4</v>
      </c>
      <c r="BK48">
        <v>2</v>
      </c>
      <c r="BL48">
        <v>4</v>
      </c>
      <c r="BM48">
        <v>1.5</v>
      </c>
      <c r="BN48">
        <v>1.3</v>
      </c>
      <c r="BO48">
        <v>1</v>
      </c>
      <c r="BP48">
        <v>1.3</v>
      </c>
      <c r="BQ48">
        <v>1</v>
      </c>
      <c r="BR48">
        <v>1</v>
      </c>
      <c r="BS48">
        <v>0</v>
      </c>
      <c r="BT48">
        <v>1</v>
      </c>
      <c r="BU48">
        <v>0</v>
      </c>
      <c r="BV48">
        <v>0</v>
      </c>
      <c r="BW48">
        <v>1</v>
      </c>
      <c r="BX48">
        <v>0</v>
      </c>
      <c r="BY48">
        <v>4</v>
      </c>
      <c r="BZ48">
        <v>0.8</v>
      </c>
      <c r="CA48">
        <v>21</v>
      </c>
      <c r="CB48">
        <v>4.2</v>
      </c>
      <c r="CC48">
        <v>2</v>
      </c>
      <c r="CD48">
        <v>3</v>
      </c>
      <c r="CE48">
        <v>1</v>
      </c>
      <c r="CF48">
        <v>0</v>
      </c>
      <c r="CG48">
        <v>0</v>
      </c>
      <c r="CH48">
        <v>0</v>
      </c>
      <c r="CI48">
        <v>1</v>
      </c>
      <c r="CJ48">
        <v>3</v>
      </c>
      <c r="CK48">
        <v>3</v>
      </c>
      <c r="CL48">
        <v>1</v>
      </c>
      <c r="CM48">
        <v>4</v>
      </c>
      <c r="CN48">
        <v>17</v>
      </c>
      <c r="CO48">
        <v>1.5</v>
      </c>
      <c r="CP48">
        <v>0.3</v>
      </c>
      <c r="CQ48">
        <v>2</v>
      </c>
      <c r="CR48">
        <v>5.7</v>
      </c>
      <c r="CS48">
        <v>1</v>
      </c>
      <c r="CT48">
        <v>1</v>
      </c>
      <c r="CU48">
        <v>0</v>
      </c>
      <c r="CV48">
        <v>1</v>
      </c>
      <c r="CW48">
        <v>0</v>
      </c>
      <c r="CX48">
        <v>0</v>
      </c>
      <c r="CY48">
        <v>1</v>
      </c>
      <c r="CZ48">
        <v>0</v>
      </c>
    </row>
    <row r="49" spans="1:104" x14ac:dyDescent="0.25">
      <c r="A49" s="1" t="s">
        <v>454</v>
      </c>
      <c r="B49">
        <v>6283</v>
      </c>
      <c r="C49">
        <v>6281</v>
      </c>
      <c r="D49" s="2">
        <v>43708</v>
      </c>
      <c r="E49" s="3">
        <f t="shared" si="0"/>
        <v>2019</v>
      </c>
      <c r="F49" s="3">
        <f t="shared" si="1"/>
        <v>8</v>
      </c>
      <c r="G49" s="3">
        <f t="shared" si="2"/>
        <v>7</v>
      </c>
      <c r="H49" t="s">
        <v>455</v>
      </c>
      <c r="I49">
        <v>903</v>
      </c>
      <c r="J49" t="s">
        <v>456</v>
      </c>
      <c r="K49" t="s">
        <v>457</v>
      </c>
      <c r="L49">
        <v>2019</v>
      </c>
      <c r="M49" t="s">
        <v>458</v>
      </c>
      <c r="N49" t="s">
        <v>455</v>
      </c>
      <c r="O49" t="s">
        <v>459</v>
      </c>
      <c r="P49">
        <v>1000</v>
      </c>
      <c r="Q49" t="s">
        <v>457</v>
      </c>
      <c r="V49" t="s">
        <v>457</v>
      </c>
      <c r="X49">
        <v>2</v>
      </c>
      <c r="Y49">
        <v>2.5</v>
      </c>
      <c r="Z49">
        <v>-2.5</v>
      </c>
      <c r="AA49">
        <v>-4.5</v>
      </c>
      <c r="AB49">
        <v>10</v>
      </c>
      <c r="AC49">
        <v>45</v>
      </c>
      <c r="AD49">
        <v>45</v>
      </c>
      <c r="AE49">
        <v>20</v>
      </c>
      <c r="AF49">
        <v>80</v>
      </c>
      <c r="AG49">
        <v>42</v>
      </c>
      <c r="AH49">
        <v>58</v>
      </c>
      <c r="AI49">
        <v>14</v>
      </c>
      <c r="AJ49">
        <v>86</v>
      </c>
      <c r="AK49">
        <v>22</v>
      </c>
      <c r="AL49">
        <v>78</v>
      </c>
      <c r="AM49">
        <v>0</v>
      </c>
      <c r="AN49">
        <v>0</v>
      </c>
      <c r="AO49">
        <v>0</v>
      </c>
      <c r="AP49">
        <v>0</v>
      </c>
      <c r="AQ49">
        <v>8</v>
      </c>
      <c r="AR49">
        <v>56</v>
      </c>
      <c r="AS49">
        <v>0</v>
      </c>
      <c r="AT49">
        <v>44</v>
      </c>
      <c r="AU49">
        <v>78</v>
      </c>
      <c r="AV49">
        <v>67</v>
      </c>
      <c r="AW49">
        <v>5</v>
      </c>
      <c r="AX49">
        <v>1.3</v>
      </c>
      <c r="AY49">
        <v>18</v>
      </c>
      <c r="AZ49">
        <v>4.5</v>
      </c>
      <c r="BA49">
        <v>2</v>
      </c>
      <c r="BB49">
        <v>2</v>
      </c>
      <c r="BC49">
        <v>0</v>
      </c>
      <c r="BD49">
        <v>0</v>
      </c>
      <c r="BE49">
        <v>1</v>
      </c>
      <c r="BF49">
        <v>0</v>
      </c>
      <c r="BG49">
        <v>1</v>
      </c>
      <c r="BH49">
        <v>2</v>
      </c>
      <c r="BI49">
        <v>2</v>
      </c>
      <c r="BJ49">
        <v>3</v>
      </c>
      <c r="BK49">
        <v>11</v>
      </c>
      <c r="BL49">
        <v>7</v>
      </c>
      <c r="BM49">
        <v>1</v>
      </c>
      <c r="BN49">
        <v>1.5</v>
      </c>
      <c r="BO49">
        <v>5.5</v>
      </c>
      <c r="BP49">
        <v>3.5</v>
      </c>
      <c r="BQ49">
        <v>1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7</v>
      </c>
      <c r="BZ49">
        <v>2.2999999999999998</v>
      </c>
      <c r="CA49">
        <v>3</v>
      </c>
      <c r="CB49">
        <v>1</v>
      </c>
      <c r="CC49">
        <v>2</v>
      </c>
      <c r="CD49">
        <v>1</v>
      </c>
      <c r="CE49">
        <v>1</v>
      </c>
      <c r="CF49">
        <v>0</v>
      </c>
      <c r="CG49">
        <v>1</v>
      </c>
      <c r="CH49">
        <v>0</v>
      </c>
      <c r="CI49">
        <v>0</v>
      </c>
      <c r="CJ49">
        <v>1</v>
      </c>
      <c r="CK49">
        <v>5</v>
      </c>
      <c r="CL49">
        <v>2</v>
      </c>
      <c r="CM49">
        <v>0</v>
      </c>
      <c r="CN49">
        <v>3</v>
      </c>
      <c r="CO49">
        <v>2.5</v>
      </c>
      <c r="CP49">
        <v>2</v>
      </c>
      <c r="CQ49">
        <v>0</v>
      </c>
      <c r="CR49">
        <v>3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1</v>
      </c>
    </row>
    <row r="50" spans="1:104" x14ac:dyDescent="0.25">
      <c r="A50" s="1" t="s">
        <v>460</v>
      </c>
      <c r="B50">
        <v>2747</v>
      </c>
      <c r="C50">
        <v>2766</v>
      </c>
      <c r="D50" s="2">
        <v>43996</v>
      </c>
      <c r="E50" s="3">
        <f t="shared" si="0"/>
        <v>2020</v>
      </c>
      <c r="F50" s="3">
        <f t="shared" si="1"/>
        <v>6</v>
      </c>
      <c r="G50" s="3">
        <f t="shared" si="2"/>
        <v>1</v>
      </c>
      <c r="H50" t="s">
        <v>461</v>
      </c>
      <c r="I50">
        <v>1336</v>
      </c>
      <c r="J50" t="s">
        <v>462</v>
      </c>
      <c r="K50" t="s">
        <v>463</v>
      </c>
      <c r="L50">
        <v>2020</v>
      </c>
      <c r="M50" t="s">
        <v>458</v>
      </c>
      <c r="N50" t="s">
        <v>461</v>
      </c>
      <c r="O50" t="s">
        <v>464</v>
      </c>
      <c r="P50">
        <v>12415</v>
      </c>
      <c r="Q50" t="s">
        <v>463</v>
      </c>
      <c r="R50">
        <v>2002</v>
      </c>
      <c r="S50" t="s">
        <v>465</v>
      </c>
      <c r="T50" t="s">
        <v>466</v>
      </c>
      <c r="U50">
        <v>68476</v>
      </c>
      <c r="V50" t="s">
        <v>463</v>
      </c>
      <c r="W50">
        <v>1983</v>
      </c>
      <c r="X50" t="s">
        <v>125</v>
      </c>
      <c r="Z50">
        <v>-2.5</v>
      </c>
      <c r="AA50">
        <v>-2.5</v>
      </c>
      <c r="AB50">
        <v>10</v>
      </c>
      <c r="AC50">
        <v>45</v>
      </c>
      <c r="AD50">
        <v>45</v>
      </c>
      <c r="AE50">
        <v>50</v>
      </c>
      <c r="AF50">
        <v>50</v>
      </c>
      <c r="AG50">
        <v>44</v>
      </c>
      <c r="AH50">
        <v>56</v>
      </c>
      <c r="AI50">
        <v>64</v>
      </c>
      <c r="AJ50">
        <v>36</v>
      </c>
      <c r="AK50">
        <v>58</v>
      </c>
      <c r="AL50">
        <v>42</v>
      </c>
      <c r="AM50">
        <v>15</v>
      </c>
      <c r="AN50">
        <v>85</v>
      </c>
      <c r="AO50">
        <v>36</v>
      </c>
      <c r="AP50">
        <v>64</v>
      </c>
      <c r="AQ50">
        <v>40</v>
      </c>
      <c r="AR50">
        <v>31</v>
      </c>
      <c r="AS50">
        <v>62</v>
      </c>
      <c r="AT50">
        <v>40</v>
      </c>
      <c r="AU50">
        <v>38</v>
      </c>
      <c r="AV50">
        <v>31</v>
      </c>
      <c r="AW50">
        <v>4</v>
      </c>
      <c r="AX50">
        <v>0.8</v>
      </c>
      <c r="AY50">
        <v>5</v>
      </c>
      <c r="AZ50">
        <v>1</v>
      </c>
      <c r="BA50">
        <v>2</v>
      </c>
      <c r="BB50">
        <v>3</v>
      </c>
      <c r="BC50">
        <v>0</v>
      </c>
      <c r="BD50">
        <v>1</v>
      </c>
      <c r="BE50">
        <v>2</v>
      </c>
      <c r="BF50">
        <v>1</v>
      </c>
      <c r="BG50">
        <v>0</v>
      </c>
      <c r="BH50">
        <v>1</v>
      </c>
      <c r="BI50">
        <v>2</v>
      </c>
      <c r="BJ50">
        <v>2</v>
      </c>
      <c r="BK50">
        <v>2</v>
      </c>
      <c r="BL50">
        <v>3</v>
      </c>
      <c r="BM50">
        <v>1</v>
      </c>
      <c r="BN50">
        <v>0.7</v>
      </c>
      <c r="BO50">
        <v>1</v>
      </c>
      <c r="BP50">
        <v>1</v>
      </c>
      <c r="BQ50">
        <v>5</v>
      </c>
      <c r="BR50">
        <v>4</v>
      </c>
      <c r="BS50">
        <v>1</v>
      </c>
      <c r="BT50">
        <v>1</v>
      </c>
      <c r="BU50">
        <v>3</v>
      </c>
      <c r="BV50">
        <v>0</v>
      </c>
      <c r="BW50">
        <v>1</v>
      </c>
      <c r="BX50">
        <v>3</v>
      </c>
      <c r="BY50">
        <v>5</v>
      </c>
      <c r="BZ50">
        <v>1</v>
      </c>
      <c r="CA50">
        <v>9</v>
      </c>
      <c r="CB50">
        <v>1.8</v>
      </c>
      <c r="CC50">
        <v>3</v>
      </c>
      <c r="CD50">
        <v>2</v>
      </c>
      <c r="CE50">
        <v>1</v>
      </c>
      <c r="CF50">
        <v>1</v>
      </c>
      <c r="CG50">
        <v>0</v>
      </c>
      <c r="CH50">
        <v>0</v>
      </c>
      <c r="CI50">
        <v>2</v>
      </c>
      <c r="CJ50">
        <v>1</v>
      </c>
      <c r="CK50">
        <v>2</v>
      </c>
      <c r="CL50">
        <v>3</v>
      </c>
      <c r="CM50">
        <v>5</v>
      </c>
      <c r="CN50">
        <v>4</v>
      </c>
      <c r="CO50">
        <v>0.7</v>
      </c>
      <c r="CP50">
        <v>1.5</v>
      </c>
      <c r="CQ50">
        <v>1.7</v>
      </c>
      <c r="CR50">
        <v>2</v>
      </c>
      <c r="CS50">
        <v>4</v>
      </c>
      <c r="CT50">
        <v>5</v>
      </c>
      <c r="CU50">
        <v>3</v>
      </c>
      <c r="CV50">
        <v>1</v>
      </c>
      <c r="CW50">
        <v>0</v>
      </c>
      <c r="CX50">
        <v>3</v>
      </c>
      <c r="CY50">
        <v>1</v>
      </c>
      <c r="CZ50">
        <v>1</v>
      </c>
    </row>
    <row r="51" spans="1:104" x14ac:dyDescent="0.25">
      <c r="A51" s="1" t="s">
        <v>467</v>
      </c>
      <c r="B51">
        <v>3985</v>
      </c>
      <c r="C51">
        <v>2007</v>
      </c>
      <c r="D51" s="2">
        <v>43792</v>
      </c>
      <c r="E51" s="3">
        <f t="shared" si="0"/>
        <v>2019</v>
      </c>
      <c r="F51" s="3">
        <f t="shared" si="1"/>
        <v>11</v>
      </c>
      <c r="G51" s="3">
        <f t="shared" si="2"/>
        <v>7</v>
      </c>
      <c r="H51" t="s">
        <v>468</v>
      </c>
      <c r="I51">
        <v>516</v>
      </c>
      <c r="J51" t="s">
        <v>278</v>
      </c>
      <c r="K51" t="s">
        <v>279</v>
      </c>
      <c r="L51">
        <v>2019</v>
      </c>
      <c r="M51" t="s">
        <v>469</v>
      </c>
      <c r="N51" t="s">
        <v>470</v>
      </c>
      <c r="O51" t="s">
        <v>471</v>
      </c>
      <c r="P51">
        <v>1012</v>
      </c>
      <c r="Q51" t="s">
        <v>279</v>
      </c>
      <c r="R51">
        <v>1930</v>
      </c>
      <c r="S51" t="s">
        <v>281</v>
      </c>
      <c r="T51" t="s">
        <v>282</v>
      </c>
      <c r="U51">
        <v>10500</v>
      </c>
      <c r="V51" t="s">
        <v>279</v>
      </c>
      <c r="W51">
        <v>1958</v>
      </c>
      <c r="X51" t="s">
        <v>109</v>
      </c>
      <c r="Z51">
        <v>-2.5</v>
      </c>
      <c r="AA51">
        <v>-1.5</v>
      </c>
      <c r="AB51">
        <v>45</v>
      </c>
      <c r="AC51">
        <v>45</v>
      </c>
      <c r="AD51">
        <v>10</v>
      </c>
      <c r="AE51">
        <v>56</v>
      </c>
      <c r="AF51">
        <v>44</v>
      </c>
      <c r="AG51">
        <v>56</v>
      </c>
      <c r="AH51">
        <v>44</v>
      </c>
      <c r="AI51">
        <v>59</v>
      </c>
      <c r="AJ51">
        <v>41</v>
      </c>
      <c r="AK51">
        <v>73</v>
      </c>
      <c r="AL51">
        <v>27</v>
      </c>
      <c r="AM51">
        <v>100</v>
      </c>
      <c r="AN51">
        <v>0</v>
      </c>
      <c r="AO51">
        <v>100</v>
      </c>
      <c r="AP51">
        <v>0</v>
      </c>
      <c r="AQ51">
        <v>33</v>
      </c>
      <c r="AR51">
        <v>45</v>
      </c>
      <c r="AS51">
        <v>36</v>
      </c>
      <c r="AT51">
        <v>27</v>
      </c>
      <c r="AU51">
        <v>36</v>
      </c>
      <c r="AV51">
        <v>9</v>
      </c>
      <c r="AW51">
        <v>5</v>
      </c>
      <c r="AX51">
        <v>1</v>
      </c>
      <c r="AY51">
        <v>7</v>
      </c>
      <c r="AZ51">
        <v>1.4</v>
      </c>
      <c r="BA51">
        <v>14</v>
      </c>
      <c r="BB51">
        <v>10</v>
      </c>
      <c r="BC51">
        <v>11</v>
      </c>
      <c r="BD51">
        <v>5</v>
      </c>
      <c r="BE51">
        <v>1</v>
      </c>
      <c r="BF51">
        <v>2</v>
      </c>
      <c r="BG51">
        <v>2</v>
      </c>
      <c r="BH51">
        <v>3</v>
      </c>
      <c r="BI51">
        <v>25</v>
      </c>
      <c r="BJ51">
        <v>12</v>
      </c>
      <c r="BK51">
        <v>12</v>
      </c>
      <c r="BL51">
        <v>9</v>
      </c>
      <c r="BM51">
        <v>1.8</v>
      </c>
      <c r="BN51">
        <v>1.2</v>
      </c>
      <c r="BO51">
        <v>0.9</v>
      </c>
      <c r="BP51">
        <v>0.9</v>
      </c>
      <c r="BQ51">
        <v>1</v>
      </c>
      <c r="BR51">
        <v>1</v>
      </c>
      <c r="BS51">
        <v>0</v>
      </c>
      <c r="BT51">
        <v>1</v>
      </c>
      <c r="BU51">
        <v>0</v>
      </c>
      <c r="BV51">
        <v>0</v>
      </c>
      <c r="BW51">
        <v>1</v>
      </c>
      <c r="BX51">
        <v>0</v>
      </c>
      <c r="BY51">
        <v>4</v>
      </c>
      <c r="BZ51">
        <v>0.8</v>
      </c>
      <c r="CA51">
        <v>10</v>
      </c>
      <c r="CB51">
        <v>2</v>
      </c>
      <c r="CC51">
        <v>14</v>
      </c>
      <c r="CD51">
        <v>10</v>
      </c>
      <c r="CE51">
        <v>2</v>
      </c>
      <c r="CF51">
        <v>3</v>
      </c>
      <c r="CG51">
        <v>5</v>
      </c>
      <c r="CH51">
        <v>3</v>
      </c>
      <c r="CI51">
        <v>7</v>
      </c>
      <c r="CJ51">
        <v>4</v>
      </c>
      <c r="CK51">
        <v>14</v>
      </c>
      <c r="CL51">
        <v>11</v>
      </c>
      <c r="CM51">
        <v>22</v>
      </c>
      <c r="CN51">
        <v>16</v>
      </c>
      <c r="CO51">
        <v>1</v>
      </c>
      <c r="CP51">
        <v>1.1000000000000001</v>
      </c>
      <c r="CQ51">
        <v>1.6</v>
      </c>
      <c r="CR51">
        <v>1.6</v>
      </c>
      <c r="CS51">
        <v>1</v>
      </c>
      <c r="CT51">
        <v>1</v>
      </c>
      <c r="CU51">
        <v>0</v>
      </c>
      <c r="CV51">
        <v>1</v>
      </c>
      <c r="CW51">
        <v>0</v>
      </c>
      <c r="CX51">
        <v>0</v>
      </c>
      <c r="CY51">
        <v>1</v>
      </c>
      <c r="CZ51">
        <v>0</v>
      </c>
    </row>
    <row r="52" spans="1:104" x14ac:dyDescent="0.25">
      <c r="A52" s="1" t="s">
        <v>472</v>
      </c>
      <c r="B52">
        <v>5777</v>
      </c>
      <c r="C52">
        <v>8442</v>
      </c>
      <c r="D52" s="2">
        <v>43785</v>
      </c>
      <c r="E52" s="3">
        <f t="shared" si="0"/>
        <v>2019</v>
      </c>
      <c r="F52" s="3">
        <f t="shared" si="1"/>
        <v>11</v>
      </c>
      <c r="G52" s="3">
        <f t="shared" si="2"/>
        <v>7</v>
      </c>
      <c r="H52" t="s">
        <v>473</v>
      </c>
      <c r="I52">
        <v>1122</v>
      </c>
      <c r="J52" t="s">
        <v>474</v>
      </c>
      <c r="K52" t="s">
        <v>475</v>
      </c>
      <c r="L52">
        <v>2019</v>
      </c>
      <c r="M52" t="s">
        <v>476</v>
      </c>
      <c r="Q52" t="s">
        <v>475</v>
      </c>
      <c r="R52">
        <v>1948</v>
      </c>
      <c r="S52" t="s">
        <v>477</v>
      </c>
      <c r="T52" t="s">
        <v>478</v>
      </c>
      <c r="U52">
        <v>1000</v>
      </c>
      <c r="V52" t="s">
        <v>475</v>
      </c>
      <c r="X52">
        <v>1</v>
      </c>
      <c r="Z52">
        <v>-3.5</v>
      </c>
      <c r="AA52">
        <v>-1.5</v>
      </c>
      <c r="AB52">
        <v>45</v>
      </c>
      <c r="AC52">
        <v>45</v>
      </c>
      <c r="AD52">
        <v>10</v>
      </c>
      <c r="AE52">
        <v>67</v>
      </c>
      <c r="AF52">
        <v>33</v>
      </c>
      <c r="AG52">
        <v>81</v>
      </c>
      <c r="AH52">
        <v>19</v>
      </c>
      <c r="AI52">
        <v>50</v>
      </c>
      <c r="AJ52">
        <v>50</v>
      </c>
      <c r="AK52">
        <v>76</v>
      </c>
      <c r="AL52">
        <v>24</v>
      </c>
      <c r="AM52">
        <v>0</v>
      </c>
      <c r="AN52">
        <v>0</v>
      </c>
      <c r="AO52">
        <v>0</v>
      </c>
      <c r="AP52">
        <v>0</v>
      </c>
      <c r="AQ52">
        <v>80</v>
      </c>
      <c r="AR52">
        <v>81</v>
      </c>
      <c r="AS52">
        <v>63</v>
      </c>
      <c r="AT52">
        <v>40</v>
      </c>
      <c r="AU52">
        <v>19</v>
      </c>
      <c r="AV52">
        <v>63</v>
      </c>
      <c r="AW52">
        <v>13</v>
      </c>
      <c r="AX52">
        <v>2.6</v>
      </c>
      <c r="AY52">
        <v>6</v>
      </c>
      <c r="AZ52">
        <v>1.2</v>
      </c>
      <c r="BA52">
        <v>5</v>
      </c>
      <c r="BB52">
        <v>5</v>
      </c>
      <c r="BC52">
        <v>3</v>
      </c>
      <c r="BD52">
        <v>4</v>
      </c>
      <c r="BE52">
        <v>1</v>
      </c>
      <c r="BF52">
        <v>1</v>
      </c>
      <c r="BG52">
        <v>1</v>
      </c>
      <c r="BH52">
        <v>0</v>
      </c>
      <c r="BI52">
        <v>11</v>
      </c>
      <c r="BJ52">
        <v>16</v>
      </c>
      <c r="BK52">
        <v>6</v>
      </c>
      <c r="BL52">
        <v>4</v>
      </c>
      <c r="BM52">
        <v>2.2000000000000002</v>
      </c>
      <c r="BN52">
        <v>3.2</v>
      </c>
      <c r="BO52">
        <v>1.2</v>
      </c>
      <c r="BP52">
        <v>0.8</v>
      </c>
      <c r="BQ52">
        <v>1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3</v>
      </c>
      <c r="BZ52">
        <v>0.6</v>
      </c>
      <c r="CA52">
        <v>6</v>
      </c>
      <c r="CB52">
        <v>1.2</v>
      </c>
      <c r="CC52">
        <v>5</v>
      </c>
      <c r="CD52">
        <v>5</v>
      </c>
      <c r="CE52">
        <v>2</v>
      </c>
      <c r="CF52">
        <v>1</v>
      </c>
      <c r="CG52">
        <v>1</v>
      </c>
      <c r="CH52">
        <v>1</v>
      </c>
      <c r="CI52">
        <v>2</v>
      </c>
      <c r="CJ52">
        <v>3</v>
      </c>
      <c r="CK52">
        <v>7</v>
      </c>
      <c r="CL52">
        <v>4</v>
      </c>
      <c r="CM52">
        <v>6</v>
      </c>
      <c r="CN52">
        <v>8</v>
      </c>
      <c r="CO52">
        <v>1.4</v>
      </c>
      <c r="CP52">
        <v>0.8</v>
      </c>
      <c r="CQ52">
        <v>1.2</v>
      </c>
      <c r="CR52">
        <v>1.6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1</v>
      </c>
    </row>
    <row r="53" spans="1:104" x14ac:dyDescent="0.25">
      <c r="A53" s="1" t="s">
        <v>479</v>
      </c>
      <c r="B53">
        <v>1048</v>
      </c>
      <c r="C53">
        <v>1044</v>
      </c>
      <c r="D53" s="2">
        <v>44079</v>
      </c>
      <c r="E53" s="3">
        <f t="shared" si="0"/>
        <v>2020</v>
      </c>
      <c r="F53" s="3">
        <f t="shared" si="1"/>
        <v>9</v>
      </c>
      <c r="G53" s="3">
        <f t="shared" si="2"/>
        <v>7</v>
      </c>
      <c r="H53" t="s">
        <v>480</v>
      </c>
      <c r="I53">
        <v>972</v>
      </c>
      <c r="J53" t="s">
        <v>320</v>
      </c>
      <c r="K53" t="s">
        <v>481</v>
      </c>
      <c r="L53">
        <v>2019</v>
      </c>
      <c r="M53" t="s">
        <v>469</v>
      </c>
      <c r="N53" t="s">
        <v>480</v>
      </c>
      <c r="O53" t="s">
        <v>482</v>
      </c>
      <c r="P53">
        <v>20000</v>
      </c>
      <c r="Q53" t="s">
        <v>481</v>
      </c>
      <c r="S53" t="s">
        <v>483</v>
      </c>
      <c r="T53" t="s">
        <v>484</v>
      </c>
      <c r="U53">
        <v>19676</v>
      </c>
      <c r="V53" t="s">
        <v>481</v>
      </c>
      <c r="W53">
        <v>1949</v>
      </c>
      <c r="X53" t="s">
        <v>125</v>
      </c>
      <c r="Z53">
        <v>-1.5</v>
      </c>
      <c r="AA53">
        <v>-2.5</v>
      </c>
      <c r="AB53">
        <v>10</v>
      </c>
      <c r="AC53">
        <v>45</v>
      </c>
      <c r="AD53">
        <v>45</v>
      </c>
      <c r="AE53">
        <v>50</v>
      </c>
      <c r="AF53">
        <v>50</v>
      </c>
      <c r="AG53">
        <v>33</v>
      </c>
      <c r="AH53">
        <v>67</v>
      </c>
      <c r="AI53">
        <v>45</v>
      </c>
      <c r="AJ53">
        <v>55</v>
      </c>
      <c r="AK53">
        <v>37</v>
      </c>
      <c r="AL53">
        <v>63</v>
      </c>
      <c r="AM53">
        <v>38</v>
      </c>
      <c r="AN53">
        <v>62</v>
      </c>
      <c r="AO53">
        <v>50</v>
      </c>
      <c r="AP53">
        <v>50</v>
      </c>
      <c r="AQ53">
        <v>33</v>
      </c>
      <c r="AR53">
        <v>23</v>
      </c>
      <c r="AS53">
        <v>54</v>
      </c>
      <c r="AT53">
        <v>33</v>
      </c>
      <c r="AU53">
        <v>46</v>
      </c>
      <c r="AV53">
        <v>62</v>
      </c>
      <c r="AW53">
        <v>3</v>
      </c>
      <c r="AX53">
        <v>0.6</v>
      </c>
      <c r="AY53">
        <v>6</v>
      </c>
      <c r="AZ53">
        <v>1.2</v>
      </c>
      <c r="BA53">
        <v>11</v>
      </c>
      <c r="BB53">
        <v>13</v>
      </c>
      <c r="BC53">
        <v>3</v>
      </c>
      <c r="BD53">
        <v>2</v>
      </c>
      <c r="BE53">
        <v>3</v>
      </c>
      <c r="BF53">
        <v>6</v>
      </c>
      <c r="BG53">
        <v>5</v>
      </c>
      <c r="BH53">
        <v>5</v>
      </c>
      <c r="BI53">
        <v>12</v>
      </c>
      <c r="BJ53">
        <v>12</v>
      </c>
      <c r="BK53">
        <v>18</v>
      </c>
      <c r="BL53">
        <v>18</v>
      </c>
      <c r="BM53">
        <v>1.1000000000000001</v>
      </c>
      <c r="BN53">
        <v>0.9</v>
      </c>
      <c r="BO53">
        <v>1.6</v>
      </c>
      <c r="BP53">
        <v>1.4</v>
      </c>
      <c r="BQ53">
        <v>2</v>
      </c>
      <c r="BR53">
        <v>3</v>
      </c>
      <c r="BS53">
        <v>1</v>
      </c>
      <c r="BT53">
        <v>0</v>
      </c>
      <c r="BU53">
        <v>1</v>
      </c>
      <c r="BV53">
        <v>1</v>
      </c>
      <c r="BW53">
        <v>0</v>
      </c>
      <c r="BX53">
        <v>2</v>
      </c>
      <c r="BY53">
        <v>6</v>
      </c>
      <c r="BZ53">
        <v>1.2</v>
      </c>
      <c r="CA53">
        <v>5</v>
      </c>
      <c r="CB53">
        <v>1</v>
      </c>
      <c r="CC53">
        <v>12</v>
      </c>
      <c r="CD53">
        <v>12</v>
      </c>
      <c r="CE53">
        <v>5</v>
      </c>
      <c r="CF53">
        <v>1</v>
      </c>
      <c r="CG53">
        <v>3</v>
      </c>
      <c r="CH53">
        <v>10</v>
      </c>
      <c r="CI53">
        <v>4</v>
      </c>
      <c r="CJ53">
        <v>1</v>
      </c>
      <c r="CK53">
        <v>17</v>
      </c>
      <c r="CL53">
        <v>10</v>
      </c>
      <c r="CM53">
        <v>14</v>
      </c>
      <c r="CN53">
        <v>10</v>
      </c>
      <c r="CO53">
        <v>1.4</v>
      </c>
      <c r="CP53">
        <v>0.8</v>
      </c>
      <c r="CQ53">
        <v>1.2</v>
      </c>
      <c r="CR53">
        <v>0.8</v>
      </c>
      <c r="CS53">
        <v>3</v>
      </c>
      <c r="CT53">
        <v>2</v>
      </c>
      <c r="CU53">
        <v>2</v>
      </c>
      <c r="CV53">
        <v>0</v>
      </c>
      <c r="CW53">
        <v>1</v>
      </c>
      <c r="CX53">
        <v>1</v>
      </c>
      <c r="CY53">
        <v>0</v>
      </c>
      <c r="CZ53">
        <v>1</v>
      </c>
    </row>
    <row r="54" spans="1:104" x14ac:dyDescent="0.25">
      <c r="A54" s="1" t="s">
        <v>485</v>
      </c>
      <c r="B54">
        <v>409</v>
      </c>
      <c r="C54">
        <v>412</v>
      </c>
      <c r="D54" s="2">
        <v>43767</v>
      </c>
      <c r="E54" s="3">
        <f t="shared" si="0"/>
        <v>2019</v>
      </c>
      <c r="F54" s="3">
        <f t="shared" si="1"/>
        <v>10</v>
      </c>
      <c r="G54" s="3">
        <f t="shared" si="2"/>
        <v>3</v>
      </c>
      <c r="H54" t="s">
        <v>486</v>
      </c>
      <c r="I54">
        <v>784</v>
      </c>
      <c r="J54" t="s">
        <v>487</v>
      </c>
      <c r="K54" t="s">
        <v>286</v>
      </c>
      <c r="L54">
        <v>2019</v>
      </c>
      <c r="M54" t="s">
        <v>130</v>
      </c>
      <c r="N54" t="s">
        <v>488</v>
      </c>
      <c r="O54" t="s">
        <v>489</v>
      </c>
      <c r="P54">
        <v>4235</v>
      </c>
      <c r="Q54" t="s">
        <v>286</v>
      </c>
      <c r="R54">
        <v>1990</v>
      </c>
      <c r="S54" t="s">
        <v>490</v>
      </c>
      <c r="T54" t="s">
        <v>491</v>
      </c>
      <c r="U54">
        <v>10000</v>
      </c>
      <c r="V54" t="s">
        <v>286</v>
      </c>
      <c r="W54">
        <v>1902</v>
      </c>
      <c r="X54" t="s">
        <v>125</v>
      </c>
      <c r="AB54">
        <v>0</v>
      </c>
      <c r="AC54">
        <v>50</v>
      </c>
      <c r="AD54">
        <v>50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15</v>
      </c>
      <c r="AN54">
        <v>85</v>
      </c>
      <c r="AO54">
        <v>36</v>
      </c>
      <c r="AP54">
        <v>64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5</v>
      </c>
      <c r="BR54">
        <v>3</v>
      </c>
      <c r="BS54">
        <v>1</v>
      </c>
      <c r="BT54">
        <v>0</v>
      </c>
      <c r="BU54">
        <v>2</v>
      </c>
      <c r="BV54">
        <v>0</v>
      </c>
      <c r="BW54">
        <v>2</v>
      </c>
      <c r="BX54">
        <v>3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3</v>
      </c>
      <c r="CT54">
        <v>5</v>
      </c>
      <c r="CU54">
        <v>3</v>
      </c>
      <c r="CV54">
        <v>2</v>
      </c>
      <c r="CW54">
        <v>0</v>
      </c>
      <c r="CX54">
        <v>2</v>
      </c>
      <c r="CY54">
        <v>0</v>
      </c>
      <c r="CZ54">
        <v>1</v>
      </c>
    </row>
    <row r="55" spans="1:104" x14ac:dyDescent="0.25">
      <c r="A55" s="1" t="s">
        <v>492</v>
      </c>
      <c r="B55">
        <v>333</v>
      </c>
      <c r="C55">
        <v>329</v>
      </c>
      <c r="D55" s="2">
        <v>44058</v>
      </c>
      <c r="E55" s="3">
        <f t="shared" si="0"/>
        <v>2020</v>
      </c>
      <c r="F55" s="3">
        <f t="shared" si="1"/>
        <v>8</v>
      </c>
      <c r="G55" s="3">
        <f t="shared" si="2"/>
        <v>7</v>
      </c>
      <c r="H55" t="s">
        <v>493</v>
      </c>
      <c r="I55">
        <v>1310</v>
      </c>
      <c r="J55" t="s">
        <v>494</v>
      </c>
      <c r="K55" t="s">
        <v>495</v>
      </c>
      <c r="L55">
        <v>2020</v>
      </c>
      <c r="M55" t="s">
        <v>218</v>
      </c>
      <c r="N55" t="s">
        <v>493</v>
      </c>
      <c r="O55" t="s">
        <v>496</v>
      </c>
      <c r="P55">
        <v>8022</v>
      </c>
      <c r="Q55" t="s">
        <v>495</v>
      </c>
      <c r="R55">
        <v>1928</v>
      </c>
      <c r="S55" t="s">
        <v>497</v>
      </c>
      <c r="T55" t="s">
        <v>498</v>
      </c>
      <c r="U55">
        <v>11800</v>
      </c>
      <c r="V55" t="s">
        <v>495</v>
      </c>
      <c r="W55">
        <v>1911</v>
      </c>
      <c r="X55" t="s">
        <v>125</v>
      </c>
      <c r="Z55">
        <v>-2.5</v>
      </c>
      <c r="AA55">
        <v>-2.5</v>
      </c>
      <c r="AB55">
        <v>10</v>
      </c>
      <c r="AC55">
        <v>45</v>
      </c>
      <c r="AD55">
        <v>45</v>
      </c>
      <c r="AE55">
        <v>54</v>
      </c>
      <c r="AF55">
        <v>46</v>
      </c>
      <c r="AG55">
        <v>37</v>
      </c>
      <c r="AH55">
        <v>63</v>
      </c>
      <c r="AI55">
        <v>50</v>
      </c>
      <c r="AJ55">
        <v>50</v>
      </c>
      <c r="AK55">
        <v>44</v>
      </c>
      <c r="AL55">
        <v>56</v>
      </c>
      <c r="AM55">
        <v>36</v>
      </c>
      <c r="AN55">
        <v>64</v>
      </c>
      <c r="AO55">
        <v>47</v>
      </c>
      <c r="AP55">
        <v>53</v>
      </c>
      <c r="AQ55">
        <v>47</v>
      </c>
      <c r="AR55">
        <v>32</v>
      </c>
      <c r="AS55">
        <v>64</v>
      </c>
      <c r="AT55">
        <v>40</v>
      </c>
      <c r="AU55">
        <v>55</v>
      </c>
      <c r="AV55">
        <v>64</v>
      </c>
      <c r="AW55">
        <v>7</v>
      </c>
      <c r="AX55">
        <v>1.4</v>
      </c>
      <c r="AY55">
        <v>8</v>
      </c>
      <c r="AZ55">
        <v>1.6</v>
      </c>
      <c r="BA55">
        <v>7</v>
      </c>
      <c r="BB55">
        <v>6</v>
      </c>
      <c r="BC55">
        <v>3</v>
      </c>
      <c r="BD55">
        <v>1</v>
      </c>
      <c r="BE55">
        <v>1</v>
      </c>
      <c r="BF55">
        <v>1</v>
      </c>
      <c r="BG55">
        <v>3</v>
      </c>
      <c r="BH55">
        <v>4</v>
      </c>
      <c r="BI55">
        <v>9</v>
      </c>
      <c r="BJ55">
        <v>6</v>
      </c>
      <c r="BK55">
        <v>5</v>
      </c>
      <c r="BL55">
        <v>12</v>
      </c>
      <c r="BM55">
        <v>1.3</v>
      </c>
      <c r="BN55">
        <v>1</v>
      </c>
      <c r="BO55">
        <v>0.7</v>
      </c>
      <c r="BP55">
        <v>2</v>
      </c>
      <c r="BQ55">
        <v>5</v>
      </c>
      <c r="BR55">
        <v>4</v>
      </c>
      <c r="BS55">
        <v>3</v>
      </c>
      <c r="BT55">
        <v>1</v>
      </c>
      <c r="BU55">
        <v>2</v>
      </c>
      <c r="BV55">
        <v>2</v>
      </c>
      <c r="BW55">
        <v>0</v>
      </c>
      <c r="BX55">
        <v>1</v>
      </c>
      <c r="BY55">
        <v>12</v>
      </c>
      <c r="BZ55">
        <v>2.4</v>
      </c>
      <c r="CA55">
        <v>8</v>
      </c>
      <c r="CB55">
        <v>1.6</v>
      </c>
      <c r="CC55">
        <v>7</v>
      </c>
      <c r="CD55">
        <v>7</v>
      </c>
      <c r="CE55">
        <v>6</v>
      </c>
      <c r="CF55">
        <v>4</v>
      </c>
      <c r="CG55">
        <v>0</v>
      </c>
      <c r="CH55">
        <v>1</v>
      </c>
      <c r="CI55">
        <v>1</v>
      </c>
      <c r="CJ55">
        <v>2</v>
      </c>
      <c r="CK55">
        <v>22</v>
      </c>
      <c r="CL55">
        <v>18</v>
      </c>
      <c r="CM55">
        <v>5</v>
      </c>
      <c r="CN55">
        <v>10</v>
      </c>
      <c r="CO55">
        <v>3.1</v>
      </c>
      <c r="CP55">
        <v>2.6</v>
      </c>
      <c r="CQ55">
        <v>0.7</v>
      </c>
      <c r="CR55">
        <v>1.4</v>
      </c>
      <c r="CS55">
        <v>4</v>
      </c>
      <c r="CT55">
        <v>5</v>
      </c>
      <c r="CU55">
        <v>1</v>
      </c>
      <c r="CV55">
        <v>0</v>
      </c>
      <c r="CW55">
        <v>2</v>
      </c>
      <c r="CX55">
        <v>2</v>
      </c>
      <c r="CY55">
        <v>1</v>
      </c>
      <c r="CZ55">
        <v>3</v>
      </c>
    </row>
    <row r="56" spans="1:104" x14ac:dyDescent="0.25">
      <c r="A56" s="1" t="s">
        <v>499</v>
      </c>
      <c r="B56">
        <v>2931</v>
      </c>
      <c r="C56">
        <v>2950</v>
      </c>
      <c r="D56" s="2">
        <v>43902</v>
      </c>
      <c r="E56" s="3">
        <f t="shared" si="0"/>
        <v>2020</v>
      </c>
      <c r="F56" s="3">
        <f t="shared" si="1"/>
        <v>3</v>
      </c>
      <c r="G56" s="3">
        <f t="shared" si="2"/>
        <v>5</v>
      </c>
      <c r="H56" t="s">
        <v>500</v>
      </c>
      <c r="I56">
        <v>901</v>
      </c>
      <c r="J56" t="s">
        <v>501</v>
      </c>
      <c r="K56" t="s">
        <v>502</v>
      </c>
      <c r="L56">
        <v>2019</v>
      </c>
      <c r="M56" t="s">
        <v>105</v>
      </c>
      <c r="N56" t="s">
        <v>500</v>
      </c>
      <c r="O56" t="s">
        <v>503</v>
      </c>
      <c r="P56">
        <v>27550</v>
      </c>
      <c r="Q56" t="s">
        <v>502</v>
      </c>
      <c r="R56">
        <v>1958</v>
      </c>
      <c r="S56" t="s">
        <v>500</v>
      </c>
      <c r="T56" t="s">
        <v>503</v>
      </c>
      <c r="U56">
        <v>27550</v>
      </c>
      <c r="V56" t="s">
        <v>502</v>
      </c>
      <c r="W56">
        <v>1984</v>
      </c>
      <c r="X56" t="s">
        <v>109</v>
      </c>
      <c r="Z56">
        <v>-2.5</v>
      </c>
      <c r="AA56">
        <v>-1.5</v>
      </c>
      <c r="AB56">
        <v>50</v>
      </c>
      <c r="AC56">
        <v>50</v>
      </c>
      <c r="AD56">
        <v>0</v>
      </c>
      <c r="AE56">
        <v>75</v>
      </c>
      <c r="AF56">
        <v>25</v>
      </c>
      <c r="AG56">
        <v>70</v>
      </c>
      <c r="AH56">
        <v>30</v>
      </c>
      <c r="AI56">
        <v>64</v>
      </c>
      <c r="AJ56">
        <v>36</v>
      </c>
      <c r="AK56">
        <v>0</v>
      </c>
      <c r="AL56">
        <v>0</v>
      </c>
      <c r="AM56">
        <v>100</v>
      </c>
      <c r="AN56">
        <v>0</v>
      </c>
      <c r="AO56">
        <v>63</v>
      </c>
      <c r="AP56">
        <v>38</v>
      </c>
      <c r="AQ56">
        <v>60</v>
      </c>
      <c r="AR56">
        <v>58</v>
      </c>
      <c r="AS56">
        <v>58</v>
      </c>
      <c r="AT56">
        <v>20</v>
      </c>
      <c r="AU56">
        <v>25</v>
      </c>
      <c r="AV56">
        <v>25</v>
      </c>
      <c r="AW56">
        <v>7</v>
      </c>
      <c r="AX56">
        <v>1.4</v>
      </c>
      <c r="AY56">
        <v>5</v>
      </c>
      <c r="AZ56">
        <v>1</v>
      </c>
      <c r="BA56">
        <v>9</v>
      </c>
      <c r="BB56">
        <v>12</v>
      </c>
      <c r="BC56">
        <v>2</v>
      </c>
      <c r="BD56">
        <v>2</v>
      </c>
      <c r="BE56">
        <v>4</v>
      </c>
      <c r="BF56">
        <v>3</v>
      </c>
      <c r="BG56">
        <v>3</v>
      </c>
      <c r="BH56">
        <v>7</v>
      </c>
      <c r="BI56">
        <v>13</v>
      </c>
      <c r="BJ56">
        <v>14</v>
      </c>
      <c r="BK56">
        <v>15</v>
      </c>
      <c r="BL56">
        <v>21</v>
      </c>
      <c r="BM56">
        <v>1.4</v>
      </c>
      <c r="BN56">
        <v>1.2</v>
      </c>
      <c r="BO56">
        <v>1.7</v>
      </c>
      <c r="BP56">
        <v>1.8</v>
      </c>
      <c r="BQ56">
        <v>1</v>
      </c>
      <c r="BR56">
        <v>1</v>
      </c>
      <c r="BS56">
        <v>0</v>
      </c>
      <c r="BT56">
        <v>1</v>
      </c>
      <c r="BU56">
        <v>0</v>
      </c>
      <c r="BV56">
        <v>0</v>
      </c>
      <c r="BW56">
        <v>1</v>
      </c>
      <c r="BX56">
        <v>0</v>
      </c>
      <c r="BY56">
        <v>3</v>
      </c>
      <c r="BZ56">
        <v>0.6</v>
      </c>
      <c r="CA56">
        <v>9</v>
      </c>
      <c r="CB56">
        <v>1.8</v>
      </c>
      <c r="CC56">
        <v>10</v>
      </c>
      <c r="CD56">
        <v>11</v>
      </c>
      <c r="CE56">
        <v>2</v>
      </c>
      <c r="CF56">
        <v>0</v>
      </c>
      <c r="CG56">
        <v>4</v>
      </c>
      <c r="CH56">
        <v>4</v>
      </c>
      <c r="CI56">
        <v>4</v>
      </c>
      <c r="CJ56">
        <v>7</v>
      </c>
      <c r="CK56">
        <v>13</v>
      </c>
      <c r="CL56">
        <v>7</v>
      </c>
      <c r="CM56">
        <v>16</v>
      </c>
      <c r="CN56">
        <v>25</v>
      </c>
      <c r="CO56">
        <v>1.3</v>
      </c>
      <c r="CP56">
        <v>0.6</v>
      </c>
      <c r="CQ56">
        <v>1.6</v>
      </c>
      <c r="CR56">
        <v>2.2999999999999998</v>
      </c>
      <c r="CS56">
        <v>1</v>
      </c>
      <c r="CT56">
        <v>1</v>
      </c>
      <c r="CU56">
        <v>0</v>
      </c>
      <c r="CV56">
        <v>1</v>
      </c>
      <c r="CW56">
        <v>0</v>
      </c>
      <c r="CX56">
        <v>0</v>
      </c>
      <c r="CY56">
        <v>1</v>
      </c>
      <c r="CZ56">
        <v>0</v>
      </c>
    </row>
    <row r="57" spans="1:104" x14ac:dyDescent="0.25">
      <c r="A57" s="1" t="s">
        <v>504</v>
      </c>
      <c r="B57">
        <v>3752</v>
      </c>
      <c r="C57">
        <v>3758</v>
      </c>
      <c r="D57" s="2">
        <v>43701</v>
      </c>
      <c r="E57" s="3">
        <f t="shared" si="0"/>
        <v>2019</v>
      </c>
      <c r="F57" s="3">
        <f t="shared" si="1"/>
        <v>8</v>
      </c>
      <c r="G57" s="3">
        <f t="shared" si="2"/>
        <v>7</v>
      </c>
      <c r="H57" t="s">
        <v>505</v>
      </c>
      <c r="I57">
        <v>481</v>
      </c>
      <c r="J57" t="s">
        <v>506</v>
      </c>
      <c r="K57" t="s">
        <v>507</v>
      </c>
      <c r="L57">
        <v>2019</v>
      </c>
      <c r="M57" t="s">
        <v>105</v>
      </c>
      <c r="N57" t="s">
        <v>508</v>
      </c>
      <c r="O57" t="s">
        <v>509</v>
      </c>
      <c r="P57">
        <v>1000</v>
      </c>
      <c r="Q57" t="s">
        <v>507</v>
      </c>
      <c r="S57" t="s">
        <v>510</v>
      </c>
      <c r="T57" t="s">
        <v>511</v>
      </c>
      <c r="U57">
        <v>1000</v>
      </c>
      <c r="V57" t="s">
        <v>507</v>
      </c>
      <c r="X57" t="s">
        <v>125</v>
      </c>
      <c r="Z57">
        <v>-2.5</v>
      </c>
      <c r="AA57">
        <v>-3.5</v>
      </c>
      <c r="AB57">
        <v>10</v>
      </c>
      <c r="AC57">
        <v>45</v>
      </c>
      <c r="AD57">
        <v>45</v>
      </c>
      <c r="AE57">
        <v>44</v>
      </c>
      <c r="AF57">
        <v>56</v>
      </c>
      <c r="AG57">
        <v>38</v>
      </c>
      <c r="AH57">
        <v>63</v>
      </c>
      <c r="AI57">
        <v>50</v>
      </c>
      <c r="AJ57">
        <v>50</v>
      </c>
      <c r="AK57">
        <v>34</v>
      </c>
      <c r="AL57">
        <v>66</v>
      </c>
      <c r="AM57">
        <v>33</v>
      </c>
      <c r="AN57">
        <v>67</v>
      </c>
      <c r="AO57">
        <v>40</v>
      </c>
      <c r="AP57">
        <v>60</v>
      </c>
      <c r="AQ57">
        <v>27</v>
      </c>
      <c r="AR57">
        <v>21</v>
      </c>
      <c r="AS57">
        <v>69</v>
      </c>
      <c r="AT57">
        <v>33</v>
      </c>
      <c r="AU57">
        <v>34</v>
      </c>
      <c r="AV57">
        <v>69</v>
      </c>
      <c r="AW57">
        <v>6</v>
      </c>
      <c r="AX57">
        <v>1.2</v>
      </c>
      <c r="AY57">
        <v>9</v>
      </c>
      <c r="AZ57">
        <v>1.8</v>
      </c>
      <c r="BA57">
        <v>10</v>
      </c>
      <c r="BB57">
        <v>11</v>
      </c>
      <c r="BC57">
        <v>2</v>
      </c>
      <c r="BD57">
        <v>3</v>
      </c>
      <c r="BE57">
        <v>1</v>
      </c>
      <c r="BF57">
        <v>1</v>
      </c>
      <c r="BG57">
        <v>7</v>
      </c>
      <c r="BH57">
        <v>7</v>
      </c>
      <c r="BI57">
        <v>13</v>
      </c>
      <c r="BJ57">
        <v>13</v>
      </c>
      <c r="BK57">
        <v>19</v>
      </c>
      <c r="BL57">
        <v>23</v>
      </c>
      <c r="BM57">
        <v>1.3</v>
      </c>
      <c r="BN57">
        <v>1.2</v>
      </c>
      <c r="BO57">
        <v>1.9</v>
      </c>
      <c r="BP57">
        <v>2.1</v>
      </c>
      <c r="BQ57">
        <v>2</v>
      </c>
      <c r="BR57">
        <v>3</v>
      </c>
      <c r="BS57">
        <v>0</v>
      </c>
      <c r="BT57">
        <v>1</v>
      </c>
      <c r="BU57">
        <v>0</v>
      </c>
      <c r="BV57">
        <v>0</v>
      </c>
      <c r="BW57">
        <v>2</v>
      </c>
      <c r="BX57">
        <v>2</v>
      </c>
      <c r="BY57">
        <v>10</v>
      </c>
      <c r="BZ57">
        <v>2</v>
      </c>
      <c r="CA57">
        <v>9</v>
      </c>
      <c r="CB57">
        <v>1.8</v>
      </c>
      <c r="CC57">
        <v>11</v>
      </c>
      <c r="CD57">
        <v>10</v>
      </c>
      <c r="CE57">
        <v>7</v>
      </c>
      <c r="CF57">
        <v>5</v>
      </c>
      <c r="CG57">
        <v>2</v>
      </c>
      <c r="CH57">
        <v>3</v>
      </c>
      <c r="CI57">
        <v>2</v>
      </c>
      <c r="CJ57">
        <v>2</v>
      </c>
      <c r="CK57">
        <v>30</v>
      </c>
      <c r="CL57">
        <v>25</v>
      </c>
      <c r="CM57">
        <v>15</v>
      </c>
      <c r="CN57">
        <v>18</v>
      </c>
      <c r="CO57">
        <v>2.7</v>
      </c>
      <c r="CP57">
        <v>2.5</v>
      </c>
      <c r="CQ57">
        <v>1.4</v>
      </c>
      <c r="CR57">
        <v>1.8</v>
      </c>
      <c r="CS57">
        <v>3</v>
      </c>
      <c r="CT57">
        <v>2</v>
      </c>
      <c r="CU57">
        <v>2</v>
      </c>
      <c r="CV57">
        <v>2</v>
      </c>
      <c r="CW57">
        <v>0</v>
      </c>
      <c r="CX57">
        <v>0</v>
      </c>
      <c r="CY57">
        <v>1</v>
      </c>
      <c r="CZ57">
        <v>0</v>
      </c>
    </row>
    <row r="58" spans="1:104" x14ac:dyDescent="0.25">
      <c r="A58" s="1" t="s">
        <v>512</v>
      </c>
      <c r="B58">
        <v>5944</v>
      </c>
      <c r="C58">
        <v>5992</v>
      </c>
      <c r="D58" s="2">
        <v>43876</v>
      </c>
      <c r="E58" s="3">
        <f t="shared" si="0"/>
        <v>2020</v>
      </c>
      <c r="F58" s="3">
        <f t="shared" si="1"/>
        <v>2</v>
      </c>
      <c r="G58" s="3">
        <f t="shared" si="2"/>
        <v>7</v>
      </c>
      <c r="H58" t="s">
        <v>513</v>
      </c>
      <c r="I58">
        <v>1115</v>
      </c>
      <c r="J58" t="s">
        <v>514</v>
      </c>
      <c r="K58" t="s">
        <v>475</v>
      </c>
      <c r="L58">
        <v>2019</v>
      </c>
      <c r="M58" t="s">
        <v>515</v>
      </c>
      <c r="Q58" t="s">
        <v>475</v>
      </c>
      <c r="R58">
        <v>1940</v>
      </c>
      <c r="S58" t="s">
        <v>516</v>
      </c>
      <c r="T58" t="s">
        <v>517</v>
      </c>
      <c r="U58">
        <v>1500</v>
      </c>
      <c r="V58" t="s">
        <v>475</v>
      </c>
      <c r="W58">
        <v>1949</v>
      </c>
      <c r="X58" t="s">
        <v>125</v>
      </c>
      <c r="Z58">
        <v>-1.5</v>
      </c>
      <c r="AA58">
        <v>-1.5</v>
      </c>
      <c r="AB58">
        <v>10</v>
      </c>
      <c r="AC58">
        <v>45</v>
      </c>
      <c r="AD58">
        <v>45</v>
      </c>
      <c r="AE58">
        <v>33</v>
      </c>
      <c r="AF58">
        <v>67</v>
      </c>
      <c r="AG58">
        <v>40</v>
      </c>
      <c r="AH58">
        <v>60</v>
      </c>
      <c r="AI58">
        <v>31</v>
      </c>
      <c r="AJ58">
        <v>69</v>
      </c>
      <c r="AK58">
        <v>51</v>
      </c>
      <c r="AL58">
        <v>49</v>
      </c>
      <c r="AM58">
        <v>50</v>
      </c>
      <c r="AN58">
        <v>50</v>
      </c>
      <c r="AO58">
        <v>56</v>
      </c>
      <c r="AP58">
        <v>44</v>
      </c>
      <c r="AQ58">
        <v>20</v>
      </c>
      <c r="AR58">
        <v>18</v>
      </c>
      <c r="AS58">
        <v>0</v>
      </c>
      <c r="AT58">
        <v>40</v>
      </c>
      <c r="AU58">
        <v>27</v>
      </c>
      <c r="AV58">
        <v>55</v>
      </c>
      <c r="AW58">
        <v>2</v>
      </c>
      <c r="AX58">
        <v>0.4</v>
      </c>
      <c r="AY58">
        <v>11</v>
      </c>
      <c r="AZ58">
        <v>2.2000000000000002</v>
      </c>
      <c r="BA58">
        <v>10</v>
      </c>
      <c r="BB58">
        <v>10</v>
      </c>
      <c r="BC58">
        <v>4</v>
      </c>
      <c r="BD58">
        <v>1</v>
      </c>
      <c r="BE58">
        <v>2</v>
      </c>
      <c r="BF58">
        <v>0</v>
      </c>
      <c r="BG58">
        <v>4</v>
      </c>
      <c r="BH58">
        <v>9</v>
      </c>
      <c r="BI58">
        <v>14</v>
      </c>
      <c r="BJ58">
        <v>4</v>
      </c>
      <c r="BK58">
        <v>17</v>
      </c>
      <c r="BL58">
        <v>24</v>
      </c>
      <c r="BM58">
        <v>1.4</v>
      </c>
      <c r="BN58">
        <v>0.4</v>
      </c>
      <c r="BO58">
        <v>1.7</v>
      </c>
      <c r="BP58">
        <v>2.4</v>
      </c>
      <c r="BQ58">
        <v>2</v>
      </c>
      <c r="BR58">
        <v>2</v>
      </c>
      <c r="BS58">
        <v>2</v>
      </c>
      <c r="BT58">
        <v>0</v>
      </c>
      <c r="BU58">
        <v>0</v>
      </c>
      <c r="BV58">
        <v>1</v>
      </c>
      <c r="BW58">
        <v>0</v>
      </c>
      <c r="BX58">
        <v>1</v>
      </c>
      <c r="BY58">
        <v>3</v>
      </c>
      <c r="BZ58">
        <v>0.6</v>
      </c>
      <c r="CA58">
        <v>5</v>
      </c>
      <c r="CB58">
        <v>1</v>
      </c>
      <c r="CC58">
        <v>11</v>
      </c>
      <c r="CD58">
        <v>10</v>
      </c>
      <c r="CE58">
        <v>5</v>
      </c>
      <c r="CF58">
        <v>3</v>
      </c>
      <c r="CG58">
        <v>4</v>
      </c>
      <c r="CH58">
        <v>0</v>
      </c>
      <c r="CI58">
        <v>2</v>
      </c>
      <c r="CJ58">
        <v>7</v>
      </c>
      <c r="CK58">
        <v>13</v>
      </c>
      <c r="CL58">
        <v>9</v>
      </c>
      <c r="CM58">
        <v>10</v>
      </c>
      <c r="CN58">
        <v>15</v>
      </c>
      <c r="CO58">
        <v>1.2</v>
      </c>
      <c r="CP58">
        <v>0.9</v>
      </c>
      <c r="CQ58">
        <v>0.9</v>
      </c>
      <c r="CR58">
        <v>1.5</v>
      </c>
      <c r="CS58">
        <v>2</v>
      </c>
      <c r="CT58">
        <v>2</v>
      </c>
      <c r="CU58">
        <v>1</v>
      </c>
      <c r="CV58">
        <v>0</v>
      </c>
      <c r="CW58">
        <v>1</v>
      </c>
      <c r="CX58">
        <v>0</v>
      </c>
      <c r="CY58">
        <v>0</v>
      </c>
      <c r="CZ58">
        <v>2</v>
      </c>
    </row>
    <row r="59" spans="1:104" x14ac:dyDescent="0.25">
      <c r="A59" s="1" t="s">
        <v>518</v>
      </c>
      <c r="B59">
        <v>1368</v>
      </c>
      <c r="C59">
        <v>1365</v>
      </c>
      <c r="D59" s="2">
        <v>43750</v>
      </c>
      <c r="E59" s="3">
        <f t="shared" si="0"/>
        <v>2019</v>
      </c>
      <c r="F59" s="3">
        <f t="shared" si="1"/>
        <v>10</v>
      </c>
      <c r="G59" s="3">
        <f t="shared" si="2"/>
        <v>7</v>
      </c>
      <c r="H59" t="s">
        <v>519</v>
      </c>
      <c r="I59">
        <v>582</v>
      </c>
      <c r="J59" t="s">
        <v>248</v>
      </c>
      <c r="K59" t="s">
        <v>241</v>
      </c>
      <c r="L59">
        <v>2019</v>
      </c>
      <c r="M59" t="s">
        <v>520</v>
      </c>
      <c r="N59" t="s">
        <v>519</v>
      </c>
      <c r="O59" t="s">
        <v>521</v>
      </c>
      <c r="P59">
        <v>7100</v>
      </c>
      <c r="Q59" t="s">
        <v>241</v>
      </c>
      <c r="R59">
        <v>1976</v>
      </c>
      <c r="S59" t="s">
        <v>522</v>
      </c>
      <c r="T59" t="s">
        <v>523</v>
      </c>
      <c r="U59">
        <v>9546</v>
      </c>
      <c r="V59" t="s">
        <v>241</v>
      </c>
      <c r="W59">
        <v>1878</v>
      </c>
      <c r="X59" t="s">
        <v>125</v>
      </c>
      <c r="Z59">
        <v>-1.5</v>
      </c>
      <c r="AA59">
        <v>-2.5</v>
      </c>
      <c r="AB59">
        <v>10</v>
      </c>
      <c r="AC59">
        <v>45</v>
      </c>
      <c r="AD59">
        <v>45</v>
      </c>
      <c r="AE59">
        <v>22</v>
      </c>
      <c r="AF59">
        <v>78</v>
      </c>
      <c r="AG59">
        <v>40</v>
      </c>
      <c r="AH59">
        <v>60</v>
      </c>
      <c r="AI59">
        <v>38</v>
      </c>
      <c r="AJ59">
        <v>62</v>
      </c>
      <c r="AK59">
        <v>24</v>
      </c>
      <c r="AL59">
        <v>76</v>
      </c>
      <c r="AM59">
        <v>93</v>
      </c>
      <c r="AN59">
        <v>7</v>
      </c>
      <c r="AO59">
        <v>89</v>
      </c>
      <c r="AP59">
        <v>11</v>
      </c>
      <c r="AQ59">
        <v>13</v>
      </c>
      <c r="AR59">
        <v>24</v>
      </c>
      <c r="AS59">
        <v>53</v>
      </c>
      <c r="AT59">
        <v>47</v>
      </c>
      <c r="AU59">
        <v>35</v>
      </c>
      <c r="AV59">
        <v>71</v>
      </c>
      <c r="AW59">
        <v>4</v>
      </c>
      <c r="AX59">
        <v>0.8</v>
      </c>
      <c r="AY59">
        <v>8</v>
      </c>
      <c r="AZ59">
        <v>1.6</v>
      </c>
      <c r="BA59">
        <v>6</v>
      </c>
      <c r="BB59">
        <v>6</v>
      </c>
      <c r="BC59">
        <v>0</v>
      </c>
      <c r="BD59">
        <v>0</v>
      </c>
      <c r="BE59">
        <v>2</v>
      </c>
      <c r="BF59">
        <v>3</v>
      </c>
      <c r="BG59">
        <v>4</v>
      </c>
      <c r="BH59">
        <v>3</v>
      </c>
      <c r="BI59">
        <v>5</v>
      </c>
      <c r="BJ59">
        <v>3</v>
      </c>
      <c r="BK59">
        <v>9</v>
      </c>
      <c r="BL59">
        <v>9</v>
      </c>
      <c r="BM59">
        <v>0.8</v>
      </c>
      <c r="BN59">
        <v>0.5</v>
      </c>
      <c r="BO59">
        <v>1.5</v>
      </c>
      <c r="BP59">
        <v>1.5</v>
      </c>
      <c r="BQ59">
        <v>4</v>
      </c>
      <c r="BR59">
        <v>4</v>
      </c>
      <c r="BS59">
        <v>4</v>
      </c>
      <c r="BT59">
        <v>1</v>
      </c>
      <c r="BU59">
        <v>0</v>
      </c>
      <c r="BV59">
        <v>1</v>
      </c>
      <c r="BW59">
        <v>0</v>
      </c>
      <c r="BX59">
        <v>2</v>
      </c>
      <c r="BY59">
        <v>6</v>
      </c>
      <c r="BZ59">
        <v>1.2</v>
      </c>
      <c r="CA59">
        <v>5</v>
      </c>
      <c r="CB59">
        <v>1</v>
      </c>
      <c r="CC59">
        <v>6</v>
      </c>
      <c r="CD59">
        <v>6</v>
      </c>
      <c r="CE59">
        <v>2</v>
      </c>
      <c r="CF59">
        <v>3</v>
      </c>
      <c r="CG59">
        <v>2</v>
      </c>
      <c r="CH59">
        <v>1</v>
      </c>
      <c r="CI59">
        <v>2</v>
      </c>
      <c r="CJ59">
        <v>2</v>
      </c>
      <c r="CK59">
        <v>9</v>
      </c>
      <c r="CL59">
        <v>10</v>
      </c>
      <c r="CM59">
        <v>8</v>
      </c>
      <c r="CN59">
        <v>6</v>
      </c>
      <c r="CO59">
        <v>1.5</v>
      </c>
      <c r="CP59">
        <v>1.7</v>
      </c>
      <c r="CQ59">
        <v>1.3</v>
      </c>
      <c r="CR59">
        <v>1</v>
      </c>
      <c r="CS59">
        <v>4</v>
      </c>
      <c r="CT59">
        <v>4</v>
      </c>
      <c r="CU59">
        <v>2</v>
      </c>
      <c r="CV59">
        <v>0</v>
      </c>
      <c r="CW59">
        <v>1</v>
      </c>
      <c r="CX59">
        <v>0</v>
      </c>
      <c r="CY59">
        <v>1</v>
      </c>
      <c r="CZ59">
        <v>4</v>
      </c>
    </row>
    <row r="60" spans="1:104" x14ac:dyDescent="0.25">
      <c r="A60" s="1" t="s">
        <v>524</v>
      </c>
      <c r="B60">
        <v>7699</v>
      </c>
      <c r="C60">
        <v>8660</v>
      </c>
      <c r="D60" s="2">
        <v>43729</v>
      </c>
      <c r="E60" s="3">
        <f t="shared" si="0"/>
        <v>2019</v>
      </c>
      <c r="F60" s="3">
        <f t="shared" si="1"/>
        <v>9</v>
      </c>
      <c r="G60" s="3">
        <f t="shared" si="2"/>
        <v>7</v>
      </c>
      <c r="H60" t="s">
        <v>525</v>
      </c>
      <c r="I60">
        <v>1063</v>
      </c>
      <c r="J60" t="s">
        <v>526</v>
      </c>
      <c r="K60" t="s">
        <v>241</v>
      </c>
      <c r="L60">
        <v>2019</v>
      </c>
      <c r="M60" t="s">
        <v>527</v>
      </c>
      <c r="N60" t="s">
        <v>525</v>
      </c>
      <c r="O60" t="s">
        <v>528</v>
      </c>
      <c r="P60">
        <v>3500</v>
      </c>
      <c r="Q60" t="s">
        <v>241</v>
      </c>
      <c r="R60">
        <v>1994</v>
      </c>
      <c r="S60" t="s">
        <v>529</v>
      </c>
      <c r="T60" t="s">
        <v>530</v>
      </c>
      <c r="U60">
        <v>3152</v>
      </c>
      <c r="V60" t="s">
        <v>241</v>
      </c>
      <c r="W60">
        <v>1885</v>
      </c>
      <c r="X60">
        <v>1</v>
      </c>
      <c r="Y60">
        <v>-3.5</v>
      </c>
      <c r="Z60">
        <v>-3.5</v>
      </c>
      <c r="AB60">
        <v>45</v>
      </c>
      <c r="AC60">
        <v>45</v>
      </c>
      <c r="AD60">
        <v>10</v>
      </c>
      <c r="AE60">
        <v>100</v>
      </c>
      <c r="AF60">
        <v>0</v>
      </c>
      <c r="AG60">
        <v>100</v>
      </c>
      <c r="AH60">
        <v>0</v>
      </c>
      <c r="AI60">
        <v>0</v>
      </c>
      <c r="AJ60">
        <v>100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100</v>
      </c>
      <c r="AR60">
        <v>19</v>
      </c>
      <c r="AS60">
        <v>94</v>
      </c>
      <c r="AT60">
        <v>0</v>
      </c>
      <c r="AU60">
        <v>0</v>
      </c>
      <c r="AV60">
        <v>0</v>
      </c>
      <c r="AW60">
        <v>3</v>
      </c>
      <c r="AX60">
        <v>3</v>
      </c>
      <c r="AY60">
        <v>1</v>
      </c>
      <c r="AZ60">
        <v>1</v>
      </c>
      <c r="BA60">
        <v>0</v>
      </c>
      <c r="BB60">
        <v>1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3</v>
      </c>
      <c r="BK60">
        <v>0</v>
      </c>
      <c r="BL60">
        <v>1</v>
      </c>
      <c r="BM60">
        <v>0</v>
      </c>
      <c r="BN60">
        <v>3</v>
      </c>
      <c r="BO60">
        <v>0</v>
      </c>
      <c r="BP60">
        <v>1</v>
      </c>
      <c r="BQ60">
        <v>1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1</v>
      </c>
    </row>
    <row r="61" spans="1:104" x14ac:dyDescent="0.25">
      <c r="A61" s="1" t="s">
        <v>531</v>
      </c>
      <c r="B61">
        <v>146</v>
      </c>
      <c r="C61">
        <v>122</v>
      </c>
      <c r="D61" s="2">
        <v>43713</v>
      </c>
      <c r="E61" s="3">
        <f t="shared" si="0"/>
        <v>2019</v>
      </c>
      <c r="F61" s="3">
        <f t="shared" si="1"/>
        <v>9</v>
      </c>
      <c r="G61" s="3">
        <f t="shared" si="2"/>
        <v>5</v>
      </c>
      <c r="H61" t="s">
        <v>532</v>
      </c>
      <c r="I61">
        <v>358</v>
      </c>
      <c r="J61" t="s">
        <v>312</v>
      </c>
      <c r="K61" t="s">
        <v>264</v>
      </c>
      <c r="L61">
        <v>2019</v>
      </c>
      <c r="M61" t="s">
        <v>354</v>
      </c>
      <c r="N61" t="s">
        <v>532</v>
      </c>
      <c r="O61" t="s">
        <v>533</v>
      </c>
      <c r="P61">
        <v>20801</v>
      </c>
      <c r="Q61" t="s">
        <v>264</v>
      </c>
      <c r="R61">
        <v>1912</v>
      </c>
      <c r="S61" t="s">
        <v>534</v>
      </c>
      <c r="T61" t="s">
        <v>535</v>
      </c>
      <c r="U61">
        <v>20083</v>
      </c>
      <c r="V61" t="s">
        <v>264</v>
      </c>
      <c r="W61">
        <v>1989</v>
      </c>
      <c r="X61" t="s">
        <v>125</v>
      </c>
      <c r="Z61">
        <v>-2.5</v>
      </c>
      <c r="AA61">
        <v>-2.5</v>
      </c>
      <c r="AB61">
        <v>10</v>
      </c>
      <c r="AC61">
        <v>45</v>
      </c>
      <c r="AD61">
        <v>45</v>
      </c>
      <c r="AE61">
        <v>54</v>
      </c>
      <c r="AF61">
        <v>46</v>
      </c>
      <c r="AG61">
        <v>57</v>
      </c>
      <c r="AH61">
        <v>43</v>
      </c>
      <c r="AI61">
        <v>33</v>
      </c>
      <c r="AJ61">
        <v>67</v>
      </c>
      <c r="AK61">
        <v>43</v>
      </c>
      <c r="AL61">
        <v>57</v>
      </c>
      <c r="AM61">
        <v>7</v>
      </c>
      <c r="AN61">
        <v>93</v>
      </c>
      <c r="AO61">
        <v>29</v>
      </c>
      <c r="AP61">
        <v>71</v>
      </c>
      <c r="AQ61">
        <v>47</v>
      </c>
      <c r="AR61">
        <v>67</v>
      </c>
      <c r="AS61">
        <v>0</v>
      </c>
      <c r="AT61">
        <v>40</v>
      </c>
      <c r="AU61">
        <v>50</v>
      </c>
      <c r="AV61">
        <v>50</v>
      </c>
      <c r="AW61">
        <v>4</v>
      </c>
      <c r="AX61">
        <v>0.8</v>
      </c>
      <c r="AY61">
        <v>6</v>
      </c>
      <c r="AZ61">
        <v>1.2</v>
      </c>
      <c r="BA61">
        <v>10</v>
      </c>
      <c r="BB61">
        <v>10</v>
      </c>
      <c r="BC61">
        <v>3</v>
      </c>
      <c r="BD61">
        <v>6</v>
      </c>
      <c r="BE61">
        <v>2</v>
      </c>
      <c r="BF61">
        <v>1</v>
      </c>
      <c r="BG61">
        <v>5</v>
      </c>
      <c r="BH61">
        <v>3</v>
      </c>
      <c r="BI61">
        <v>10</v>
      </c>
      <c r="BJ61">
        <v>12</v>
      </c>
      <c r="BK61">
        <v>14</v>
      </c>
      <c r="BL61">
        <v>7</v>
      </c>
      <c r="BM61">
        <v>1</v>
      </c>
      <c r="BN61">
        <v>1.2</v>
      </c>
      <c r="BO61">
        <v>1.4</v>
      </c>
      <c r="BP61">
        <v>0.7</v>
      </c>
      <c r="BQ61">
        <v>5</v>
      </c>
      <c r="BR61">
        <v>5</v>
      </c>
      <c r="BS61">
        <v>1</v>
      </c>
      <c r="BT61">
        <v>0</v>
      </c>
      <c r="BU61">
        <v>1</v>
      </c>
      <c r="BV61">
        <v>1</v>
      </c>
      <c r="BW61">
        <v>3</v>
      </c>
      <c r="BX61">
        <v>4</v>
      </c>
      <c r="BY61">
        <v>3</v>
      </c>
      <c r="BZ61">
        <v>0.6</v>
      </c>
      <c r="CA61">
        <v>3</v>
      </c>
      <c r="CB61">
        <v>0.6</v>
      </c>
      <c r="CC61">
        <v>10</v>
      </c>
      <c r="CD61">
        <v>10</v>
      </c>
      <c r="CE61">
        <v>3</v>
      </c>
      <c r="CF61">
        <v>4</v>
      </c>
      <c r="CG61">
        <v>6</v>
      </c>
      <c r="CH61">
        <v>2</v>
      </c>
      <c r="CI61">
        <v>1</v>
      </c>
      <c r="CJ61">
        <v>4</v>
      </c>
      <c r="CK61">
        <v>5</v>
      </c>
      <c r="CL61">
        <v>11</v>
      </c>
      <c r="CM61">
        <v>3</v>
      </c>
      <c r="CN61">
        <v>15</v>
      </c>
      <c r="CO61">
        <v>0.5</v>
      </c>
      <c r="CP61">
        <v>1.1000000000000001</v>
      </c>
      <c r="CQ61">
        <v>0.3</v>
      </c>
      <c r="CR61">
        <v>1.5</v>
      </c>
      <c r="CS61">
        <v>5</v>
      </c>
      <c r="CT61">
        <v>5</v>
      </c>
      <c r="CU61">
        <v>4</v>
      </c>
      <c r="CV61">
        <v>3</v>
      </c>
      <c r="CW61">
        <v>1</v>
      </c>
      <c r="CX61">
        <v>1</v>
      </c>
      <c r="CY61">
        <v>0</v>
      </c>
      <c r="CZ61">
        <v>1</v>
      </c>
    </row>
    <row r="62" spans="1:104" x14ac:dyDescent="0.25">
      <c r="A62" s="1" t="s">
        <v>536</v>
      </c>
      <c r="B62">
        <v>5412</v>
      </c>
      <c r="C62">
        <v>5560</v>
      </c>
      <c r="D62" s="2">
        <v>43793</v>
      </c>
      <c r="E62" s="3">
        <f t="shared" si="0"/>
        <v>2019</v>
      </c>
      <c r="F62" s="3">
        <f t="shared" si="1"/>
        <v>11</v>
      </c>
      <c r="G62" s="3">
        <f t="shared" si="2"/>
        <v>1</v>
      </c>
      <c r="H62" t="s">
        <v>537</v>
      </c>
      <c r="I62">
        <v>987</v>
      </c>
      <c r="J62" t="s">
        <v>538</v>
      </c>
      <c r="K62" t="s">
        <v>539</v>
      </c>
      <c r="L62">
        <v>2020</v>
      </c>
      <c r="M62" t="s">
        <v>168</v>
      </c>
      <c r="N62" t="s">
        <v>540</v>
      </c>
      <c r="O62" t="s">
        <v>541</v>
      </c>
      <c r="P62">
        <v>3000</v>
      </c>
      <c r="Q62" t="s">
        <v>539</v>
      </c>
      <c r="S62" t="s">
        <v>542</v>
      </c>
      <c r="T62" t="s">
        <v>543</v>
      </c>
      <c r="U62">
        <v>38509</v>
      </c>
      <c r="V62" t="s">
        <v>539</v>
      </c>
      <c r="X62" t="s">
        <v>109</v>
      </c>
      <c r="Y62">
        <v>-3.5</v>
      </c>
      <c r="Z62">
        <v>-1.5</v>
      </c>
      <c r="AA62">
        <v>-1.5</v>
      </c>
      <c r="AB62">
        <v>45</v>
      </c>
      <c r="AC62">
        <v>45</v>
      </c>
      <c r="AD62">
        <v>10</v>
      </c>
      <c r="AE62">
        <v>65</v>
      </c>
      <c r="AF62">
        <v>35</v>
      </c>
      <c r="AG62">
        <v>50</v>
      </c>
      <c r="AH62">
        <v>50</v>
      </c>
      <c r="AI62">
        <v>100</v>
      </c>
      <c r="AJ62">
        <v>0</v>
      </c>
      <c r="AK62">
        <v>49</v>
      </c>
      <c r="AL62">
        <v>51</v>
      </c>
      <c r="AM62">
        <v>80</v>
      </c>
      <c r="AN62">
        <v>20</v>
      </c>
      <c r="AO62">
        <v>67</v>
      </c>
      <c r="AP62">
        <v>33</v>
      </c>
      <c r="AQ62">
        <v>73</v>
      </c>
      <c r="AR62">
        <v>57</v>
      </c>
      <c r="AS62">
        <v>100</v>
      </c>
      <c r="AT62">
        <v>40</v>
      </c>
      <c r="AU62">
        <v>57</v>
      </c>
      <c r="AV62">
        <v>43</v>
      </c>
      <c r="AW62">
        <v>4</v>
      </c>
      <c r="AX62">
        <v>0.8</v>
      </c>
      <c r="AY62">
        <v>0</v>
      </c>
      <c r="AZ62">
        <v>0</v>
      </c>
      <c r="BA62">
        <v>4</v>
      </c>
      <c r="BB62">
        <v>4</v>
      </c>
      <c r="BC62">
        <v>1</v>
      </c>
      <c r="BD62">
        <v>2</v>
      </c>
      <c r="BE62">
        <v>2</v>
      </c>
      <c r="BF62">
        <v>1</v>
      </c>
      <c r="BG62">
        <v>1</v>
      </c>
      <c r="BH62">
        <v>1</v>
      </c>
      <c r="BI62">
        <v>2</v>
      </c>
      <c r="BJ62">
        <v>3</v>
      </c>
      <c r="BK62">
        <v>2</v>
      </c>
      <c r="BL62">
        <v>1</v>
      </c>
      <c r="BM62">
        <v>0.5</v>
      </c>
      <c r="BN62">
        <v>0.8</v>
      </c>
      <c r="BO62">
        <v>0.5</v>
      </c>
      <c r="BP62">
        <v>0.3</v>
      </c>
      <c r="BQ62">
        <v>3</v>
      </c>
      <c r="BR62">
        <v>3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4</v>
      </c>
      <c r="BZ62">
        <v>0.8</v>
      </c>
      <c r="CA62">
        <v>4</v>
      </c>
      <c r="CB62">
        <v>0.8</v>
      </c>
      <c r="CC62">
        <v>4</v>
      </c>
      <c r="CD62">
        <v>4</v>
      </c>
      <c r="CE62">
        <v>1</v>
      </c>
      <c r="CF62">
        <v>1</v>
      </c>
      <c r="CG62">
        <v>1</v>
      </c>
      <c r="CH62">
        <v>2</v>
      </c>
      <c r="CI62">
        <v>2</v>
      </c>
      <c r="CJ62">
        <v>1</v>
      </c>
      <c r="CK62">
        <v>4</v>
      </c>
      <c r="CL62">
        <v>5</v>
      </c>
      <c r="CM62">
        <v>3</v>
      </c>
      <c r="CN62">
        <v>6</v>
      </c>
      <c r="CO62">
        <v>1</v>
      </c>
      <c r="CP62">
        <v>1.3</v>
      </c>
      <c r="CQ62">
        <v>0.8</v>
      </c>
      <c r="CR62">
        <v>1.5</v>
      </c>
      <c r="CS62">
        <v>3</v>
      </c>
      <c r="CT62">
        <v>3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</row>
    <row r="63" spans="1:104" x14ac:dyDescent="0.25">
      <c r="A63" s="1" t="s">
        <v>544</v>
      </c>
      <c r="B63">
        <v>1405</v>
      </c>
      <c r="C63">
        <v>1402</v>
      </c>
      <c r="D63" s="2">
        <v>43996</v>
      </c>
      <c r="E63" s="3">
        <f t="shared" si="0"/>
        <v>2020</v>
      </c>
      <c r="F63" s="3">
        <f t="shared" si="1"/>
        <v>6</v>
      </c>
      <c r="G63" s="3">
        <f t="shared" si="2"/>
        <v>1</v>
      </c>
      <c r="H63" t="s">
        <v>545</v>
      </c>
      <c r="I63">
        <v>577</v>
      </c>
      <c r="J63" t="s">
        <v>546</v>
      </c>
      <c r="K63" t="s">
        <v>547</v>
      </c>
      <c r="L63">
        <v>2019</v>
      </c>
      <c r="M63" t="s">
        <v>105</v>
      </c>
      <c r="N63" t="s">
        <v>548</v>
      </c>
      <c r="O63" t="s">
        <v>549</v>
      </c>
      <c r="P63">
        <v>2000</v>
      </c>
      <c r="Q63" t="s">
        <v>547</v>
      </c>
      <c r="S63" t="s">
        <v>550</v>
      </c>
      <c r="T63" t="s">
        <v>551</v>
      </c>
      <c r="U63">
        <v>3000</v>
      </c>
      <c r="V63" t="s">
        <v>547</v>
      </c>
      <c r="X63" t="s">
        <v>109</v>
      </c>
      <c r="Z63">
        <v>-2.5</v>
      </c>
      <c r="AA63">
        <v>-2.5</v>
      </c>
      <c r="AB63">
        <v>45</v>
      </c>
      <c r="AC63">
        <v>45</v>
      </c>
      <c r="AD63">
        <v>10</v>
      </c>
      <c r="AE63">
        <v>67</v>
      </c>
      <c r="AF63">
        <v>33</v>
      </c>
      <c r="AG63">
        <v>67</v>
      </c>
      <c r="AH63">
        <v>33</v>
      </c>
      <c r="AI63">
        <v>58</v>
      </c>
      <c r="AJ63">
        <v>42</v>
      </c>
      <c r="AK63">
        <v>49</v>
      </c>
      <c r="AL63">
        <v>51</v>
      </c>
      <c r="AM63">
        <v>62</v>
      </c>
      <c r="AN63">
        <v>38</v>
      </c>
      <c r="AO63">
        <v>47</v>
      </c>
      <c r="AP63">
        <v>53</v>
      </c>
      <c r="AQ63">
        <v>53</v>
      </c>
      <c r="AR63">
        <v>53</v>
      </c>
      <c r="AS63">
        <v>47</v>
      </c>
      <c r="AT63">
        <v>27</v>
      </c>
      <c r="AU63">
        <v>27</v>
      </c>
      <c r="AV63">
        <v>27</v>
      </c>
      <c r="AW63">
        <v>8</v>
      </c>
      <c r="AX63">
        <v>1.6</v>
      </c>
      <c r="AY63">
        <v>8</v>
      </c>
      <c r="AZ63">
        <v>1.6</v>
      </c>
      <c r="BA63">
        <v>10</v>
      </c>
      <c r="BB63">
        <v>11</v>
      </c>
      <c r="BC63">
        <v>4</v>
      </c>
      <c r="BD63">
        <v>8</v>
      </c>
      <c r="BE63">
        <v>6</v>
      </c>
      <c r="BF63">
        <v>1</v>
      </c>
      <c r="BG63">
        <v>0</v>
      </c>
      <c r="BH63">
        <v>2</v>
      </c>
      <c r="BI63">
        <v>21</v>
      </c>
      <c r="BJ63">
        <v>22</v>
      </c>
      <c r="BK63">
        <v>15</v>
      </c>
      <c r="BL63">
        <v>13</v>
      </c>
      <c r="BM63">
        <v>2.1</v>
      </c>
      <c r="BN63">
        <v>2</v>
      </c>
      <c r="BO63">
        <v>1.5</v>
      </c>
      <c r="BP63">
        <v>1.2</v>
      </c>
      <c r="BQ63">
        <v>8</v>
      </c>
      <c r="BR63">
        <v>8</v>
      </c>
      <c r="BS63">
        <v>4</v>
      </c>
      <c r="BT63">
        <v>1</v>
      </c>
      <c r="BU63">
        <v>2</v>
      </c>
      <c r="BV63">
        <v>1</v>
      </c>
      <c r="BW63">
        <v>2</v>
      </c>
      <c r="BX63">
        <v>6</v>
      </c>
      <c r="BY63">
        <v>4</v>
      </c>
      <c r="BZ63">
        <v>0.8</v>
      </c>
      <c r="CA63">
        <v>11</v>
      </c>
      <c r="CB63">
        <v>2.2000000000000002</v>
      </c>
      <c r="CC63">
        <v>11</v>
      </c>
      <c r="CD63">
        <v>10</v>
      </c>
      <c r="CE63">
        <v>1</v>
      </c>
      <c r="CF63">
        <v>6</v>
      </c>
      <c r="CG63">
        <v>5</v>
      </c>
      <c r="CH63">
        <v>2</v>
      </c>
      <c r="CI63">
        <v>5</v>
      </c>
      <c r="CJ63">
        <v>2</v>
      </c>
      <c r="CK63">
        <v>7</v>
      </c>
      <c r="CL63">
        <v>20</v>
      </c>
      <c r="CM63">
        <v>15</v>
      </c>
      <c r="CN63">
        <v>14</v>
      </c>
      <c r="CO63">
        <v>0.6</v>
      </c>
      <c r="CP63">
        <v>2</v>
      </c>
      <c r="CQ63">
        <v>1.4</v>
      </c>
      <c r="CR63">
        <v>1.4</v>
      </c>
      <c r="CS63">
        <v>8</v>
      </c>
      <c r="CT63">
        <v>8</v>
      </c>
      <c r="CU63">
        <v>6</v>
      </c>
      <c r="CV63">
        <v>2</v>
      </c>
      <c r="CW63">
        <v>1</v>
      </c>
      <c r="CX63">
        <v>2</v>
      </c>
      <c r="CY63">
        <v>1</v>
      </c>
      <c r="CZ63">
        <v>4</v>
      </c>
    </row>
    <row r="64" spans="1:104" x14ac:dyDescent="0.25">
      <c r="A64" s="1" t="s">
        <v>552</v>
      </c>
      <c r="B64">
        <v>10156</v>
      </c>
      <c r="C64">
        <v>12628</v>
      </c>
      <c r="D64" s="2">
        <v>43698</v>
      </c>
      <c r="E64" s="3">
        <f t="shared" si="0"/>
        <v>2019</v>
      </c>
      <c r="F64" s="3">
        <f t="shared" si="1"/>
        <v>8</v>
      </c>
      <c r="G64" s="3">
        <f t="shared" si="2"/>
        <v>4</v>
      </c>
      <c r="H64" t="s">
        <v>553</v>
      </c>
      <c r="I64">
        <v>2217</v>
      </c>
      <c r="J64" t="s">
        <v>554</v>
      </c>
      <c r="K64" t="s">
        <v>104</v>
      </c>
      <c r="L64">
        <v>2019</v>
      </c>
      <c r="M64" t="s">
        <v>173</v>
      </c>
      <c r="Q64" t="s">
        <v>104</v>
      </c>
      <c r="V64" t="s">
        <v>104</v>
      </c>
      <c r="W64">
        <v>1893</v>
      </c>
      <c r="X64" t="s">
        <v>109</v>
      </c>
      <c r="Y64">
        <v>1.5</v>
      </c>
      <c r="Z64">
        <v>-3.5</v>
      </c>
      <c r="AA64">
        <v>-2.5</v>
      </c>
      <c r="AB64">
        <v>35</v>
      </c>
      <c r="AC64">
        <v>35</v>
      </c>
      <c r="AD64">
        <v>30</v>
      </c>
      <c r="AE64">
        <v>100</v>
      </c>
      <c r="AF64">
        <v>0</v>
      </c>
      <c r="AG64">
        <v>58</v>
      </c>
      <c r="AH64">
        <v>42</v>
      </c>
      <c r="AI64">
        <v>67</v>
      </c>
      <c r="AJ64">
        <v>33</v>
      </c>
      <c r="AK64">
        <v>58</v>
      </c>
      <c r="AL64">
        <v>42</v>
      </c>
      <c r="AM64">
        <v>33</v>
      </c>
      <c r="AN64">
        <v>67</v>
      </c>
      <c r="AO64">
        <v>29</v>
      </c>
      <c r="AP64">
        <v>71</v>
      </c>
      <c r="AQ64">
        <v>47</v>
      </c>
      <c r="AR64">
        <v>27</v>
      </c>
      <c r="AS64">
        <v>65</v>
      </c>
      <c r="AT64">
        <v>0</v>
      </c>
      <c r="AU64">
        <v>19</v>
      </c>
      <c r="AV64">
        <v>31</v>
      </c>
      <c r="AW64">
        <v>7</v>
      </c>
      <c r="AX64">
        <v>1.4</v>
      </c>
      <c r="AY64">
        <v>9</v>
      </c>
      <c r="AZ64">
        <v>1.8</v>
      </c>
      <c r="BA64">
        <v>8</v>
      </c>
      <c r="BB64">
        <v>9</v>
      </c>
      <c r="BC64">
        <v>2</v>
      </c>
      <c r="BD64">
        <v>2</v>
      </c>
      <c r="BE64">
        <v>2</v>
      </c>
      <c r="BF64">
        <v>1</v>
      </c>
      <c r="BG64">
        <v>4</v>
      </c>
      <c r="BH64">
        <v>6</v>
      </c>
      <c r="BI64">
        <v>12</v>
      </c>
      <c r="BJ64">
        <v>8</v>
      </c>
      <c r="BK64">
        <v>18</v>
      </c>
      <c r="BL64">
        <v>18</v>
      </c>
      <c r="BM64">
        <v>1.5</v>
      </c>
      <c r="BN64">
        <v>0.9</v>
      </c>
      <c r="BO64">
        <v>2.2999999999999998</v>
      </c>
      <c r="BP64">
        <v>2</v>
      </c>
      <c r="BQ64">
        <v>2</v>
      </c>
      <c r="BR64">
        <v>2</v>
      </c>
      <c r="BS64">
        <v>1</v>
      </c>
      <c r="BT64">
        <v>0</v>
      </c>
      <c r="BU64">
        <v>0</v>
      </c>
      <c r="BV64">
        <v>0</v>
      </c>
      <c r="BW64">
        <v>1</v>
      </c>
      <c r="BX64">
        <v>2</v>
      </c>
      <c r="BY64">
        <v>5</v>
      </c>
      <c r="BZ64">
        <v>1</v>
      </c>
      <c r="CA64">
        <v>18</v>
      </c>
      <c r="CB64">
        <v>3.6</v>
      </c>
      <c r="CC64">
        <v>9</v>
      </c>
      <c r="CD64">
        <v>8</v>
      </c>
      <c r="CE64">
        <v>1</v>
      </c>
      <c r="CF64">
        <v>0</v>
      </c>
      <c r="CG64">
        <v>2</v>
      </c>
      <c r="CH64">
        <v>2</v>
      </c>
      <c r="CI64">
        <v>6</v>
      </c>
      <c r="CJ64">
        <v>6</v>
      </c>
      <c r="CK64">
        <v>7</v>
      </c>
      <c r="CL64">
        <v>11</v>
      </c>
      <c r="CM64">
        <v>22</v>
      </c>
      <c r="CN64">
        <v>27</v>
      </c>
      <c r="CO64">
        <v>0.8</v>
      </c>
      <c r="CP64">
        <v>1.4</v>
      </c>
      <c r="CQ64">
        <v>2.4</v>
      </c>
      <c r="CR64">
        <v>3.4</v>
      </c>
      <c r="CS64">
        <v>2</v>
      </c>
      <c r="CT64">
        <v>2</v>
      </c>
      <c r="CU64">
        <v>2</v>
      </c>
      <c r="CV64">
        <v>1</v>
      </c>
      <c r="CW64">
        <v>0</v>
      </c>
      <c r="CX64">
        <v>0</v>
      </c>
      <c r="CY64">
        <v>0</v>
      </c>
      <c r="CZ64">
        <v>1</v>
      </c>
    </row>
    <row r="65" spans="1:104" x14ac:dyDescent="0.25">
      <c r="A65" s="1" t="s">
        <v>555</v>
      </c>
      <c r="B65">
        <v>9346</v>
      </c>
      <c r="C65">
        <v>9341</v>
      </c>
      <c r="D65" s="2">
        <v>43701</v>
      </c>
      <c r="E65" s="3">
        <f t="shared" si="0"/>
        <v>2019</v>
      </c>
      <c r="F65" s="3">
        <f t="shared" si="1"/>
        <v>8</v>
      </c>
      <c r="G65" s="3">
        <f t="shared" si="2"/>
        <v>7</v>
      </c>
      <c r="H65" t="s">
        <v>556</v>
      </c>
      <c r="I65">
        <v>1241</v>
      </c>
      <c r="J65" t="s">
        <v>557</v>
      </c>
      <c r="K65" t="s">
        <v>558</v>
      </c>
      <c r="L65">
        <v>2019</v>
      </c>
      <c r="M65" t="s">
        <v>559</v>
      </c>
      <c r="N65" t="s">
        <v>556</v>
      </c>
      <c r="O65" t="s">
        <v>560</v>
      </c>
      <c r="P65">
        <v>5068</v>
      </c>
      <c r="Q65" t="s">
        <v>558</v>
      </c>
      <c r="R65">
        <v>1910</v>
      </c>
      <c r="S65" t="s">
        <v>561</v>
      </c>
      <c r="T65" t="s">
        <v>562</v>
      </c>
      <c r="U65">
        <v>2500</v>
      </c>
      <c r="V65" t="s">
        <v>558</v>
      </c>
      <c r="W65">
        <v>1896</v>
      </c>
      <c r="X65" t="s">
        <v>109</v>
      </c>
      <c r="Z65">
        <v>-2.5</v>
      </c>
      <c r="AA65">
        <v>-1.5</v>
      </c>
      <c r="AB65">
        <v>45</v>
      </c>
      <c r="AC65">
        <v>45</v>
      </c>
      <c r="AD65">
        <v>10</v>
      </c>
      <c r="AE65">
        <v>40</v>
      </c>
      <c r="AF65">
        <v>60</v>
      </c>
      <c r="AG65">
        <v>67</v>
      </c>
      <c r="AH65">
        <v>33</v>
      </c>
      <c r="AI65">
        <v>60</v>
      </c>
      <c r="AJ65">
        <v>40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33</v>
      </c>
      <c r="AR65">
        <v>57</v>
      </c>
      <c r="AS65">
        <v>43</v>
      </c>
      <c r="AT65">
        <v>40</v>
      </c>
      <c r="AU65">
        <v>29</v>
      </c>
      <c r="AV65">
        <v>14</v>
      </c>
      <c r="AW65">
        <v>8</v>
      </c>
      <c r="AX65">
        <v>2</v>
      </c>
      <c r="AY65">
        <v>8</v>
      </c>
      <c r="AZ65">
        <v>2</v>
      </c>
      <c r="BA65">
        <v>1</v>
      </c>
      <c r="BB65">
        <v>3</v>
      </c>
      <c r="BC65">
        <v>1</v>
      </c>
      <c r="BD65">
        <v>0</v>
      </c>
      <c r="BE65">
        <v>0</v>
      </c>
      <c r="BF65">
        <v>1</v>
      </c>
      <c r="BG65">
        <v>0</v>
      </c>
      <c r="BH65">
        <v>2</v>
      </c>
      <c r="BI65">
        <v>4</v>
      </c>
      <c r="BJ65">
        <v>4</v>
      </c>
      <c r="BK65">
        <v>2</v>
      </c>
      <c r="BL65">
        <v>6</v>
      </c>
      <c r="BM65">
        <v>4</v>
      </c>
      <c r="BN65">
        <v>1.3</v>
      </c>
      <c r="BO65">
        <v>2</v>
      </c>
      <c r="BP65">
        <v>2</v>
      </c>
      <c r="BQ65">
        <v>1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1</v>
      </c>
      <c r="BY65">
        <v>4</v>
      </c>
      <c r="BZ65">
        <v>0.8</v>
      </c>
      <c r="CA65">
        <v>12</v>
      </c>
      <c r="CB65">
        <v>2.4</v>
      </c>
      <c r="CC65">
        <v>2</v>
      </c>
      <c r="CD65">
        <v>3</v>
      </c>
      <c r="CE65">
        <v>2</v>
      </c>
      <c r="CF65">
        <v>0</v>
      </c>
      <c r="CG65">
        <v>0</v>
      </c>
      <c r="CH65">
        <v>0</v>
      </c>
      <c r="CI65">
        <v>0</v>
      </c>
      <c r="CJ65">
        <v>3</v>
      </c>
      <c r="CK65">
        <v>4</v>
      </c>
      <c r="CL65">
        <v>0</v>
      </c>
      <c r="CM65">
        <v>1</v>
      </c>
      <c r="CN65">
        <v>11</v>
      </c>
      <c r="CO65">
        <v>2</v>
      </c>
      <c r="CP65">
        <v>0</v>
      </c>
      <c r="CQ65">
        <v>0.5</v>
      </c>
      <c r="CR65">
        <v>3.7</v>
      </c>
      <c r="CS65">
        <v>1</v>
      </c>
      <c r="CT65">
        <v>1</v>
      </c>
      <c r="CU65">
        <v>1</v>
      </c>
      <c r="CV65">
        <v>1</v>
      </c>
      <c r="CW65">
        <v>0</v>
      </c>
      <c r="CX65">
        <v>0</v>
      </c>
      <c r="CY65">
        <v>0</v>
      </c>
      <c r="CZ65">
        <v>0</v>
      </c>
    </row>
    <row r="66" spans="1:104" x14ac:dyDescent="0.25">
      <c r="A66" s="1" t="s">
        <v>563</v>
      </c>
      <c r="B66">
        <v>5006</v>
      </c>
      <c r="C66">
        <v>4955</v>
      </c>
      <c r="D66" s="2">
        <v>44073</v>
      </c>
      <c r="E66" s="3">
        <f t="shared" si="0"/>
        <v>2020</v>
      </c>
      <c r="F66" s="3">
        <f t="shared" si="1"/>
        <v>8</v>
      </c>
      <c r="G66" s="3">
        <f t="shared" si="2"/>
        <v>1</v>
      </c>
      <c r="H66" t="s">
        <v>564</v>
      </c>
      <c r="I66">
        <v>2729</v>
      </c>
      <c r="J66" t="s">
        <v>565</v>
      </c>
      <c r="K66" t="s">
        <v>547</v>
      </c>
      <c r="L66">
        <v>2020</v>
      </c>
      <c r="M66" t="s">
        <v>566</v>
      </c>
      <c r="N66" t="s">
        <v>564</v>
      </c>
      <c r="O66" t="s">
        <v>567</v>
      </c>
      <c r="P66">
        <v>4000</v>
      </c>
      <c r="Q66" t="s">
        <v>547</v>
      </c>
      <c r="S66" t="s">
        <v>568</v>
      </c>
      <c r="T66" t="s">
        <v>569</v>
      </c>
      <c r="U66">
        <v>4000</v>
      </c>
      <c r="V66" t="s">
        <v>547</v>
      </c>
      <c r="W66">
        <v>1919</v>
      </c>
      <c r="X66" t="s">
        <v>125</v>
      </c>
      <c r="Y66">
        <v>-2.5</v>
      </c>
      <c r="AA66">
        <v>-1.5</v>
      </c>
      <c r="AB66">
        <v>0</v>
      </c>
      <c r="AC66">
        <v>50</v>
      </c>
      <c r="AD66">
        <v>50</v>
      </c>
      <c r="AE66">
        <v>0</v>
      </c>
      <c r="AF66">
        <v>100</v>
      </c>
      <c r="AG66">
        <v>0</v>
      </c>
      <c r="AH66">
        <v>100</v>
      </c>
      <c r="AI66">
        <v>0</v>
      </c>
      <c r="AJ66">
        <v>0</v>
      </c>
      <c r="AK66">
        <v>0</v>
      </c>
      <c r="AL66">
        <v>0</v>
      </c>
      <c r="AM66">
        <v>25</v>
      </c>
      <c r="AN66">
        <v>75</v>
      </c>
      <c r="AO66">
        <v>41</v>
      </c>
      <c r="AP66">
        <v>59</v>
      </c>
      <c r="AQ66">
        <v>0</v>
      </c>
      <c r="AR66">
        <v>0</v>
      </c>
      <c r="AS66">
        <v>0</v>
      </c>
      <c r="AT66">
        <v>67</v>
      </c>
      <c r="AU66">
        <v>9</v>
      </c>
      <c r="AV66">
        <v>100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5</v>
      </c>
      <c r="BR66">
        <v>6</v>
      </c>
      <c r="BS66">
        <v>0</v>
      </c>
      <c r="BT66">
        <v>1</v>
      </c>
      <c r="BU66">
        <v>2</v>
      </c>
      <c r="BV66">
        <v>2</v>
      </c>
      <c r="BW66">
        <v>3</v>
      </c>
      <c r="BX66">
        <v>3</v>
      </c>
      <c r="BY66">
        <v>1</v>
      </c>
      <c r="BZ66">
        <v>0.5</v>
      </c>
      <c r="CA66">
        <v>0</v>
      </c>
      <c r="CB66">
        <v>0</v>
      </c>
      <c r="CC66">
        <v>2</v>
      </c>
      <c r="CD66">
        <v>0</v>
      </c>
      <c r="CE66">
        <v>1</v>
      </c>
      <c r="CF66">
        <v>0</v>
      </c>
      <c r="CG66">
        <v>1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0.5</v>
      </c>
      <c r="CP66">
        <v>0</v>
      </c>
      <c r="CQ66">
        <v>0</v>
      </c>
      <c r="CR66">
        <v>0</v>
      </c>
      <c r="CS66">
        <v>6</v>
      </c>
      <c r="CT66">
        <v>5</v>
      </c>
      <c r="CU66">
        <v>3</v>
      </c>
      <c r="CV66">
        <v>3</v>
      </c>
      <c r="CW66">
        <v>2</v>
      </c>
      <c r="CX66">
        <v>2</v>
      </c>
      <c r="CY66">
        <v>1</v>
      </c>
      <c r="CZ66">
        <v>0</v>
      </c>
    </row>
    <row r="67" spans="1:104" x14ac:dyDescent="0.25">
      <c r="A67" s="1" t="s">
        <v>570</v>
      </c>
      <c r="B67">
        <v>9391</v>
      </c>
      <c r="C67">
        <v>9886</v>
      </c>
      <c r="D67" s="2">
        <v>43870</v>
      </c>
      <c r="E67" s="3">
        <f t="shared" ref="E67:E130" si="3">YEAR(D67)</f>
        <v>2020</v>
      </c>
      <c r="F67" s="3">
        <f t="shared" ref="F67:F130" si="4">MONTH(D67)</f>
        <v>2</v>
      </c>
      <c r="G67" s="3">
        <f t="shared" ref="G67:G130" si="5">WEEKDAY(D67)</f>
        <v>1</v>
      </c>
      <c r="H67" t="s">
        <v>571</v>
      </c>
      <c r="I67">
        <v>1285</v>
      </c>
      <c r="J67" t="s">
        <v>397</v>
      </c>
      <c r="K67" t="s">
        <v>380</v>
      </c>
      <c r="L67">
        <v>2019</v>
      </c>
      <c r="M67" t="s">
        <v>572</v>
      </c>
      <c r="N67" t="s">
        <v>571</v>
      </c>
      <c r="O67" t="s">
        <v>573</v>
      </c>
      <c r="P67">
        <v>2000</v>
      </c>
      <c r="Q67" t="s">
        <v>380</v>
      </c>
      <c r="R67">
        <v>1935</v>
      </c>
      <c r="S67" t="s">
        <v>574</v>
      </c>
      <c r="T67" t="s">
        <v>575</v>
      </c>
      <c r="U67">
        <v>1000</v>
      </c>
      <c r="V67" t="s">
        <v>380</v>
      </c>
      <c r="X67" t="s">
        <v>109</v>
      </c>
      <c r="Z67">
        <v>-2.5</v>
      </c>
      <c r="AA67">
        <v>-1.5</v>
      </c>
      <c r="AB67">
        <v>45</v>
      </c>
      <c r="AC67">
        <v>45</v>
      </c>
      <c r="AD67">
        <v>10</v>
      </c>
      <c r="AE67">
        <v>75</v>
      </c>
      <c r="AF67">
        <v>25</v>
      </c>
      <c r="AG67">
        <v>67</v>
      </c>
      <c r="AH67">
        <v>33</v>
      </c>
      <c r="AI67">
        <v>62</v>
      </c>
      <c r="AJ67">
        <v>38</v>
      </c>
      <c r="AK67">
        <v>0</v>
      </c>
      <c r="AL67">
        <v>0</v>
      </c>
      <c r="AM67">
        <v>50</v>
      </c>
      <c r="AN67">
        <v>50</v>
      </c>
      <c r="AO67">
        <v>50</v>
      </c>
      <c r="AP67">
        <v>50</v>
      </c>
      <c r="AQ67">
        <v>20</v>
      </c>
      <c r="AR67">
        <v>67</v>
      </c>
      <c r="AS67">
        <v>11</v>
      </c>
      <c r="AT67">
        <v>7</v>
      </c>
      <c r="AU67">
        <v>33</v>
      </c>
      <c r="AV67">
        <v>0</v>
      </c>
      <c r="AW67">
        <v>6</v>
      </c>
      <c r="AX67">
        <v>1.2</v>
      </c>
      <c r="AY67">
        <v>8</v>
      </c>
      <c r="AZ67">
        <v>1.6</v>
      </c>
      <c r="BA67">
        <v>11</v>
      </c>
      <c r="BB67">
        <v>13</v>
      </c>
      <c r="BC67">
        <v>5</v>
      </c>
      <c r="BD67">
        <v>3</v>
      </c>
      <c r="BE67">
        <v>5</v>
      </c>
      <c r="BF67">
        <v>7</v>
      </c>
      <c r="BG67">
        <v>1</v>
      </c>
      <c r="BH67">
        <v>3</v>
      </c>
      <c r="BI67">
        <v>22</v>
      </c>
      <c r="BJ67">
        <v>16</v>
      </c>
      <c r="BK67">
        <v>14</v>
      </c>
      <c r="BL67">
        <v>17</v>
      </c>
      <c r="BM67">
        <v>2</v>
      </c>
      <c r="BN67">
        <v>1.2</v>
      </c>
      <c r="BO67">
        <v>1.3</v>
      </c>
      <c r="BP67">
        <v>1.3</v>
      </c>
      <c r="BQ67">
        <v>1</v>
      </c>
      <c r="BR67">
        <v>1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3</v>
      </c>
      <c r="BZ67">
        <v>0.6</v>
      </c>
      <c r="CA67">
        <v>13</v>
      </c>
      <c r="CB67">
        <v>2.6</v>
      </c>
      <c r="CC67">
        <v>12</v>
      </c>
      <c r="CD67">
        <v>11</v>
      </c>
      <c r="CE67">
        <v>7</v>
      </c>
      <c r="CF67">
        <v>5</v>
      </c>
      <c r="CG67">
        <v>2</v>
      </c>
      <c r="CH67">
        <v>3</v>
      </c>
      <c r="CI67">
        <v>3</v>
      </c>
      <c r="CJ67">
        <v>3</v>
      </c>
      <c r="CK67">
        <v>20</v>
      </c>
      <c r="CL67">
        <v>11</v>
      </c>
      <c r="CM67">
        <v>18</v>
      </c>
      <c r="CN67">
        <v>10</v>
      </c>
      <c r="CO67">
        <v>1.7</v>
      </c>
      <c r="CP67">
        <v>1</v>
      </c>
      <c r="CQ67">
        <v>1.5</v>
      </c>
      <c r="CR67">
        <v>0.9</v>
      </c>
      <c r="CS67">
        <v>1</v>
      </c>
      <c r="CT67">
        <v>1</v>
      </c>
      <c r="CU67">
        <v>0</v>
      </c>
      <c r="CV67">
        <v>0</v>
      </c>
      <c r="CW67">
        <v>1</v>
      </c>
      <c r="CX67">
        <v>1</v>
      </c>
      <c r="CY67">
        <v>0</v>
      </c>
      <c r="CZ67">
        <v>0</v>
      </c>
    </row>
    <row r="68" spans="1:104" x14ac:dyDescent="0.25">
      <c r="A68" s="1" t="s">
        <v>576</v>
      </c>
      <c r="B68">
        <v>711</v>
      </c>
      <c r="C68">
        <v>722</v>
      </c>
      <c r="D68" s="2">
        <v>43742</v>
      </c>
      <c r="E68" s="3">
        <f t="shared" si="3"/>
        <v>2019</v>
      </c>
      <c r="F68" s="3">
        <f t="shared" si="4"/>
        <v>10</v>
      </c>
      <c r="G68" s="3">
        <f t="shared" si="5"/>
        <v>6</v>
      </c>
      <c r="H68" t="s">
        <v>577</v>
      </c>
      <c r="I68">
        <v>776</v>
      </c>
      <c r="J68" t="s">
        <v>578</v>
      </c>
      <c r="K68" t="s">
        <v>380</v>
      </c>
      <c r="L68">
        <v>2019</v>
      </c>
      <c r="M68" t="s">
        <v>122</v>
      </c>
      <c r="N68" t="s">
        <v>577</v>
      </c>
      <c r="O68" t="s">
        <v>579</v>
      </c>
      <c r="P68">
        <v>7000</v>
      </c>
      <c r="Q68" t="s">
        <v>380</v>
      </c>
      <c r="R68">
        <v>1971</v>
      </c>
      <c r="S68" t="s">
        <v>580</v>
      </c>
      <c r="T68" t="s">
        <v>581</v>
      </c>
      <c r="U68">
        <v>17524</v>
      </c>
      <c r="V68" t="s">
        <v>380</v>
      </c>
      <c r="W68">
        <v>1940</v>
      </c>
      <c r="X68" t="s">
        <v>125</v>
      </c>
      <c r="Z68">
        <v>-2.5</v>
      </c>
      <c r="AA68">
        <v>-2.5</v>
      </c>
      <c r="AB68">
        <v>10</v>
      </c>
      <c r="AC68">
        <v>45</v>
      </c>
      <c r="AD68">
        <v>45</v>
      </c>
      <c r="AE68">
        <v>46</v>
      </c>
      <c r="AF68">
        <v>54</v>
      </c>
      <c r="AG68">
        <v>64</v>
      </c>
      <c r="AH68">
        <v>36</v>
      </c>
      <c r="AI68">
        <v>54</v>
      </c>
      <c r="AJ68">
        <v>46</v>
      </c>
      <c r="AK68">
        <v>47</v>
      </c>
      <c r="AL68">
        <v>53</v>
      </c>
      <c r="AM68">
        <v>25</v>
      </c>
      <c r="AN68">
        <v>75</v>
      </c>
      <c r="AO68">
        <v>29</v>
      </c>
      <c r="AP68">
        <v>71</v>
      </c>
      <c r="AQ68">
        <v>40</v>
      </c>
      <c r="AR68">
        <v>41</v>
      </c>
      <c r="AS68">
        <v>65</v>
      </c>
      <c r="AT68">
        <v>47</v>
      </c>
      <c r="AU68">
        <v>24</v>
      </c>
      <c r="AV68">
        <v>59</v>
      </c>
      <c r="AW68">
        <v>7</v>
      </c>
      <c r="AX68">
        <v>1.4</v>
      </c>
      <c r="AY68">
        <v>6</v>
      </c>
      <c r="AZ68">
        <v>1.2</v>
      </c>
      <c r="BA68">
        <v>4</v>
      </c>
      <c r="BB68">
        <v>5</v>
      </c>
      <c r="BC68">
        <v>1</v>
      </c>
      <c r="BD68">
        <v>2</v>
      </c>
      <c r="BE68">
        <v>0</v>
      </c>
      <c r="BF68">
        <v>3</v>
      </c>
      <c r="BG68">
        <v>3</v>
      </c>
      <c r="BH68">
        <v>0</v>
      </c>
      <c r="BI68">
        <v>4</v>
      </c>
      <c r="BJ68">
        <v>9</v>
      </c>
      <c r="BK68">
        <v>7</v>
      </c>
      <c r="BL68">
        <v>6</v>
      </c>
      <c r="BM68">
        <v>1</v>
      </c>
      <c r="BN68">
        <v>1.8</v>
      </c>
      <c r="BO68">
        <v>1.8</v>
      </c>
      <c r="BP68">
        <v>1.2</v>
      </c>
      <c r="BQ68">
        <v>3</v>
      </c>
      <c r="BR68">
        <v>3</v>
      </c>
      <c r="BS68">
        <v>1</v>
      </c>
      <c r="BT68">
        <v>0</v>
      </c>
      <c r="BU68">
        <v>0</v>
      </c>
      <c r="BV68">
        <v>1</v>
      </c>
      <c r="BW68">
        <v>2</v>
      </c>
      <c r="BX68">
        <v>2</v>
      </c>
      <c r="BY68">
        <v>4</v>
      </c>
      <c r="BZ68">
        <v>0.8</v>
      </c>
      <c r="CA68">
        <v>7</v>
      </c>
      <c r="CB68">
        <v>1.4</v>
      </c>
      <c r="CC68">
        <v>4</v>
      </c>
      <c r="CD68">
        <v>5</v>
      </c>
      <c r="CE68">
        <v>2</v>
      </c>
      <c r="CF68">
        <v>2</v>
      </c>
      <c r="CG68">
        <v>1</v>
      </c>
      <c r="CH68">
        <v>0</v>
      </c>
      <c r="CI68">
        <v>1</v>
      </c>
      <c r="CJ68">
        <v>3</v>
      </c>
      <c r="CK68">
        <v>2</v>
      </c>
      <c r="CL68">
        <v>4</v>
      </c>
      <c r="CM68">
        <v>4</v>
      </c>
      <c r="CN68">
        <v>8</v>
      </c>
      <c r="CO68">
        <v>0.5</v>
      </c>
      <c r="CP68">
        <v>0.8</v>
      </c>
      <c r="CQ68">
        <v>1</v>
      </c>
      <c r="CR68">
        <v>1.6</v>
      </c>
      <c r="CS68">
        <v>3</v>
      </c>
      <c r="CT68">
        <v>3</v>
      </c>
      <c r="CU68">
        <v>2</v>
      </c>
      <c r="CV68">
        <v>2</v>
      </c>
      <c r="CW68">
        <v>1</v>
      </c>
      <c r="CX68">
        <v>0</v>
      </c>
      <c r="CY68">
        <v>0</v>
      </c>
      <c r="CZ68">
        <v>1</v>
      </c>
    </row>
    <row r="69" spans="1:104" x14ac:dyDescent="0.25">
      <c r="A69" s="1" t="s">
        <v>582</v>
      </c>
      <c r="B69">
        <v>5994</v>
      </c>
      <c r="C69">
        <v>5932</v>
      </c>
      <c r="D69" s="2">
        <v>43800</v>
      </c>
      <c r="E69" s="3">
        <f t="shared" si="3"/>
        <v>2019</v>
      </c>
      <c r="F69" s="3">
        <f t="shared" si="4"/>
        <v>12</v>
      </c>
      <c r="G69" s="3">
        <f t="shared" si="5"/>
        <v>1</v>
      </c>
      <c r="H69" t="s">
        <v>583</v>
      </c>
      <c r="I69">
        <v>1122</v>
      </c>
      <c r="J69" t="s">
        <v>474</v>
      </c>
      <c r="K69" t="s">
        <v>475</v>
      </c>
      <c r="L69">
        <v>2019</v>
      </c>
      <c r="M69" t="s">
        <v>584</v>
      </c>
      <c r="N69" t="s">
        <v>585</v>
      </c>
      <c r="O69" t="s">
        <v>586</v>
      </c>
      <c r="P69">
        <v>1500</v>
      </c>
      <c r="Q69" t="s">
        <v>475</v>
      </c>
      <c r="R69">
        <v>1939</v>
      </c>
      <c r="S69" t="s">
        <v>587</v>
      </c>
      <c r="T69" t="s">
        <v>588</v>
      </c>
      <c r="U69">
        <v>2488</v>
      </c>
      <c r="V69" t="s">
        <v>475</v>
      </c>
      <c r="W69">
        <v>2017</v>
      </c>
      <c r="X69">
        <v>2</v>
      </c>
      <c r="Z69">
        <v>-1.5</v>
      </c>
      <c r="AA69">
        <v>-4.5</v>
      </c>
      <c r="AB69">
        <v>10</v>
      </c>
      <c r="AC69">
        <v>45</v>
      </c>
      <c r="AD69">
        <v>45</v>
      </c>
      <c r="AE69">
        <v>19</v>
      </c>
      <c r="AF69">
        <v>81</v>
      </c>
      <c r="AG69">
        <v>17</v>
      </c>
      <c r="AH69">
        <v>83</v>
      </c>
      <c r="AI69">
        <v>17</v>
      </c>
      <c r="AJ69">
        <v>83</v>
      </c>
      <c r="AK69">
        <v>20</v>
      </c>
      <c r="AL69">
        <v>80</v>
      </c>
      <c r="AM69">
        <v>50</v>
      </c>
      <c r="AN69">
        <v>50</v>
      </c>
      <c r="AO69">
        <v>50</v>
      </c>
      <c r="AP69">
        <v>50</v>
      </c>
      <c r="AQ69">
        <v>20</v>
      </c>
      <c r="AR69">
        <v>27</v>
      </c>
      <c r="AS69">
        <v>9</v>
      </c>
      <c r="AT69">
        <v>87</v>
      </c>
      <c r="AU69">
        <v>100</v>
      </c>
      <c r="AV69">
        <v>82</v>
      </c>
      <c r="AW69">
        <v>3</v>
      </c>
      <c r="AX69">
        <v>0.6</v>
      </c>
      <c r="AY69">
        <v>10</v>
      </c>
      <c r="AZ69">
        <v>2</v>
      </c>
      <c r="BA69">
        <v>6</v>
      </c>
      <c r="BB69">
        <v>6</v>
      </c>
      <c r="BC69">
        <v>1</v>
      </c>
      <c r="BD69">
        <v>0</v>
      </c>
      <c r="BE69">
        <v>2</v>
      </c>
      <c r="BF69">
        <v>2</v>
      </c>
      <c r="BG69">
        <v>3</v>
      </c>
      <c r="BH69">
        <v>4</v>
      </c>
      <c r="BI69">
        <v>7</v>
      </c>
      <c r="BJ69">
        <v>5</v>
      </c>
      <c r="BK69">
        <v>13</v>
      </c>
      <c r="BL69">
        <v>16</v>
      </c>
      <c r="BM69">
        <v>1.2</v>
      </c>
      <c r="BN69">
        <v>0.8</v>
      </c>
      <c r="BO69">
        <v>2.2000000000000002</v>
      </c>
      <c r="BP69">
        <v>2.7</v>
      </c>
      <c r="BQ69">
        <v>2</v>
      </c>
      <c r="BR69">
        <v>1</v>
      </c>
      <c r="BS69">
        <v>1</v>
      </c>
      <c r="BT69">
        <v>0</v>
      </c>
      <c r="BU69">
        <v>1</v>
      </c>
      <c r="BV69">
        <v>0</v>
      </c>
      <c r="BW69">
        <v>0</v>
      </c>
      <c r="BX69">
        <v>1</v>
      </c>
      <c r="BY69">
        <v>15</v>
      </c>
      <c r="BZ69">
        <v>3</v>
      </c>
      <c r="CA69">
        <v>2</v>
      </c>
      <c r="CB69">
        <v>0.4</v>
      </c>
      <c r="CC69">
        <v>6</v>
      </c>
      <c r="CD69">
        <v>6</v>
      </c>
      <c r="CE69">
        <v>6</v>
      </c>
      <c r="CF69">
        <v>3</v>
      </c>
      <c r="CG69">
        <v>0</v>
      </c>
      <c r="CH69">
        <v>2</v>
      </c>
      <c r="CI69">
        <v>0</v>
      </c>
      <c r="CJ69">
        <v>1</v>
      </c>
      <c r="CK69">
        <v>16</v>
      </c>
      <c r="CL69">
        <v>13</v>
      </c>
      <c r="CM69">
        <v>2</v>
      </c>
      <c r="CN69">
        <v>7</v>
      </c>
      <c r="CO69">
        <v>2.7</v>
      </c>
      <c r="CP69">
        <v>2.2000000000000002</v>
      </c>
      <c r="CQ69">
        <v>0.3</v>
      </c>
      <c r="CR69">
        <v>1.2</v>
      </c>
      <c r="CS69">
        <v>1</v>
      </c>
      <c r="CT69">
        <v>2</v>
      </c>
      <c r="CU69">
        <v>1</v>
      </c>
      <c r="CV69">
        <v>0</v>
      </c>
      <c r="CW69">
        <v>0</v>
      </c>
      <c r="CX69">
        <v>1</v>
      </c>
      <c r="CY69">
        <v>0</v>
      </c>
      <c r="CZ69">
        <v>1</v>
      </c>
    </row>
    <row r="70" spans="1:104" x14ac:dyDescent="0.25">
      <c r="A70" s="1" t="s">
        <v>589</v>
      </c>
      <c r="B70">
        <v>5404</v>
      </c>
      <c r="C70">
        <v>5406</v>
      </c>
      <c r="D70" s="2">
        <v>43775</v>
      </c>
      <c r="E70" s="3">
        <f t="shared" si="3"/>
        <v>2019</v>
      </c>
      <c r="F70" s="3">
        <f t="shared" si="4"/>
        <v>11</v>
      </c>
      <c r="G70" s="3">
        <f t="shared" si="5"/>
        <v>4</v>
      </c>
      <c r="H70" t="s">
        <v>590</v>
      </c>
      <c r="I70">
        <v>987</v>
      </c>
      <c r="J70" t="s">
        <v>538</v>
      </c>
      <c r="K70" t="s">
        <v>539</v>
      </c>
      <c r="L70">
        <v>2020</v>
      </c>
      <c r="M70" t="s">
        <v>591</v>
      </c>
      <c r="N70" t="s">
        <v>590</v>
      </c>
      <c r="O70" t="s">
        <v>592</v>
      </c>
      <c r="P70">
        <v>20000</v>
      </c>
      <c r="Q70" t="s">
        <v>539</v>
      </c>
      <c r="S70" t="s">
        <v>593</v>
      </c>
      <c r="T70" t="s">
        <v>592</v>
      </c>
      <c r="U70">
        <v>20000</v>
      </c>
      <c r="V70" t="s">
        <v>539</v>
      </c>
      <c r="X70" t="s">
        <v>125</v>
      </c>
      <c r="Y70">
        <v>-3.5</v>
      </c>
      <c r="Z70">
        <v>-2.5</v>
      </c>
      <c r="AA70">
        <v>-1.5</v>
      </c>
      <c r="AB70">
        <v>10</v>
      </c>
      <c r="AC70">
        <v>45</v>
      </c>
      <c r="AD70">
        <v>45</v>
      </c>
      <c r="AE70">
        <v>31</v>
      </c>
      <c r="AF70">
        <v>69</v>
      </c>
      <c r="AG70">
        <v>56</v>
      </c>
      <c r="AH70">
        <v>44</v>
      </c>
      <c r="AI70">
        <v>25</v>
      </c>
      <c r="AJ70">
        <v>75</v>
      </c>
      <c r="AK70">
        <v>100</v>
      </c>
      <c r="AL70">
        <v>0</v>
      </c>
      <c r="AM70">
        <v>13</v>
      </c>
      <c r="AN70">
        <v>88</v>
      </c>
      <c r="AO70">
        <v>38</v>
      </c>
      <c r="AP70">
        <v>63</v>
      </c>
      <c r="AQ70">
        <v>33</v>
      </c>
      <c r="AR70">
        <v>50</v>
      </c>
      <c r="AS70">
        <v>40</v>
      </c>
      <c r="AT70">
        <v>75</v>
      </c>
      <c r="AU70">
        <v>40</v>
      </c>
      <c r="AV70">
        <v>80</v>
      </c>
      <c r="AW70">
        <v>5</v>
      </c>
      <c r="AX70">
        <v>1.3</v>
      </c>
      <c r="AY70">
        <v>6</v>
      </c>
      <c r="AZ70">
        <v>1.5</v>
      </c>
      <c r="BA70">
        <v>2</v>
      </c>
      <c r="BB70">
        <v>2</v>
      </c>
      <c r="BC70">
        <v>1</v>
      </c>
      <c r="BD70">
        <v>0</v>
      </c>
      <c r="BE70">
        <v>0</v>
      </c>
      <c r="BF70">
        <v>1</v>
      </c>
      <c r="BG70">
        <v>1</v>
      </c>
      <c r="BH70">
        <v>1</v>
      </c>
      <c r="BI70">
        <v>4</v>
      </c>
      <c r="BJ70">
        <v>1</v>
      </c>
      <c r="BK70">
        <v>3</v>
      </c>
      <c r="BL70">
        <v>3</v>
      </c>
      <c r="BM70">
        <v>2</v>
      </c>
      <c r="BN70">
        <v>0.5</v>
      </c>
      <c r="BO70">
        <v>1.5</v>
      </c>
      <c r="BP70">
        <v>1.5</v>
      </c>
      <c r="BQ70">
        <v>2</v>
      </c>
      <c r="BR70">
        <v>3</v>
      </c>
      <c r="BS70">
        <v>1</v>
      </c>
      <c r="BT70">
        <v>0</v>
      </c>
      <c r="BU70">
        <v>0</v>
      </c>
      <c r="BV70">
        <v>1</v>
      </c>
      <c r="BW70">
        <v>1</v>
      </c>
      <c r="BX70">
        <v>2</v>
      </c>
      <c r="BY70">
        <v>4</v>
      </c>
      <c r="BZ70">
        <v>1</v>
      </c>
      <c r="CA70">
        <v>2</v>
      </c>
      <c r="CB70">
        <v>0.5</v>
      </c>
      <c r="CC70">
        <v>3</v>
      </c>
      <c r="CD70">
        <v>1</v>
      </c>
      <c r="CE70">
        <v>3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4</v>
      </c>
      <c r="CL70">
        <v>0</v>
      </c>
      <c r="CM70">
        <v>1</v>
      </c>
      <c r="CN70">
        <v>1</v>
      </c>
      <c r="CO70">
        <v>1.3</v>
      </c>
      <c r="CP70">
        <v>0</v>
      </c>
      <c r="CQ70">
        <v>0.3</v>
      </c>
      <c r="CR70">
        <v>1</v>
      </c>
      <c r="CS70">
        <v>3</v>
      </c>
      <c r="CT70">
        <v>2</v>
      </c>
      <c r="CU70">
        <v>2</v>
      </c>
      <c r="CV70">
        <v>1</v>
      </c>
      <c r="CW70">
        <v>1</v>
      </c>
      <c r="CX70">
        <v>0</v>
      </c>
      <c r="CY70">
        <v>0</v>
      </c>
      <c r="CZ70">
        <v>1</v>
      </c>
    </row>
    <row r="71" spans="1:104" x14ac:dyDescent="0.25">
      <c r="A71" s="1" t="s">
        <v>594</v>
      </c>
      <c r="B71">
        <v>2111</v>
      </c>
      <c r="C71">
        <v>951</v>
      </c>
      <c r="D71" s="2">
        <v>43801</v>
      </c>
      <c r="E71" s="3">
        <f t="shared" si="3"/>
        <v>2019</v>
      </c>
      <c r="F71" s="3">
        <f t="shared" si="4"/>
        <v>12</v>
      </c>
      <c r="G71" s="3">
        <f t="shared" si="5"/>
        <v>2</v>
      </c>
      <c r="H71" t="s">
        <v>595</v>
      </c>
      <c r="I71">
        <v>1423</v>
      </c>
      <c r="J71" t="s">
        <v>596</v>
      </c>
      <c r="K71" t="s">
        <v>597</v>
      </c>
      <c r="L71">
        <v>2019</v>
      </c>
      <c r="M71" t="s">
        <v>598</v>
      </c>
      <c r="N71" t="s">
        <v>595</v>
      </c>
      <c r="O71" t="s">
        <v>599</v>
      </c>
      <c r="P71">
        <v>2776</v>
      </c>
      <c r="Q71" t="s">
        <v>597</v>
      </c>
      <c r="R71">
        <v>1968</v>
      </c>
      <c r="S71" t="s">
        <v>600</v>
      </c>
      <c r="T71" t="s">
        <v>601</v>
      </c>
      <c r="U71">
        <v>14856</v>
      </c>
      <c r="V71" t="s">
        <v>597</v>
      </c>
      <c r="W71">
        <v>1891</v>
      </c>
      <c r="X71" t="s">
        <v>125</v>
      </c>
      <c r="Y71">
        <v>-3.5</v>
      </c>
      <c r="Z71">
        <v>-1.5</v>
      </c>
      <c r="AA71">
        <v>-2.5</v>
      </c>
      <c r="AB71">
        <v>10</v>
      </c>
      <c r="AC71">
        <v>45</v>
      </c>
      <c r="AD71">
        <v>45</v>
      </c>
      <c r="AE71">
        <v>0</v>
      </c>
      <c r="AF71">
        <v>100</v>
      </c>
      <c r="AG71">
        <v>13</v>
      </c>
      <c r="AH71">
        <v>88</v>
      </c>
      <c r="AI71">
        <v>11</v>
      </c>
      <c r="AJ71">
        <v>89</v>
      </c>
      <c r="AK71">
        <v>0</v>
      </c>
      <c r="AL71">
        <v>100</v>
      </c>
      <c r="AM71">
        <v>91</v>
      </c>
      <c r="AN71">
        <v>9</v>
      </c>
      <c r="AO71">
        <v>86</v>
      </c>
      <c r="AP71">
        <v>14</v>
      </c>
      <c r="AQ71">
        <v>0</v>
      </c>
      <c r="AR71">
        <v>9</v>
      </c>
      <c r="AS71">
        <v>27</v>
      </c>
      <c r="AT71">
        <v>73</v>
      </c>
      <c r="AU71">
        <v>64</v>
      </c>
      <c r="AV71">
        <v>91</v>
      </c>
      <c r="AW71">
        <v>1</v>
      </c>
      <c r="AX71">
        <v>0.2</v>
      </c>
      <c r="AY71">
        <v>8</v>
      </c>
      <c r="AZ71">
        <v>1.6</v>
      </c>
      <c r="BA71">
        <v>2</v>
      </c>
      <c r="BB71">
        <v>4</v>
      </c>
      <c r="BC71">
        <v>0</v>
      </c>
      <c r="BD71">
        <v>0</v>
      </c>
      <c r="BE71">
        <v>0</v>
      </c>
      <c r="BF71">
        <v>0</v>
      </c>
      <c r="BG71">
        <v>2</v>
      </c>
      <c r="BH71">
        <v>4</v>
      </c>
      <c r="BI71">
        <v>0</v>
      </c>
      <c r="BJ71">
        <v>2</v>
      </c>
      <c r="BK71">
        <v>4</v>
      </c>
      <c r="BL71">
        <v>6</v>
      </c>
      <c r="BM71">
        <v>0</v>
      </c>
      <c r="BN71">
        <v>0.5</v>
      </c>
      <c r="BO71">
        <v>2</v>
      </c>
      <c r="BP71">
        <v>1.5</v>
      </c>
      <c r="BQ71">
        <v>3</v>
      </c>
      <c r="BR71">
        <v>3</v>
      </c>
      <c r="BS71">
        <v>2</v>
      </c>
      <c r="BT71">
        <v>1</v>
      </c>
      <c r="BU71">
        <v>0</v>
      </c>
      <c r="BV71">
        <v>1</v>
      </c>
      <c r="BW71">
        <v>1</v>
      </c>
      <c r="BX71">
        <v>1</v>
      </c>
      <c r="BY71">
        <v>7</v>
      </c>
      <c r="BZ71">
        <v>1.4</v>
      </c>
      <c r="CA71">
        <v>1</v>
      </c>
      <c r="CB71">
        <v>0.2</v>
      </c>
      <c r="CC71">
        <v>4</v>
      </c>
      <c r="CD71">
        <v>2</v>
      </c>
      <c r="CE71">
        <v>2</v>
      </c>
      <c r="CF71">
        <v>2</v>
      </c>
      <c r="CG71">
        <v>2</v>
      </c>
      <c r="CH71">
        <v>0</v>
      </c>
      <c r="CI71">
        <v>0</v>
      </c>
      <c r="CJ71">
        <v>0</v>
      </c>
      <c r="CK71">
        <v>8</v>
      </c>
      <c r="CL71">
        <v>2</v>
      </c>
      <c r="CM71">
        <v>1</v>
      </c>
      <c r="CN71">
        <v>0</v>
      </c>
      <c r="CO71">
        <v>2</v>
      </c>
      <c r="CP71">
        <v>1</v>
      </c>
      <c r="CQ71">
        <v>0.3</v>
      </c>
      <c r="CR71">
        <v>0</v>
      </c>
      <c r="CS71">
        <v>3</v>
      </c>
      <c r="CT71">
        <v>3</v>
      </c>
      <c r="CU71">
        <v>1</v>
      </c>
      <c r="CV71">
        <v>1</v>
      </c>
      <c r="CW71">
        <v>1</v>
      </c>
      <c r="CX71">
        <v>0</v>
      </c>
      <c r="CY71">
        <v>1</v>
      </c>
      <c r="CZ71">
        <v>2</v>
      </c>
    </row>
    <row r="72" spans="1:104" x14ac:dyDescent="0.25">
      <c r="A72" s="1" t="s">
        <v>602</v>
      </c>
      <c r="B72">
        <v>9543</v>
      </c>
      <c r="C72">
        <v>9542</v>
      </c>
      <c r="D72" s="2">
        <v>43800</v>
      </c>
      <c r="E72" s="3">
        <f t="shared" si="3"/>
        <v>2019</v>
      </c>
      <c r="F72" s="3">
        <f t="shared" si="4"/>
        <v>12</v>
      </c>
      <c r="G72" s="3">
        <f t="shared" si="5"/>
        <v>1</v>
      </c>
      <c r="H72" t="s">
        <v>603</v>
      </c>
      <c r="I72">
        <v>1260</v>
      </c>
      <c r="J72" t="s">
        <v>604</v>
      </c>
      <c r="K72" t="s">
        <v>338</v>
      </c>
      <c r="L72">
        <v>2019</v>
      </c>
      <c r="M72" t="s">
        <v>218</v>
      </c>
      <c r="N72" t="s">
        <v>605</v>
      </c>
      <c r="O72" t="s">
        <v>606</v>
      </c>
      <c r="P72">
        <v>1200</v>
      </c>
      <c r="Q72" t="s">
        <v>338</v>
      </c>
      <c r="R72">
        <v>1931</v>
      </c>
      <c r="S72" t="s">
        <v>607</v>
      </c>
      <c r="T72" t="s">
        <v>608</v>
      </c>
      <c r="U72">
        <v>6200</v>
      </c>
      <c r="V72" t="s">
        <v>338</v>
      </c>
      <c r="W72">
        <v>1927</v>
      </c>
      <c r="X72" t="s">
        <v>125</v>
      </c>
      <c r="Z72">
        <v>-1.5</v>
      </c>
      <c r="AA72">
        <v>-2.5</v>
      </c>
      <c r="AB72">
        <v>10</v>
      </c>
      <c r="AC72">
        <v>45</v>
      </c>
      <c r="AD72">
        <v>45</v>
      </c>
      <c r="AE72">
        <v>47</v>
      </c>
      <c r="AF72">
        <v>53</v>
      </c>
      <c r="AG72">
        <v>38</v>
      </c>
      <c r="AH72">
        <v>62</v>
      </c>
      <c r="AI72">
        <v>36</v>
      </c>
      <c r="AJ72">
        <v>64</v>
      </c>
      <c r="AK72">
        <v>45</v>
      </c>
      <c r="AL72">
        <v>55</v>
      </c>
      <c r="AM72">
        <v>0</v>
      </c>
      <c r="AN72">
        <v>0</v>
      </c>
      <c r="AO72">
        <v>0</v>
      </c>
      <c r="AP72">
        <v>0</v>
      </c>
      <c r="AQ72">
        <v>60</v>
      </c>
      <c r="AR72">
        <v>36</v>
      </c>
      <c r="AS72">
        <v>50</v>
      </c>
      <c r="AT72">
        <v>67</v>
      </c>
      <c r="AU72">
        <v>57</v>
      </c>
      <c r="AV72">
        <v>71</v>
      </c>
      <c r="AW72">
        <v>5</v>
      </c>
      <c r="AX72">
        <v>1</v>
      </c>
      <c r="AY72">
        <v>7</v>
      </c>
      <c r="AZ72">
        <v>1.4</v>
      </c>
      <c r="BA72">
        <v>6</v>
      </c>
      <c r="BB72">
        <v>7</v>
      </c>
      <c r="BC72">
        <v>2</v>
      </c>
      <c r="BD72">
        <v>2</v>
      </c>
      <c r="BE72">
        <v>1</v>
      </c>
      <c r="BF72">
        <v>1</v>
      </c>
      <c r="BG72">
        <v>3</v>
      </c>
      <c r="BH72">
        <v>4</v>
      </c>
      <c r="BI72">
        <v>9</v>
      </c>
      <c r="BJ72">
        <v>6</v>
      </c>
      <c r="BK72">
        <v>11</v>
      </c>
      <c r="BL72">
        <v>10</v>
      </c>
      <c r="BM72">
        <v>1.5</v>
      </c>
      <c r="BN72">
        <v>0.9</v>
      </c>
      <c r="BO72">
        <v>1.8</v>
      </c>
      <c r="BP72">
        <v>1.4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8</v>
      </c>
      <c r="BZ72">
        <v>1.6</v>
      </c>
      <c r="CA72">
        <v>4</v>
      </c>
      <c r="CB72">
        <v>0.8</v>
      </c>
      <c r="CC72">
        <v>7</v>
      </c>
      <c r="CD72">
        <v>6</v>
      </c>
      <c r="CE72">
        <v>5</v>
      </c>
      <c r="CF72">
        <v>1</v>
      </c>
      <c r="CG72">
        <v>1</v>
      </c>
      <c r="CH72">
        <v>2</v>
      </c>
      <c r="CI72">
        <v>1</v>
      </c>
      <c r="CJ72">
        <v>3</v>
      </c>
      <c r="CK72">
        <v>13</v>
      </c>
      <c r="CL72">
        <v>4</v>
      </c>
      <c r="CM72">
        <v>4</v>
      </c>
      <c r="CN72">
        <v>5</v>
      </c>
      <c r="CO72">
        <v>1.9</v>
      </c>
      <c r="CP72">
        <v>0.7</v>
      </c>
      <c r="CQ72">
        <v>0.6</v>
      </c>
      <c r="CR72">
        <v>0.8</v>
      </c>
      <c r="CS72">
        <v>0</v>
      </c>
      <c r="CT72">
        <v>1</v>
      </c>
      <c r="CU72">
        <v>0</v>
      </c>
      <c r="CV72">
        <v>1</v>
      </c>
      <c r="CW72">
        <v>0</v>
      </c>
      <c r="CX72">
        <v>0</v>
      </c>
      <c r="CY72">
        <v>0</v>
      </c>
      <c r="CZ72">
        <v>0</v>
      </c>
    </row>
    <row r="73" spans="1:104" x14ac:dyDescent="0.25">
      <c r="A73" s="1" t="s">
        <v>609</v>
      </c>
      <c r="B73">
        <v>1616</v>
      </c>
      <c r="C73">
        <v>1617</v>
      </c>
      <c r="D73" s="2">
        <v>44036</v>
      </c>
      <c r="E73" s="3">
        <f t="shared" si="3"/>
        <v>2020</v>
      </c>
      <c r="F73" s="3">
        <f t="shared" si="4"/>
        <v>7</v>
      </c>
      <c r="G73" s="3">
        <f t="shared" si="5"/>
        <v>6</v>
      </c>
      <c r="H73" t="s">
        <v>610</v>
      </c>
      <c r="I73">
        <v>1264</v>
      </c>
      <c r="J73" t="s">
        <v>611</v>
      </c>
      <c r="K73" t="s">
        <v>612</v>
      </c>
      <c r="L73">
        <v>2020</v>
      </c>
      <c r="M73" t="s">
        <v>613</v>
      </c>
      <c r="N73" t="s">
        <v>614</v>
      </c>
      <c r="O73" t="s">
        <v>615</v>
      </c>
      <c r="P73">
        <v>22902</v>
      </c>
      <c r="Q73" t="s">
        <v>612</v>
      </c>
      <c r="R73">
        <v>2014</v>
      </c>
      <c r="S73" t="s">
        <v>616</v>
      </c>
      <c r="T73" t="s">
        <v>617</v>
      </c>
      <c r="U73">
        <v>25518</v>
      </c>
      <c r="V73" t="s">
        <v>612</v>
      </c>
      <c r="W73">
        <v>2009</v>
      </c>
      <c r="X73">
        <v>1</v>
      </c>
      <c r="Y73">
        <v>1.5</v>
      </c>
      <c r="Z73">
        <v>-4.5</v>
      </c>
      <c r="AA73">
        <v>-2.5</v>
      </c>
      <c r="AB73">
        <v>35</v>
      </c>
      <c r="AC73">
        <v>35</v>
      </c>
      <c r="AD73">
        <v>30</v>
      </c>
      <c r="AE73">
        <v>47</v>
      </c>
      <c r="AF73">
        <v>53</v>
      </c>
      <c r="AG73">
        <v>68</v>
      </c>
      <c r="AH73">
        <v>32</v>
      </c>
      <c r="AI73">
        <v>38</v>
      </c>
      <c r="AJ73">
        <v>62</v>
      </c>
      <c r="AK73">
        <v>0</v>
      </c>
      <c r="AL73">
        <v>0</v>
      </c>
      <c r="AM73">
        <v>50</v>
      </c>
      <c r="AN73">
        <v>50</v>
      </c>
      <c r="AO73">
        <v>50</v>
      </c>
      <c r="AP73">
        <v>50</v>
      </c>
      <c r="AQ73">
        <v>67</v>
      </c>
      <c r="AR73">
        <v>100</v>
      </c>
      <c r="AS73">
        <v>33</v>
      </c>
      <c r="AT73">
        <v>75</v>
      </c>
      <c r="AU73">
        <v>50</v>
      </c>
      <c r="AV73">
        <v>58</v>
      </c>
      <c r="AW73">
        <v>13</v>
      </c>
      <c r="AX73">
        <v>3.3</v>
      </c>
      <c r="AY73">
        <v>8</v>
      </c>
      <c r="AZ73">
        <v>2</v>
      </c>
      <c r="BA73">
        <v>4</v>
      </c>
      <c r="BB73">
        <v>0</v>
      </c>
      <c r="BC73">
        <v>2</v>
      </c>
      <c r="BD73">
        <v>0</v>
      </c>
      <c r="BE73">
        <v>2</v>
      </c>
      <c r="BF73">
        <v>0</v>
      </c>
      <c r="BG73">
        <v>0</v>
      </c>
      <c r="BH73">
        <v>0</v>
      </c>
      <c r="BI73">
        <v>13</v>
      </c>
      <c r="BJ73">
        <v>0</v>
      </c>
      <c r="BK73">
        <v>8</v>
      </c>
      <c r="BL73">
        <v>0</v>
      </c>
      <c r="BM73">
        <v>3.3</v>
      </c>
      <c r="BN73">
        <v>0</v>
      </c>
      <c r="BO73">
        <v>2</v>
      </c>
      <c r="BP73">
        <v>0</v>
      </c>
      <c r="BQ73">
        <v>4</v>
      </c>
      <c r="BR73">
        <v>2</v>
      </c>
      <c r="BS73">
        <v>1</v>
      </c>
      <c r="BT73">
        <v>1</v>
      </c>
      <c r="BU73">
        <v>2</v>
      </c>
      <c r="BV73">
        <v>0</v>
      </c>
      <c r="BW73">
        <v>1</v>
      </c>
      <c r="BX73">
        <v>1</v>
      </c>
      <c r="BY73">
        <v>6</v>
      </c>
      <c r="BZ73">
        <v>1.5</v>
      </c>
      <c r="CA73">
        <v>5</v>
      </c>
      <c r="CB73">
        <v>1.3</v>
      </c>
      <c r="CC73">
        <v>3</v>
      </c>
      <c r="CD73">
        <v>1</v>
      </c>
      <c r="CE73">
        <v>2</v>
      </c>
      <c r="CF73">
        <v>1</v>
      </c>
      <c r="CG73">
        <v>0</v>
      </c>
      <c r="CH73">
        <v>0</v>
      </c>
      <c r="CI73">
        <v>1</v>
      </c>
      <c r="CJ73">
        <v>0</v>
      </c>
      <c r="CK73">
        <v>4</v>
      </c>
      <c r="CL73">
        <v>2</v>
      </c>
      <c r="CM73">
        <v>4</v>
      </c>
      <c r="CN73">
        <v>1</v>
      </c>
      <c r="CO73">
        <v>1.3</v>
      </c>
      <c r="CP73">
        <v>2</v>
      </c>
      <c r="CQ73">
        <v>1.3</v>
      </c>
      <c r="CR73">
        <v>1</v>
      </c>
      <c r="CS73">
        <v>2</v>
      </c>
      <c r="CT73">
        <v>4</v>
      </c>
      <c r="CU73">
        <v>1</v>
      </c>
      <c r="CV73">
        <v>1</v>
      </c>
      <c r="CW73">
        <v>0</v>
      </c>
      <c r="CX73">
        <v>2</v>
      </c>
      <c r="CY73">
        <v>1</v>
      </c>
      <c r="CZ73">
        <v>1</v>
      </c>
    </row>
    <row r="74" spans="1:104" x14ac:dyDescent="0.25">
      <c r="A74" s="1" t="s">
        <v>618</v>
      </c>
      <c r="B74">
        <v>7503</v>
      </c>
      <c r="C74">
        <v>7501</v>
      </c>
      <c r="D74" s="2">
        <v>43869</v>
      </c>
      <c r="E74" s="3">
        <f t="shared" si="3"/>
        <v>2020</v>
      </c>
      <c r="F74" s="3">
        <f t="shared" si="4"/>
        <v>2</v>
      </c>
      <c r="G74" s="3">
        <f t="shared" si="5"/>
        <v>7</v>
      </c>
      <c r="H74" t="s">
        <v>619</v>
      </c>
      <c r="I74">
        <v>963</v>
      </c>
      <c r="J74" t="s">
        <v>620</v>
      </c>
      <c r="K74" t="s">
        <v>621</v>
      </c>
      <c r="L74">
        <v>2019</v>
      </c>
      <c r="M74" t="s">
        <v>346</v>
      </c>
      <c r="N74" t="s">
        <v>619</v>
      </c>
      <c r="O74" t="s">
        <v>622</v>
      </c>
      <c r="P74">
        <v>5000</v>
      </c>
      <c r="Q74" t="s">
        <v>621</v>
      </c>
      <c r="V74" t="s">
        <v>621</v>
      </c>
      <c r="W74">
        <v>2016</v>
      </c>
      <c r="X74" t="s">
        <v>125</v>
      </c>
      <c r="Y74">
        <v>-3.5</v>
      </c>
      <c r="Z74">
        <v>-1.5</v>
      </c>
      <c r="AA74">
        <v>-2.5</v>
      </c>
      <c r="AB74">
        <v>10</v>
      </c>
      <c r="AC74">
        <v>45</v>
      </c>
      <c r="AD74">
        <v>45</v>
      </c>
      <c r="AE74">
        <v>33</v>
      </c>
      <c r="AF74">
        <v>67</v>
      </c>
      <c r="AG74">
        <v>25</v>
      </c>
      <c r="AH74">
        <v>75</v>
      </c>
      <c r="AI74">
        <v>50</v>
      </c>
      <c r="AJ74">
        <v>50</v>
      </c>
      <c r="AK74">
        <v>44</v>
      </c>
      <c r="AL74">
        <v>56</v>
      </c>
      <c r="AM74">
        <v>0</v>
      </c>
      <c r="AN74">
        <v>100</v>
      </c>
      <c r="AO74">
        <v>33</v>
      </c>
      <c r="AP74">
        <v>67</v>
      </c>
      <c r="AQ74">
        <v>40</v>
      </c>
      <c r="AR74">
        <v>43</v>
      </c>
      <c r="AS74">
        <v>57</v>
      </c>
      <c r="AT74">
        <v>80</v>
      </c>
      <c r="AU74">
        <v>100</v>
      </c>
      <c r="AV74">
        <v>57</v>
      </c>
      <c r="AW74">
        <v>3</v>
      </c>
      <c r="AX74">
        <v>0.6</v>
      </c>
      <c r="AY74">
        <v>3</v>
      </c>
      <c r="AZ74">
        <v>0.6</v>
      </c>
      <c r="BA74">
        <v>10</v>
      </c>
      <c r="BB74">
        <v>12</v>
      </c>
      <c r="BC74">
        <v>3</v>
      </c>
      <c r="BD74">
        <v>0</v>
      </c>
      <c r="BE74">
        <v>5</v>
      </c>
      <c r="BF74">
        <v>5</v>
      </c>
      <c r="BG74">
        <v>2</v>
      </c>
      <c r="BH74">
        <v>7</v>
      </c>
      <c r="BI74">
        <v>9</v>
      </c>
      <c r="BJ74">
        <v>6</v>
      </c>
      <c r="BK74">
        <v>7</v>
      </c>
      <c r="BL74">
        <v>13</v>
      </c>
      <c r="BM74">
        <v>0.9</v>
      </c>
      <c r="BN74">
        <v>0.5</v>
      </c>
      <c r="BO74">
        <v>0.7</v>
      </c>
      <c r="BP74">
        <v>1.1000000000000001</v>
      </c>
      <c r="BQ74">
        <v>1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1</v>
      </c>
      <c r="BY74">
        <v>9</v>
      </c>
      <c r="BZ74">
        <v>1.8</v>
      </c>
      <c r="CA74">
        <v>3</v>
      </c>
      <c r="CB74">
        <v>0.6</v>
      </c>
      <c r="CC74">
        <v>12</v>
      </c>
      <c r="CD74">
        <v>10</v>
      </c>
      <c r="CE74">
        <v>7</v>
      </c>
      <c r="CF74">
        <v>4</v>
      </c>
      <c r="CG74">
        <v>4</v>
      </c>
      <c r="CH74">
        <v>1</v>
      </c>
      <c r="CI74">
        <v>1</v>
      </c>
      <c r="CJ74">
        <v>5</v>
      </c>
      <c r="CK74">
        <v>16</v>
      </c>
      <c r="CL74">
        <v>12</v>
      </c>
      <c r="CM74">
        <v>6</v>
      </c>
      <c r="CN74">
        <v>12</v>
      </c>
      <c r="CO74">
        <v>1.3</v>
      </c>
      <c r="CP74">
        <v>1.2</v>
      </c>
      <c r="CQ74">
        <v>0.5</v>
      </c>
      <c r="CR74">
        <v>1.2</v>
      </c>
      <c r="CS74">
        <v>1</v>
      </c>
      <c r="CT74">
        <v>1</v>
      </c>
      <c r="CU74">
        <v>1</v>
      </c>
      <c r="CV74">
        <v>1</v>
      </c>
      <c r="CW74">
        <v>0</v>
      </c>
      <c r="CX74">
        <v>0</v>
      </c>
      <c r="CY74">
        <v>0</v>
      </c>
      <c r="CZ74">
        <v>0</v>
      </c>
    </row>
    <row r="75" spans="1:104" x14ac:dyDescent="0.25">
      <c r="A75" s="1" t="s">
        <v>623</v>
      </c>
      <c r="B75">
        <v>13152</v>
      </c>
      <c r="C75">
        <v>3516</v>
      </c>
      <c r="D75" s="2">
        <v>43715</v>
      </c>
      <c r="E75" s="3">
        <f t="shared" si="3"/>
        <v>2019</v>
      </c>
      <c r="F75" s="3">
        <f t="shared" si="4"/>
        <v>9</v>
      </c>
      <c r="G75" s="3">
        <f t="shared" si="5"/>
        <v>7</v>
      </c>
      <c r="H75" t="s">
        <v>624</v>
      </c>
      <c r="I75">
        <v>461</v>
      </c>
      <c r="J75" t="s">
        <v>625</v>
      </c>
      <c r="K75" t="s">
        <v>626</v>
      </c>
      <c r="L75">
        <v>2019</v>
      </c>
      <c r="M75" t="s">
        <v>346</v>
      </c>
      <c r="N75" t="s">
        <v>627</v>
      </c>
      <c r="O75" t="s">
        <v>628</v>
      </c>
      <c r="P75">
        <v>4880</v>
      </c>
      <c r="Q75" t="s">
        <v>626</v>
      </c>
      <c r="R75">
        <v>2008</v>
      </c>
      <c r="S75" t="s">
        <v>629</v>
      </c>
      <c r="T75" t="s">
        <v>630</v>
      </c>
      <c r="U75">
        <v>1500</v>
      </c>
      <c r="V75" t="s">
        <v>626</v>
      </c>
      <c r="W75">
        <v>2000</v>
      </c>
      <c r="X75">
        <v>1</v>
      </c>
      <c r="Y75">
        <v>1.5</v>
      </c>
      <c r="Z75">
        <v>-4.5</v>
      </c>
      <c r="AA75">
        <v>-2.5</v>
      </c>
      <c r="AB75">
        <v>45</v>
      </c>
      <c r="AC75">
        <v>45</v>
      </c>
      <c r="AD75">
        <v>10</v>
      </c>
      <c r="AE75">
        <v>50</v>
      </c>
      <c r="AF75">
        <v>50</v>
      </c>
      <c r="AG75">
        <v>52</v>
      </c>
      <c r="AH75">
        <v>48</v>
      </c>
      <c r="AI75">
        <v>59</v>
      </c>
      <c r="AJ75">
        <v>41</v>
      </c>
      <c r="AK75">
        <v>91</v>
      </c>
      <c r="AL75">
        <v>9</v>
      </c>
      <c r="AM75">
        <v>100</v>
      </c>
      <c r="AN75">
        <v>0</v>
      </c>
      <c r="AO75">
        <v>75</v>
      </c>
      <c r="AP75">
        <v>25</v>
      </c>
      <c r="AQ75">
        <v>80</v>
      </c>
      <c r="AR75">
        <v>100</v>
      </c>
      <c r="AS75">
        <v>53</v>
      </c>
      <c r="AT75">
        <v>80</v>
      </c>
      <c r="AU75">
        <v>93</v>
      </c>
      <c r="AV75">
        <v>33</v>
      </c>
      <c r="AW75">
        <v>15</v>
      </c>
      <c r="AX75">
        <v>3</v>
      </c>
      <c r="AY75">
        <v>7</v>
      </c>
      <c r="AZ75">
        <v>1.4</v>
      </c>
      <c r="BA75">
        <v>12</v>
      </c>
      <c r="BB75">
        <v>14</v>
      </c>
      <c r="BC75">
        <v>12</v>
      </c>
      <c r="BD75">
        <v>10</v>
      </c>
      <c r="BE75">
        <v>0</v>
      </c>
      <c r="BF75">
        <v>3</v>
      </c>
      <c r="BG75">
        <v>0</v>
      </c>
      <c r="BH75">
        <v>1</v>
      </c>
      <c r="BI75">
        <v>43</v>
      </c>
      <c r="BJ75">
        <v>39</v>
      </c>
      <c r="BK75">
        <v>4</v>
      </c>
      <c r="BL75">
        <v>22</v>
      </c>
      <c r="BM75">
        <v>3.6</v>
      </c>
      <c r="BN75">
        <v>2.8</v>
      </c>
      <c r="BO75">
        <v>0.3</v>
      </c>
      <c r="BP75">
        <v>1.6</v>
      </c>
      <c r="BQ75">
        <v>2</v>
      </c>
      <c r="BR75">
        <v>2</v>
      </c>
      <c r="BS75">
        <v>2</v>
      </c>
      <c r="BT75">
        <v>2</v>
      </c>
      <c r="BU75">
        <v>0</v>
      </c>
      <c r="BV75">
        <v>0</v>
      </c>
      <c r="BW75">
        <v>0</v>
      </c>
      <c r="BX75">
        <v>0</v>
      </c>
      <c r="BY75">
        <v>14</v>
      </c>
      <c r="BZ75">
        <v>2.8</v>
      </c>
      <c r="CA75">
        <v>10</v>
      </c>
      <c r="CB75">
        <v>2</v>
      </c>
      <c r="CC75">
        <v>13</v>
      </c>
      <c r="CD75">
        <v>13</v>
      </c>
      <c r="CE75">
        <v>10</v>
      </c>
      <c r="CF75">
        <v>5</v>
      </c>
      <c r="CG75">
        <v>0</v>
      </c>
      <c r="CH75">
        <v>1</v>
      </c>
      <c r="CI75">
        <v>3</v>
      </c>
      <c r="CJ75">
        <v>7</v>
      </c>
      <c r="CK75">
        <v>35</v>
      </c>
      <c r="CL75">
        <v>20</v>
      </c>
      <c r="CM75">
        <v>16</v>
      </c>
      <c r="CN75">
        <v>26</v>
      </c>
      <c r="CO75">
        <v>2.7</v>
      </c>
      <c r="CP75">
        <v>1.5</v>
      </c>
      <c r="CQ75">
        <v>1.2</v>
      </c>
      <c r="CR75">
        <v>2</v>
      </c>
      <c r="CS75">
        <v>2</v>
      </c>
      <c r="CT75">
        <v>2</v>
      </c>
      <c r="CU75">
        <v>0</v>
      </c>
      <c r="CV75">
        <v>0</v>
      </c>
      <c r="CW75">
        <v>0</v>
      </c>
      <c r="CX75">
        <v>0</v>
      </c>
      <c r="CY75">
        <v>2</v>
      </c>
      <c r="CZ75">
        <v>2</v>
      </c>
    </row>
    <row r="76" spans="1:104" x14ac:dyDescent="0.25">
      <c r="A76" s="1" t="s">
        <v>631</v>
      </c>
      <c r="B76">
        <v>1538</v>
      </c>
      <c r="C76">
        <v>1571</v>
      </c>
      <c r="D76" s="2">
        <v>43788</v>
      </c>
      <c r="E76" s="3">
        <f t="shared" si="3"/>
        <v>2019</v>
      </c>
      <c r="F76" s="3">
        <f t="shared" si="4"/>
        <v>11</v>
      </c>
      <c r="G76" s="3">
        <f t="shared" si="5"/>
        <v>3</v>
      </c>
      <c r="H76" t="s">
        <v>632</v>
      </c>
      <c r="I76">
        <v>1065</v>
      </c>
      <c r="J76" t="s">
        <v>633</v>
      </c>
      <c r="K76" t="s">
        <v>129</v>
      </c>
      <c r="L76">
        <v>2022</v>
      </c>
      <c r="M76" t="s">
        <v>634</v>
      </c>
      <c r="N76" t="s">
        <v>632</v>
      </c>
      <c r="O76" t="s">
        <v>635</v>
      </c>
      <c r="P76">
        <v>87411</v>
      </c>
      <c r="Q76" t="s">
        <v>636</v>
      </c>
      <c r="R76">
        <v>1933</v>
      </c>
      <c r="S76" t="s">
        <v>637</v>
      </c>
      <c r="T76" t="s">
        <v>638</v>
      </c>
      <c r="U76">
        <v>88083</v>
      </c>
      <c r="V76" t="s">
        <v>639</v>
      </c>
      <c r="W76">
        <v>1930</v>
      </c>
      <c r="X76">
        <v>1</v>
      </c>
      <c r="Y76">
        <v>1.5</v>
      </c>
      <c r="Z76">
        <v>-3.5</v>
      </c>
      <c r="AA76">
        <v>-1.5</v>
      </c>
      <c r="AB76">
        <v>50</v>
      </c>
      <c r="AC76">
        <v>50</v>
      </c>
      <c r="AD76">
        <v>0</v>
      </c>
      <c r="AE76">
        <v>100</v>
      </c>
      <c r="AF76">
        <v>0</v>
      </c>
      <c r="AG76">
        <v>79</v>
      </c>
      <c r="AH76">
        <v>21</v>
      </c>
      <c r="AI76">
        <v>67</v>
      </c>
      <c r="AJ76">
        <v>33</v>
      </c>
      <c r="AK76">
        <v>0</v>
      </c>
      <c r="AL76">
        <v>0</v>
      </c>
      <c r="AM76">
        <v>100</v>
      </c>
      <c r="AN76">
        <v>0</v>
      </c>
      <c r="AO76">
        <v>60</v>
      </c>
      <c r="AP76">
        <v>40</v>
      </c>
      <c r="AQ76">
        <v>60</v>
      </c>
      <c r="AR76">
        <v>100</v>
      </c>
      <c r="AS76">
        <v>36</v>
      </c>
      <c r="AT76">
        <v>0</v>
      </c>
      <c r="AU76">
        <v>27</v>
      </c>
      <c r="AV76">
        <v>0</v>
      </c>
      <c r="AW76">
        <v>11</v>
      </c>
      <c r="AX76">
        <v>2.2000000000000002</v>
      </c>
      <c r="AY76">
        <v>7</v>
      </c>
      <c r="AZ76">
        <v>1.4</v>
      </c>
      <c r="BA76">
        <v>3</v>
      </c>
      <c r="BB76">
        <v>3</v>
      </c>
      <c r="BC76">
        <v>2</v>
      </c>
      <c r="BD76">
        <v>2</v>
      </c>
      <c r="BE76">
        <v>0</v>
      </c>
      <c r="BF76">
        <v>0</v>
      </c>
      <c r="BG76">
        <v>1</v>
      </c>
      <c r="BH76">
        <v>1</v>
      </c>
      <c r="BI76">
        <v>10</v>
      </c>
      <c r="BJ76">
        <v>8</v>
      </c>
      <c r="BK76">
        <v>4</v>
      </c>
      <c r="BL76">
        <v>4</v>
      </c>
      <c r="BM76">
        <v>3.3</v>
      </c>
      <c r="BN76">
        <v>2.7</v>
      </c>
      <c r="BO76">
        <v>1.3</v>
      </c>
      <c r="BP76">
        <v>1.3</v>
      </c>
      <c r="BQ76">
        <v>1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3</v>
      </c>
      <c r="BZ76">
        <v>0.8</v>
      </c>
      <c r="CA76">
        <v>14</v>
      </c>
      <c r="CB76">
        <v>3.5</v>
      </c>
      <c r="CC76">
        <v>3</v>
      </c>
      <c r="CD76">
        <v>1</v>
      </c>
      <c r="CE76">
        <v>0</v>
      </c>
      <c r="CF76">
        <v>0</v>
      </c>
      <c r="CG76">
        <v>0</v>
      </c>
      <c r="CH76">
        <v>0</v>
      </c>
      <c r="CI76">
        <v>3</v>
      </c>
      <c r="CJ76">
        <v>1</v>
      </c>
      <c r="CK76">
        <v>3</v>
      </c>
      <c r="CL76">
        <v>0</v>
      </c>
      <c r="CM76">
        <v>9</v>
      </c>
      <c r="CN76">
        <v>5</v>
      </c>
      <c r="CO76">
        <v>1</v>
      </c>
      <c r="CP76">
        <v>0</v>
      </c>
      <c r="CQ76">
        <v>3</v>
      </c>
      <c r="CR76">
        <v>5</v>
      </c>
      <c r="CS76">
        <v>1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1</v>
      </c>
      <c r="CZ76">
        <v>1</v>
      </c>
    </row>
    <row r="77" spans="1:104" x14ac:dyDescent="0.25">
      <c r="A77" s="1" t="s">
        <v>640</v>
      </c>
      <c r="B77">
        <v>9714</v>
      </c>
      <c r="C77">
        <v>9718</v>
      </c>
      <c r="D77" s="2">
        <v>43737</v>
      </c>
      <c r="E77" s="3">
        <f t="shared" si="3"/>
        <v>2019</v>
      </c>
      <c r="F77" s="3">
        <f t="shared" si="4"/>
        <v>9</v>
      </c>
      <c r="G77" s="3">
        <f t="shared" si="5"/>
        <v>1</v>
      </c>
      <c r="H77" t="s">
        <v>641</v>
      </c>
      <c r="I77">
        <v>1275</v>
      </c>
      <c r="J77" t="s">
        <v>642</v>
      </c>
      <c r="K77" t="s">
        <v>380</v>
      </c>
      <c r="L77">
        <v>2019</v>
      </c>
      <c r="M77" t="s">
        <v>643</v>
      </c>
      <c r="N77" t="s">
        <v>641</v>
      </c>
      <c r="O77" t="s">
        <v>644</v>
      </c>
      <c r="P77">
        <v>8000</v>
      </c>
      <c r="Q77" t="s">
        <v>380</v>
      </c>
      <c r="R77">
        <v>1929</v>
      </c>
      <c r="S77" t="s">
        <v>645</v>
      </c>
      <c r="T77" t="s">
        <v>579</v>
      </c>
      <c r="U77">
        <v>2000</v>
      </c>
      <c r="V77" t="s">
        <v>380</v>
      </c>
      <c r="X77" t="s">
        <v>125</v>
      </c>
      <c r="Y77">
        <v>-3.5</v>
      </c>
      <c r="Z77">
        <v>-1.5</v>
      </c>
      <c r="AA77">
        <v>-1.5</v>
      </c>
      <c r="AB77">
        <v>10</v>
      </c>
      <c r="AC77">
        <v>45</v>
      </c>
      <c r="AD77">
        <v>45</v>
      </c>
      <c r="AE77">
        <v>29</v>
      </c>
      <c r="AF77">
        <v>71</v>
      </c>
      <c r="AG77">
        <v>45</v>
      </c>
      <c r="AH77">
        <v>55</v>
      </c>
      <c r="AI77">
        <v>38</v>
      </c>
      <c r="AJ77">
        <v>63</v>
      </c>
      <c r="AK77">
        <v>78</v>
      </c>
      <c r="AL77">
        <v>22</v>
      </c>
      <c r="AM77">
        <v>0</v>
      </c>
      <c r="AN77">
        <v>0</v>
      </c>
      <c r="AO77">
        <v>0</v>
      </c>
      <c r="AP77">
        <v>0</v>
      </c>
      <c r="AQ77">
        <v>33</v>
      </c>
      <c r="AR77">
        <v>33</v>
      </c>
      <c r="AS77">
        <v>67</v>
      </c>
      <c r="AT77">
        <v>80</v>
      </c>
      <c r="AU77">
        <v>40</v>
      </c>
      <c r="AV77">
        <v>80</v>
      </c>
      <c r="AW77">
        <v>5</v>
      </c>
      <c r="AX77">
        <v>1</v>
      </c>
      <c r="AY77">
        <v>5</v>
      </c>
      <c r="AZ77">
        <v>1</v>
      </c>
      <c r="BA77">
        <v>2</v>
      </c>
      <c r="BB77">
        <v>3</v>
      </c>
      <c r="BC77">
        <v>1</v>
      </c>
      <c r="BD77">
        <v>0</v>
      </c>
      <c r="BE77">
        <v>0</v>
      </c>
      <c r="BF77">
        <v>2</v>
      </c>
      <c r="BG77">
        <v>1</v>
      </c>
      <c r="BH77">
        <v>1</v>
      </c>
      <c r="BI77">
        <v>2</v>
      </c>
      <c r="BJ77">
        <v>3</v>
      </c>
      <c r="BK77">
        <v>1</v>
      </c>
      <c r="BL77">
        <v>4</v>
      </c>
      <c r="BM77">
        <v>1</v>
      </c>
      <c r="BN77">
        <v>1</v>
      </c>
      <c r="BO77">
        <v>0.5</v>
      </c>
      <c r="BP77">
        <v>1.3</v>
      </c>
      <c r="BQ77">
        <v>1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1</v>
      </c>
      <c r="BY77">
        <v>6</v>
      </c>
      <c r="BZ77">
        <v>1.2</v>
      </c>
      <c r="CA77">
        <v>3</v>
      </c>
      <c r="CB77">
        <v>0.6</v>
      </c>
      <c r="CC77">
        <v>3</v>
      </c>
      <c r="CD77">
        <v>2</v>
      </c>
      <c r="CE77">
        <v>3</v>
      </c>
      <c r="CF77">
        <v>1</v>
      </c>
      <c r="CG77">
        <v>0</v>
      </c>
      <c r="CH77">
        <v>0</v>
      </c>
      <c r="CI77">
        <v>0</v>
      </c>
      <c r="CJ77">
        <v>1</v>
      </c>
      <c r="CK77">
        <v>5</v>
      </c>
      <c r="CL77">
        <v>1</v>
      </c>
      <c r="CM77">
        <v>1</v>
      </c>
      <c r="CN77">
        <v>2</v>
      </c>
      <c r="CO77">
        <v>1.7</v>
      </c>
      <c r="CP77">
        <v>0.5</v>
      </c>
      <c r="CQ77">
        <v>0.3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0</v>
      </c>
      <c r="CX77">
        <v>0</v>
      </c>
      <c r="CY77">
        <v>0</v>
      </c>
      <c r="CZ77">
        <v>0</v>
      </c>
    </row>
    <row r="78" spans="1:104" x14ac:dyDescent="0.25">
      <c r="A78" s="1" t="s">
        <v>646</v>
      </c>
      <c r="B78">
        <v>1148</v>
      </c>
      <c r="C78">
        <v>1155</v>
      </c>
      <c r="D78" s="2">
        <v>43793</v>
      </c>
      <c r="E78" s="3">
        <f t="shared" si="3"/>
        <v>2019</v>
      </c>
      <c r="F78" s="3">
        <f t="shared" si="4"/>
        <v>11</v>
      </c>
      <c r="G78" s="3">
        <f t="shared" si="5"/>
        <v>1</v>
      </c>
      <c r="H78" t="s">
        <v>647</v>
      </c>
      <c r="I78">
        <v>292</v>
      </c>
      <c r="J78" t="s">
        <v>648</v>
      </c>
      <c r="K78" t="s">
        <v>649</v>
      </c>
      <c r="L78">
        <v>2019</v>
      </c>
      <c r="M78" t="s">
        <v>650</v>
      </c>
      <c r="N78" t="s">
        <v>651</v>
      </c>
      <c r="O78" t="s">
        <v>652</v>
      </c>
      <c r="P78">
        <v>40000</v>
      </c>
      <c r="Q78" t="s">
        <v>649</v>
      </c>
      <c r="R78">
        <v>1929</v>
      </c>
      <c r="S78" t="s">
        <v>653</v>
      </c>
      <c r="T78" t="s">
        <v>654</v>
      </c>
      <c r="U78">
        <v>16467</v>
      </c>
      <c r="V78" t="s">
        <v>649</v>
      </c>
      <c r="W78">
        <v>1939</v>
      </c>
      <c r="X78" t="s">
        <v>109</v>
      </c>
      <c r="Z78">
        <v>-2.5</v>
      </c>
      <c r="AA78">
        <v>-2.5</v>
      </c>
      <c r="AB78">
        <v>45</v>
      </c>
      <c r="AC78">
        <v>45</v>
      </c>
      <c r="AD78">
        <v>10</v>
      </c>
      <c r="AE78">
        <v>68</v>
      </c>
      <c r="AF78">
        <v>32</v>
      </c>
      <c r="AG78">
        <v>75</v>
      </c>
      <c r="AH78">
        <v>25</v>
      </c>
      <c r="AI78">
        <v>43</v>
      </c>
      <c r="AJ78">
        <v>57</v>
      </c>
      <c r="AK78">
        <v>30</v>
      </c>
      <c r="AL78">
        <v>70</v>
      </c>
      <c r="AM78">
        <v>50</v>
      </c>
      <c r="AN78">
        <v>50</v>
      </c>
      <c r="AO78">
        <v>53</v>
      </c>
      <c r="AP78">
        <v>47</v>
      </c>
      <c r="AQ78">
        <v>87</v>
      </c>
      <c r="AR78">
        <v>88</v>
      </c>
      <c r="AS78">
        <v>76</v>
      </c>
      <c r="AT78">
        <v>40</v>
      </c>
      <c r="AU78">
        <v>29</v>
      </c>
      <c r="AV78">
        <v>82</v>
      </c>
      <c r="AW78">
        <v>15</v>
      </c>
      <c r="AX78">
        <v>3</v>
      </c>
      <c r="AY78">
        <v>4</v>
      </c>
      <c r="AZ78">
        <v>0.8</v>
      </c>
      <c r="BA78">
        <v>15</v>
      </c>
      <c r="BB78">
        <v>15</v>
      </c>
      <c r="BC78">
        <v>8</v>
      </c>
      <c r="BD78">
        <v>5</v>
      </c>
      <c r="BE78">
        <v>2</v>
      </c>
      <c r="BF78">
        <v>3</v>
      </c>
      <c r="BG78">
        <v>5</v>
      </c>
      <c r="BH78">
        <v>7</v>
      </c>
      <c r="BI78">
        <v>21</v>
      </c>
      <c r="BJ78">
        <v>19</v>
      </c>
      <c r="BK78">
        <v>14</v>
      </c>
      <c r="BL78">
        <v>16</v>
      </c>
      <c r="BM78">
        <v>1.4</v>
      </c>
      <c r="BN78">
        <v>1.3</v>
      </c>
      <c r="BO78">
        <v>0.9</v>
      </c>
      <c r="BP78">
        <v>1.1000000000000001</v>
      </c>
      <c r="BQ78">
        <v>6</v>
      </c>
      <c r="BR78">
        <v>7</v>
      </c>
      <c r="BS78">
        <v>5</v>
      </c>
      <c r="BT78">
        <v>2</v>
      </c>
      <c r="BU78">
        <v>0</v>
      </c>
      <c r="BV78">
        <v>2</v>
      </c>
      <c r="BW78">
        <v>1</v>
      </c>
      <c r="BX78">
        <v>3</v>
      </c>
      <c r="BY78">
        <v>5</v>
      </c>
      <c r="BZ78">
        <v>1</v>
      </c>
      <c r="CA78">
        <v>3</v>
      </c>
      <c r="CB78">
        <v>0.6</v>
      </c>
      <c r="CC78">
        <v>15</v>
      </c>
      <c r="CD78">
        <v>15</v>
      </c>
      <c r="CE78">
        <v>8</v>
      </c>
      <c r="CF78">
        <v>9</v>
      </c>
      <c r="CG78">
        <v>6</v>
      </c>
      <c r="CH78">
        <v>5</v>
      </c>
      <c r="CI78">
        <v>1</v>
      </c>
      <c r="CJ78">
        <v>1</v>
      </c>
      <c r="CK78">
        <v>24</v>
      </c>
      <c r="CL78">
        <v>23</v>
      </c>
      <c r="CM78">
        <v>8</v>
      </c>
      <c r="CN78">
        <v>9</v>
      </c>
      <c r="CO78">
        <v>1.6</v>
      </c>
      <c r="CP78">
        <v>1.5</v>
      </c>
      <c r="CQ78">
        <v>0.5</v>
      </c>
      <c r="CR78">
        <v>0.6</v>
      </c>
      <c r="CS78">
        <v>7</v>
      </c>
      <c r="CT78">
        <v>6</v>
      </c>
      <c r="CU78">
        <v>3</v>
      </c>
      <c r="CV78">
        <v>1</v>
      </c>
      <c r="CW78">
        <v>2</v>
      </c>
      <c r="CX78">
        <v>0</v>
      </c>
      <c r="CY78">
        <v>2</v>
      </c>
      <c r="CZ78">
        <v>5</v>
      </c>
    </row>
    <row r="79" spans="1:104" x14ac:dyDescent="0.25">
      <c r="A79" s="1" t="s">
        <v>655</v>
      </c>
      <c r="B79">
        <v>3181</v>
      </c>
      <c r="C79">
        <v>3186</v>
      </c>
      <c r="D79" s="2">
        <v>43799</v>
      </c>
      <c r="E79" s="3">
        <f t="shared" si="3"/>
        <v>2019</v>
      </c>
      <c r="F79" s="3">
        <f t="shared" si="4"/>
        <v>11</v>
      </c>
      <c r="G79" s="3">
        <f t="shared" si="5"/>
        <v>7</v>
      </c>
      <c r="H79" t="s">
        <v>656</v>
      </c>
      <c r="I79">
        <v>1298</v>
      </c>
      <c r="J79" t="s">
        <v>657</v>
      </c>
      <c r="K79" t="s">
        <v>158</v>
      </c>
      <c r="L79">
        <v>2019</v>
      </c>
      <c r="M79" t="s">
        <v>658</v>
      </c>
      <c r="N79" t="s">
        <v>659</v>
      </c>
      <c r="O79" t="s">
        <v>660</v>
      </c>
      <c r="P79">
        <v>2000</v>
      </c>
      <c r="Q79" t="s">
        <v>158</v>
      </c>
      <c r="S79" t="s">
        <v>661</v>
      </c>
      <c r="T79" t="s">
        <v>662</v>
      </c>
      <c r="U79">
        <v>1000</v>
      </c>
      <c r="V79" t="s">
        <v>158</v>
      </c>
      <c r="X79" t="s">
        <v>125</v>
      </c>
      <c r="Z79">
        <v>-1.5</v>
      </c>
      <c r="AA79">
        <v>-2.5</v>
      </c>
      <c r="AB79">
        <v>10</v>
      </c>
      <c r="AC79">
        <v>45</v>
      </c>
      <c r="AD79">
        <v>45</v>
      </c>
      <c r="AE79">
        <v>25</v>
      </c>
      <c r="AF79">
        <v>75</v>
      </c>
      <c r="AG79">
        <v>27</v>
      </c>
      <c r="AH79">
        <v>73</v>
      </c>
      <c r="AI79">
        <v>56</v>
      </c>
      <c r="AJ79">
        <v>44</v>
      </c>
      <c r="AK79">
        <v>54</v>
      </c>
      <c r="AL79">
        <v>46</v>
      </c>
      <c r="AM79">
        <v>0</v>
      </c>
      <c r="AN79">
        <v>0</v>
      </c>
      <c r="AO79">
        <v>0</v>
      </c>
      <c r="AP79">
        <v>0</v>
      </c>
      <c r="AQ79">
        <v>13</v>
      </c>
      <c r="AR79">
        <v>23</v>
      </c>
      <c r="AS79">
        <v>38</v>
      </c>
      <c r="AT79">
        <v>40</v>
      </c>
      <c r="AU79">
        <v>62</v>
      </c>
      <c r="AV79">
        <v>23</v>
      </c>
      <c r="AW79">
        <v>3</v>
      </c>
      <c r="AX79">
        <v>0.6</v>
      </c>
      <c r="AY79">
        <v>8</v>
      </c>
      <c r="AZ79">
        <v>1.6</v>
      </c>
      <c r="BA79">
        <v>4</v>
      </c>
      <c r="BB79">
        <v>6</v>
      </c>
      <c r="BC79">
        <v>1</v>
      </c>
      <c r="BD79">
        <v>1</v>
      </c>
      <c r="BE79">
        <v>1</v>
      </c>
      <c r="BF79">
        <v>3</v>
      </c>
      <c r="BG79">
        <v>2</v>
      </c>
      <c r="BH79">
        <v>2</v>
      </c>
      <c r="BI79">
        <v>3</v>
      </c>
      <c r="BJ79">
        <v>6</v>
      </c>
      <c r="BK79">
        <v>4</v>
      </c>
      <c r="BL79">
        <v>9</v>
      </c>
      <c r="BM79">
        <v>0.8</v>
      </c>
      <c r="BN79">
        <v>1</v>
      </c>
      <c r="BO79">
        <v>1</v>
      </c>
      <c r="BP79">
        <v>1.5</v>
      </c>
      <c r="BQ79">
        <v>1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8</v>
      </c>
      <c r="BZ79">
        <v>1.6</v>
      </c>
      <c r="CA79">
        <v>10</v>
      </c>
      <c r="CB79">
        <v>2</v>
      </c>
      <c r="CC79">
        <v>6</v>
      </c>
      <c r="CD79">
        <v>4</v>
      </c>
      <c r="CE79">
        <v>2</v>
      </c>
      <c r="CF79">
        <v>1</v>
      </c>
      <c r="CG79">
        <v>1</v>
      </c>
      <c r="CH79">
        <v>0</v>
      </c>
      <c r="CI79">
        <v>3</v>
      </c>
      <c r="CJ79">
        <v>3</v>
      </c>
      <c r="CK79">
        <v>9</v>
      </c>
      <c r="CL79">
        <v>3</v>
      </c>
      <c r="CM79">
        <v>9</v>
      </c>
      <c r="CN79">
        <v>7</v>
      </c>
      <c r="CO79">
        <v>1.5</v>
      </c>
      <c r="CP79">
        <v>0.8</v>
      </c>
      <c r="CQ79">
        <v>1.5</v>
      </c>
      <c r="CR79">
        <v>1.8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1</v>
      </c>
    </row>
    <row r="80" spans="1:104" x14ac:dyDescent="0.25">
      <c r="A80" s="1" t="s">
        <v>663</v>
      </c>
      <c r="B80">
        <v>2818</v>
      </c>
      <c r="C80">
        <v>2823</v>
      </c>
      <c r="D80" s="2">
        <v>43674</v>
      </c>
      <c r="E80" s="3">
        <f t="shared" si="3"/>
        <v>2019</v>
      </c>
      <c r="F80" s="3">
        <f t="shared" si="4"/>
        <v>7</v>
      </c>
      <c r="G80" s="3">
        <f t="shared" si="5"/>
        <v>1</v>
      </c>
      <c r="H80" t="s">
        <v>664</v>
      </c>
      <c r="I80">
        <v>398</v>
      </c>
      <c r="J80" t="s">
        <v>344</v>
      </c>
      <c r="K80" t="s">
        <v>665</v>
      </c>
      <c r="L80">
        <v>2019</v>
      </c>
      <c r="M80" t="s">
        <v>666</v>
      </c>
      <c r="N80" t="s">
        <v>667</v>
      </c>
      <c r="O80" t="s">
        <v>668</v>
      </c>
      <c r="P80">
        <v>42700</v>
      </c>
      <c r="Q80" t="s">
        <v>665</v>
      </c>
      <c r="R80">
        <v>1971</v>
      </c>
      <c r="S80" t="s">
        <v>669</v>
      </c>
      <c r="T80" t="s">
        <v>670</v>
      </c>
      <c r="U80">
        <v>13000</v>
      </c>
      <c r="V80" t="s">
        <v>665</v>
      </c>
      <c r="W80">
        <v>1985</v>
      </c>
      <c r="X80" t="s">
        <v>125</v>
      </c>
      <c r="Z80">
        <v>-2.5</v>
      </c>
      <c r="AA80">
        <v>-2.5</v>
      </c>
      <c r="AB80">
        <v>10</v>
      </c>
      <c r="AC80">
        <v>45</v>
      </c>
      <c r="AD80">
        <v>45</v>
      </c>
      <c r="AE80">
        <v>50</v>
      </c>
      <c r="AF80">
        <v>50</v>
      </c>
      <c r="AG80">
        <v>33</v>
      </c>
      <c r="AH80">
        <v>67</v>
      </c>
      <c r="AI80">
        <v>79</v>
      </c>
      <c r="AJ80">
        <v>21</v>
      </c>
      <c r="AK80">
        <v>78</v>
      </c>
      <c r="AL80">
        <v>22</v>
      </c>
      <c r="AM80">
        <v>38</v>
      </c>
      <c r="AN80">
        <v>62</v>
      </c>
      <c r="AO80">
        <v>33</v>
      </c>
      <c r="AP80">
        <v>67</v>
      </c>
      <c r="AQ80">
        <v>40</v>
      </c>
      <c r="AR80">
        <v>43</v>
      </c>
      <c r="AS80">
        <v>57</v>
      </c>
      <c r="AT80">
        <v>40</v>
      </c>
      <c r="AU80">
        <v>86</v>
      </c>
      <c r="AV80">
        <v>0</v>
      </c>
      <c r="AW80">
        <v>3</v>
      </c>
      <c r="AX80">
        <v>0.6</v>
      </c>
      <c r="AY80">
        <v>3</v>
      </c>
      <c r="AZ80">
        <v>0.6</v>
      </c>
      <c r="BA80">
        <v>13</v>
      </c>
      <c r="BB80">
        <v>12</v>
      </c>
      <c r="BC80">
        <v>6</v>
      </c>
      <c r="BD80">
        <v>3</v>
      </c>
      <c r="BE80">
        <v>6</v>
      </c>
      <c r="BF80">
        <v>6</v>
      </c>
      <c r="BG80">
        <v>1</v>
      </c>
      <c r="BH80">
        <v>3</v>
      </c>
      <c r="BI80">
        <v>22</v>
      </c>
      <c r="BJ80">
        <v>7</v>
      </c>
      <c r="BK80">
        <v>9</v>
      </c>
      <c r="BL80">
        <v>7</v>
      </c>
      <c r="BM80">
        <v>1.7</v>
      </c>
      <c r="BN80">
        <v>0.6</v>
      </c>
      <c r="BO80">
        <v>0.7</v>
      </c>
      <c r="BP80">
        <v>0.6</v>
      </c>
      <c r="BQ80">
        <v>6</v>
      </c>
      <c r="BR80">
        <v>7</v>
      </c>
      <c r="BS80">
        <v>2</v>
      </c>
      <c r="BT80">
        <v>1</v>
      </c>
      <c r="BU80">
        <v>3</v>
      </c>
      <c r="BV80">
        <v>2</v>
      </c>
      <c r="BW80">
        <v>1</v>
      </c>
      <c r="BX80">
        <v>4</v>
      </c>
      <c r="BY80">
        <v>6</v>
      </c>
      <c r="BZ80">
        <v>1.2</v>
      </c>
      <c r="CA80">
        <v>11</v>
      </c>
      <c r="CB80">
        <v>2.2000000000000002</v>
      </c>
      <c r="CC80">
        <v>9</v>
      </c>
      <c r="CD80">
        <v>10</v>
      </c>
      <c r="CE80">
        <v>1</v>
      </c>
      <c r="CF80">
        <v>2</v>
      </c>
      <c r="CG80">
        <v>3</v>
      </c>
      <c r="CH80">
        <v>2</v>
      </c>
      <c r="CI80">
        <v>5</v>
      </c>
      <c r="CJ80">
        <v>6</v>
      </c>
      <c r="CK80">
        <v>13</v>
      </c>
      <c r="CL80">
        <v>14</v>
      </c>
      <c r="CM80">
        <v>18</v>
      </c>
      <c r="CN80">
        <v>28</v>
      </c>
      <c r="CO80">
        <v>1.4</v>
      </c>
      <c r="CP80">
        <v>1.4</v>
      </c>
      <c r="CQ80">
        <v>2</v>
      </c>
      <c r="CR80">
        <v>2.8</v>
      </c>
      <c r="CS80">
        <v>7</v>
      </c>
      <c r="CT80">
        <v>6</v>
      </c>
      <c r="CU80">
        <v>4</v>
      </c>
      <c r="CV80">
        <v>1</v>
      </c>
      <c r="CW80">
        <v>2</v>
      </c>
      <c r="CX80">
        <v>3</v>
      </c>
      <c r="CY80">
        <v>1</v>
      </c>
      <c r="CZ80">
        <v>2</v>
      </c>
    </row>
    <row r="81" spans="1:104" x14ac:dyDescent="0.25">
      <c r="A81" s="1" t="s">
        <v>671</v>
      </c>
      <c r="B81">
        <v>3840</v>
      </c>
      <c r="C81">
        <v>652</v>
      </c>
      <c r="D81" s="2">
        <v>43735</v>
      </c>
      <c r="E81" s="3">
        <f t="shared" si="3"/>
        <v>2019</v>
      </c>
      <c r="F81" s="3">
        <f t="shared" si="4"/>
        <v>9</v>
      </c>
      <c r="G81" s="3">
        <f t="shared" si="5"/>
        <v>6</v>
      </c>
      <c r="H81" t="s">
        <v>672</v>
      </c>
      <c r="I81">
        <v>885</v>
      </c>
      <c r="J81" t="s">
        <v>673</v>
      </c>
      <c r="K81" t="s">
        <v>674</v>
      </c>
      <c r="L81">
        <v>2019</v>
      </c>
      <c r="M81" t="s">
        <v>675</v>
      </c>
      <c r="N81" t="s">
        <v>672</v>
      </c>
      <c r="O81" t="s">
        <v>676</v>
      </c>
      <c r="P81">
        <v>7955</v>
      </c>
      <c r="Q81" t="s">
        <v>674</v>
      </c>
      <c r="R81">
        <v>1890</v>
      </c>
      <c r="S81" t="s">
        <v>677</v>
      </c>
      <c r="T81" t="s">
        <v>676</v>
      </c>
      <c r="U81">
        <v>8600</v>
      </c>
      <c r="V81" t="s">
        <v>674</v>
      </c>
      <c r="W81">
        <v>1901</v>
      </c>
      <c r="X81" t="s">
        <v>109</v>
      </c>
      <c r="Z81">
        <v>-2.5</v>
      </c>
      <c r="AA81">
        <v>-3.5</v>
      </c>
      <c r="AB81">
        <v>45</v>
      </c>
      <c r="AC81">
        <v>45</v>
      </c>
      <c r="AD81">
        <v>10</v>
      </c>
      <c r="AE81">
        <v>44</v>
      </c>
      <c r="AF81">
        <v>56</v>
      </c>
      <c r="AG81">
        <v>46</v>
      </c>
      <c r="AH81">
        <v>54</v>
      </c>
      <c r="AI81">
        <v>25</v>
      </c>
      <c r="AJ81">
        <v>75</v>
      </c>
      <c r="AK81">
        <v>0</v>
      </c>
      <c r="AL81">
        <v>0</v>
      </c>
      <c r="AM81">
        <v>75</v>
      </c>
      <c r="AN81">
        <v>25</v>
      </c>
      <c r="AO81">
        <v>67</v>
      </c>
      <c r="AP81">
        <v>33</v>
      </c>
      <c r="AQ81">
        <v>78</v>
      </c>
      <c r="AR81">
        <v>35</v>
      </c>
      <c r="AS81">
        <v>82</v>
      </c>
      <c r="AT81">
        <v>100</v>
      </c>
      <c r="AU81">
        <v>41</v>
      </c>
      <c r="AV81">
        <v>94</v>
      </c>
      <c r="AW81">
        <v>6</v>
      </c>
      <c r="AX81">
        <v>2</v>
      </c>
      <c r="AY81">
        <v>3</v>
      </c>
      <c r="AZ81">
        <v>1</v>
      </c>
      <c r="BA81">
        <v>2</v>
      </c>
      <c r="BB81">
        <v>1</v>
      </c>
      <c r="BC81">
        <v>1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4</v>
      </c>
      <c r="BJ81">
        <v>2</v>
      </c>
      <c r="BK81">
        <v>3</v>
      </c>
      <c r="BL81">
        <v>0</v>
      </c>
      <c r="BM81">
        <v>2</v>
      </c>
      <c r="BN81">
        <v>2</v>
      </c>
      <c r="BO81">
        <v>1.5</v>
      </c>
      <c r="BP81">
        <v>0</v>
      </c>
      <c r="BQ81">
        <v>4</v>
      </c>
      <c r="BR81">
        <v>3</v>
      </c>
      <c r="BS81">
        <v>2</v>
      </c>
      <c r="BT81">
        <v>1</v>
      </c>
      <c r="BU81">
        <v>0</v>
      </c>
      <c r="BV81">
        <v>0</v>
      </c>
      <c r="BW81">
        <v>2</v>
      </c>
      <c r="BX81">
        <v>2</v>
      </c>
      <c r="BY81">
        <v>7</v>
      </c>
      <c r="BZ81">
        <v>2.2999999999999998</v>
      </c>
      <c r="CA81">
        <v>1</v>
      </c>
      <c r="CB81">
        <v>0.3</v>
      </c>
      <c r="CC81">
        <v>2</v>
      </c>
      <c r="CD81">
        <v>1</v>
      </c>
      <c r="CE81">
        <v>2</v>
      </c>
      <c r="CF81">
        <v>1</v>
      </c>
      <c r="CG81">
        <v>0</v>
      </c>
      <c r="CH81">
        <v>0</v>
      </c>
      <c r="CI81">
        <v>0</v>
      </c>
      <c r="CJ81">
        <v>0</v>
      </c>
      <c r="CK81">
        <v>5</v>
      </c>
      <c r="CL81">
        <v>2</v>
      </c>
      <c r="CM81">
        <v>0</v>
      </c>
      <c r="CN81">
        <v>1</v>
      </c>
      <c r="CO81">
        <v>2.5</v>
      </c>
      <c r="CP81">
        <v>2</v>
      </c>
      <c r="CQ81">
        <v>0</v>
      </c>
      <c r="CR81">
        <v>1</v>
      </c>
      <c r="CS81">
        <v>3</v>
      </c>
      <c r="CT81">
        <v>4</v>
      </c>
      <c r="CU81">
        <v>2</v>
      </c>
      <c r="CV81">
        <v>2</v>
      </c>
      <c r="CW81">
        <v>0</v>
      </c>
      <c r="CX81">
        <v>0</v>
      </c>
      <c r="CY81">
        <v>1</v>
      </c>
      <c r="CZ81">
        <v>2</v>
      </c>
    </row>
    <row r="82" spans="1:104" x14ac:dyDescent="0.25">
      <c r="A82" s="1" t="s">
        <v>678</v>
      </c>
      <c r="B82">
        <v>1133</v>
      </c>
      <c r="C82">
        <v>1141</v>
      </c>
      <c r="D82" s="2">
        <v>43699</v>
      </c>
      <c r="E82" s="3">
        <f t="shared" si="3"/>
        <v>2019</v>
      </c>
      <c r="F82" s="3">
        <f t="shared" si="4"/>
        <v>8</v>
      </c>
      <c r="G82" s="3">
        <f t="shared" si="5"/>
        <v>5</v>
      </c>
      <c r="H82" t="s">
        <v>679</v>
      </c>
      <c r="I82">
        <v>285</v>
      </c>
      <c r="J82" t="s">
        <v>680</v>
      </c>
      <c r="K82" t="s">
        <v>681</v>
      </c>
      <c r="L82">
        <v>2019</v>
      </c>
      <c r="M82" t="s">
        <v>682</v>
      </c>
      <c r="N82" t="s">
        <v>683</v>
      </c>
      <c r="O82" t="s">
        <v>684</v>
      </c>
      <c r="P82">
        <v>12000</v>
      </c>
      <c r="Q82" t="s">
        <v>681</v>
      </c>
      <c r="R82">
        <v>2012</v>
      </c>
      <c r="S82" t="s">
        <v>685</v>
      </c>
      <c r="T82" t="s">
        <v>686</v>
      </c>
      <c r="U82">
        <v>10400</v>
      </c>
      <c r="V82" t="s">
        <v>681</v>
      </c>
      <c r="W82">
        <v>1991</v>
      </c>
      <c r="X82" t="s">
        <v>125</v>
      </c>
      <c r="Y82">
        <v>-3.5</v>
      </c>
      <c r="Z82">
        <v>-1.5</v>
      </c>
      <c r="AA82">
        <v>-1.5</v>
      </c>
      <c r="AB82">
        <v>10</v>
      </c>
      <c r="AC82">
        <v>45</v>
      </c>
      <c r="AD82">
        <v>45</v>
      </c>
      <c r="AE82">
        <v>21</v>
      </c>
      <c r="AF82">
        <v>79</v>
      </c>
      <c r="AG82">
        <v>44</v>
      </c>
      <c r="AH82">
        <v>56</v>
      </c>
      <c r="AI82">
        <v>18</v>
      </c>
      <c r="AJ82">
        <v>82</v>
      </c>
      <c r="AK82">
        <v>48</v>
      </c>
      <c r="AL82">
        <v>52</v>
      </c>
      <c r="AM82">
        <v>50</v>
      </c>
      <c r="AN82">
        <v>50</v>
      </c>
      <c r="AO82">
        <v>33</v>
      </c>
      <c r="AP82">
        <v>67</v>
      </c>
      <c r="AQ82">
        <v>20</v>
      </c>
      <c r="AR82">
        <v>40</v>
      </c>
      <c r="AS82">
        <v>10</v>
      </c>
      <c r="AT82">
        <v>73</v>
      </c>
      <c r="AU82">
        <v>50</v>
      </c>
      <c r="AV82">
        <v>80</v>
      </c>
      <c r="AW82">
        <v>4</v>
      </c>
      <c r="AX82">
        <v>0.8</v>
      </c>
      <c r="AY82">
        <v>9</v>
      </c>
      <c r="AZ82">
        <v>1.8</v>
      </c>
      <c r="BA82">
        <v>13</v>
      </c>
      <c r="BB82">
        <v>13</v>
      </c>
      <c r="BC82">
        <v>3</v>
      </c>
      <c r="BD82">
        <v>3</v>
      </c>
      <c r="BE82">
        <v>8</v>
      </c>
      <c r="BF82">
        <v>3</v>
      </c>
      <c r="BG82">
        <v>2</v>
      </c>
      <c r="BH82">
        <v>7</v>
      </c>
      <c r="BI82">
        <v>13</v>
      </c>
      <c r="BJ82">
        <v>12</v>
      </c>
      <c r="BK82">
        <v>14</v>
      </c>
      <c r="BL82">
        <v>22</v>
      </c>
      <c r="BM82">
        <v>1</v>
      </c>
      <c r="BN82">
        <v>0.9</v>
      </c>
      <c r="BO82">
        <v>1.1000000000000001</v>
      </c>
      <c r="BP82">
        <v>1.7</v>
      </c>
      <c r="BQ82">
        <v>6</v>
      </c>
      <c r="BR82">
        <v>5</v>
      </c>
      <c r="BS82">
        <v>2</v>
      </c>
      <c r="BT82">
        <v>0</v>
      </c>
      <c r="BU82">
        <v>2</v>
      </c>
      <c r="BV82">
        <v>2</v>
      </c>
      <c r="BW82">
        <v>2</v>
      </c>
      <c r="BX82">
        <v>3</v>
      </c>
      <c r="BY82">
        <v>5</v>
      </c>
      <c r="BZ82">
        <v>1</v>
      </c>
      <c r="CA82">
        <v>2</v>
      </c>
      <c r="CB82">
        <v>0.4</v>
      </c>
      <c r="CC82">
        <v>13</v>
      </c>
      <c r="CD82">
        <v>13</v>
      </c>
      <c r="CE82">
        <v>5</v>
      </c>
      <c r="CF82">
        <v>3</v>
      </c>
      <c r="CG82">
        <v>5</v>
      </c>
      <c r="CH82">
        <v>5</v>
      </c>
      <c r="CI82">
        <v>3</v>
      </c>
      <c r="CJ82">
        <v>5</v>
      </c>
      <c r="CK82">
        <v>14</v>
      </c>
      <c r="CL82">
        <v>9</v>
      </c>
      <c r="CM82">
        <v>10</v>
      </c>
      <c r="CN82">
        <v>13</v>
      </c>
      <c r="CO82">
        <v>1.1000000000000001</v>
      </c>
      <c r="CP82">
        <v>0.7</v>
      </c>
      <c r="CQ82">
        <v>0.8</v>
      </c>
      <c r="CR82">
        <v>1</v>
      </c>
      <c r="CS82">
        <v>5</v>
      </c>
      <c r="CT82">
        <v>6</v>
      </c>
      <c r="CU82">
        <v>3</v>
      </c>
      <c r="CV82">
        <v>2</v>
      </c>
      <c r="CW82">
        <v>2</v>
      </c>
      <c r="CX82">
        <v>2</v>
      </c>
      <c r="CY82">
        <v>0</v>
      </c>
      <c r="CZ82">
        <v>2</v>
      </c>
    </row>
    <row r="83" spans="1:104" x14ac:dyDescent="0.25">
      <c r="A83" s="1" t="s">
        <v>687</v>
      </c>
      <c r="B83">
        <v>2271</v>
      </c>
      <c r="C83">
        <v>5375</v>
      </c>
      <c r="D83" s="2">
        <v>44034</v>
      </c>
      <c r="E83" s="3">
        <f t="shared" si="3"/>
        <v>2020</v>
      </c>
      <c r="F83" s="3">
        <f t="shared" si="4"/>
        <v>7</v>
      </c>
      <c r="G83" s="3">
        <f t="shared" si="5"/>
        <v>4</v>
      </c>
      <c r="H83" t="s">
        <v>688</v>
      </c>
      <c r="I83">
        <v>1484</v>
      </c>
      <c r="J83" t="s">
        <v>689</v>
      </c>
      <c r="K83" t="s">
        <v>361</v>
      </c>
      <c r="L83">
        <v>2020</v>
      </c>
      <c r="M83" t="s">
        <v>690</v>
      </c>
      <c r="N83" t="s">
        <v>688</v>
      </c>
      <c r="O83" t="s">
        <v>691</v>
      </c>
      <c r="P83">
        <v>2672</v>
      </c>
      <c r="Q83" t="s">
        <v>361</v>
      </c>
      <c r="S83" t="s">
        <v>359</v>
      </c>
      <c r="T83" t="s">
        <v>363</v>
      </c>
      <c r="U83">
        <v>2000</v>
      </c>
      <c r="V83" t="s">
        <v>361</v>
      </c>
      <c r="W83">
        <v>1997</v>
      </c>
      <c r="X83">
        <v>1</v>
      </c>
      <c r="Z83">
        <v>-4.5</v>
      </c>
      <c r="AA83">
        <v>-1.5</v>
      </c>
      <c r="AB83">
        <v>45</v>
      </c>
      <c r="AC83">
        <v>45</v>
      </c>
      <c r="AD83">
        <v>10</v>
      </c>
      <c r="AE83">
        <v>59</v>
      </c>
      <c r="AF83">
        <v>41</v>
      </c>
      <c r="AG83">
        <v>82</v>
      </c>
      <c r="AH83">
        <v>18</v>
      </c>
      <c r="AI83">
        <v>50</v>
      </c>
      <c r="AJ83">
        <v>50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83</v>
      </c>
      <c r="AR83">
        <v>93</v>
      </c>
      <c r="AS83">
        <v>93</v>
      </c>
      <c r="AT83">
        <v>58</v>
      </c>
      <c r="AU83">
        <v>20</v>
      </c>
      <c r="AV83">
        <v>93</v>
      </c>
      <c r="AW83">
        <v>14</v>
      </c>
      <c r="AX83">
        <v>3.5</v>
      </c>
      <c r="AY83">
        <v>1</v>
      </c>
      <c r="AZ83">
        <v>0.3</v>
      </c>
      <c r="BA83">
        <v>2</v>
      </c>
      <c r="BB83">
        <v>2</v>
      </c>
      <c r="BC83">
        <v>2</v>
      </c>
      <c r="BD83">
        <v>1</v>
      </c>
      <c r="BE83">
        <v>0</v>
      </c>
      <c r="BF83">
        <v>1</v>
      </c>
      <c r="BG83">
        <v>0</v>
      </c>
      <c r="BH83">
        <v>0</v>
      </c>
      <c r="BI83">
        <v>10</v>
      </c>
      <c r="BJ83">
        <v>4</v>
      </c>
      <c r="BK83">
        <v>1</v>
      </c>
      <c r="BL83">
        <v>0</v>
      </c>
      <c r="BM83">
        <v>5</v>
      </c>
      <c r="BN83">
        <v>2</v>
      </c>
      <c r="BO83">
        <v>0.5</v>
      </c>
      <c r="BP83">
        <v>0</v>
      </c>
      <c r="BQ83">
        <v>1</v>
      </c>
      <c r="BR83">
        <v>0</v>
      </c>
      <c r="BS83">
        <v>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3</v>
      </c>
      <c r="BZ83">
        <v>0.8</v>
      </c>
      <c r="CA83">
        <v>1</v>
      </c>
      <c r="CB83">
        <v>0.3</v>
      </c>
      <c r="CC83">
        <v>2</v>
      </c>
      <c r="CD83">
        <v>2</v>
      </c>
      <c r="CE83">
        <v>1</v>
      </c>
      <c r="CF83">
        <v>1</v>
      </c>
      <c r="CG83">
        <v>1</v>
      </c>
      <c r="CH83">
        <v>0</v>
      </c>
      <c r="CI83">
        <v>0</v>
      </c>
      <c r="CJ83">
        <v>1</v>
      </c>
      <c r="CK83">
        <v>2</v>
      </c>
      <c r="CL83">
        <v>1</v>
      </c>
      <c r="CM83">
        <v>0</v>
      </c>
      <c r="CN83">
        <v>1</v>
      </c>
      <c r="CO83">
        <v>1</v>
      </c>
      <c r="CP83">
        <v>0.5</v>
      </c>
      <c r="CQ83">
        <v>0</v>
      </c>
      <c r="CR83">
        <v>0.5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1</v>
      </c>
    </row>
    <row r="84" spans="1:104" x14ac:dyDescent="0.25">
      <c r="A84" s="1" t="s">
        <v>692</v>
      </c>
      <c r="B84">
        <v>11120</v>
      </c>
      <c r="C84">
        <v>11113</v>
      </c>
      <c r="D84" s="2">
        <v>43792</v>
      </c>
      <c r="E84" s="3">
        <f t="shared" si="3"/>
        <v>2019</v>
      </c>
      <c r="F84" s="3">
        <f t="shared" si="4"/>
        <v>11</v>
      </c>
      <c r="G84" s="3">
        <f t="shared" si="5"/>
        <v>7</v>
      </c>
      <c r="H84" t="s">
        <v>693</v>
      </c>
      <c r="I84">
        <v>1641</v>
      </c>
      <c r="J84" t="s">
        <v>694</v>
      </c>
      <c r="K84" t="s">
        <v>695</v>
      </c>
      <c r="L84">
        <v>2019</v>
      </c>
      <c r="M84" t="s">
        <v>458</v>
      </c>
      <c r="N84" t="s">
        <v>696</v>
      </c>
      <c r="O84" t="s">
        <v>697</v>
      </c>
      <c r="P84">
        <v>1500</v>
      </c>
      <c r="Q84" t="s">
        <v>695</v>
      </c>
      <c r="R84">
        <v>1965</v>
      </c>
      <c r="S84" t="s">
        <v>698</v>
      </c>
      <c r="T84" t="s">
        <v>699</v>
      </c>
      <c r="U84">
        <v>1000</v>
      </c>
      <c r="V84" t="s">
        <v>695</v>
      </c>
      <c r="X84">
        <v>2</v>
      </c>
      <c r="Z84">
        <v>-1.5</v>
      </c>
      <c r="AA84">
        <v>-3.5</v>
      </c>
      <c r="AB84">
        <v>10</v>
      </c>
      <c r="AC84">
        <v>45</v>
      </c>
      <c r="AD84">
        <v>45</v>
      </c>
      <c r="AE84">
        <v>25</v>
      </c>
      <c r="AF84">
        <v>75</v>
      </c>
      <c r="AG84">
        <v>42</v>
      </c>
      <c r="AH84">
        <v>58</v>
      </c>
      <c r="AI84">
        <v>36</v>
      </c>
      <c r="AJ84">
        <v>64</v>
      </c>
      <c r="AK84">
        <v>9</v>
      </c>
      <c r="AL84">
        <v>91</v>
      </c>
      <c r="AM84">
        <v>20</v>
      </c>
      <c r="AN84">
        <v>80</v>
      </c>
      <c r="AO84">
        <v>33</v>
      </c>
      <c r="AP84">
        <v>67</v>
      </c>
      <c r="AQ84">
        <v>17</v>
      </c>
      <c r="AR84">
        <v>38</v>
      </c>
      <c r="AS84">
        <v>46</v>
      </c>
      <c r="AT84">
        <v>40</v>
      </c>
      <c r="AU84">
        <v>54</v>
      </c>
      <c r="AV84">
        <v>69</v>
      </c>
      <c r="AW84">
        <v>5</v>
      </c>
      <c r="AX84">
        <v>1.3</v>
      </c>
      <c r="AY84">
        <v>7</v>
      </c>
      <c r="AZ84">
        <v>1.8</v>
      </c>
      <c r="BA84">
        <v>2</v>
      </c>
      <c r="BB84">
        <v>2</v>
      </c>
      <c r="BC84">
        <v>0</v>
      </c>
      <c r="BD84">
        <v>0</v>
      </c>
      <c r="BE84">
        <v>0</v>
      </c>
      <c r="BF84">
        <v>2</v>
      </c>
      <c r="BG84">
        <v>2</v>
      </c>
      <c r="BH84">
        <v>0</v>
      </c>
      <c r="BI84">
        <v>2</v>
      </c>
      <c r="BJ84">
        <v>3</v>
      </c>
      <c r="BK84">
        <v>4</v>
      </c>
      <c r="BL84">
        <v>3</v>
      </c>
      <c r="BM84">
        <v>1</v>
      </c>
      <c r="BN84">
        <v>1.5</v>
      </c>
      <c r="BO84">
        <v>2</v>
      </c>
      <c r="BP84">
        <v>1.5</v>
      </c>
      <c r="BQ84">
        <v>2</v>
      </c>
      <c r="BR84">
        <v>1</v>
      </c>
      <c r="BS84">
        <v>0</v>
      </c>
      <c r="BT84">
        <v>0</v>
      </c>
      <c r="BU84">
        <v>0</v>
      </c>
      <c r="BV84">
        <v>1</v>
      </c>
      <c r="BW84">
        <v>2</v>
      </c>
      <c r="BX84">
        <v>0</v>
      </c>
      <c r="BY84">
        <v>7</v>
      </c>
      <c r="BZ84">
        <v>1.4</v>
      </c>
      <c r="CA84">
        <v>4</v>
      </c>
      <c r="CB84">
        <v>0.8</v>
      </c>
      <c r="CC84">
        <v>3</v>
      </c>
      <c r="CD84">
        <v>2</v>
      </c>
      <c r="CE84">
        <v>1</v>
      </c>
      <c r="CF84">
        <v>1</v>
      </c>
      <c r="CG84">
        <v>0</v>
      </c>
      <c r="CH84">
        <v>0</v>
      </c>
      <c r="CI84">
        <v>2</v>
      </c>
      <c r="CJ84">
        <v>1</v>
      </c>
      <c r="CK84">
        <v>2</v>
      </c>
      <c r="CL84">
        <v>5</v>
      </c>
      <c r="CM84">
        <v>3</v>
      </c>
      <c r="CN84">
        <v>1</v>
      </c>
      <c r="CO84">
        <v>0.7</v>
      </c>
      <c r="CP84">
        <v>2.5</v>
      </c>
      <c r="CQ84">
        <v>1</v>
      </c>
      <c r="CR84">
        <v>0.5</v>
      </c>
      <c r="CS84">
        <v>1</v>
      </c>
      <c r="CT84">
        <v>2</v>
      </c>
      <c r="CU84">
        <v>0</v>
      </c>
      <c r="CV84">
        <v>2</v>
      </c>
      <c r="CW84">
        <v>1</v>
      </c>
      <c r="CX84">
        <v>0</v>
      </c>
      <c r="CY84">
        <v>0</v>
      </c>
      <c r="CZ84">
        <v>0</v>
      </c>
    </row>
    <row r="85" spans="1:104" x14ac:dyDescent="0.25">
      <c r="A85" s="1" t="s">
        <v>700</v>
      </c>
      <c r="B85">
        <v>2077</v>
      </c>
      <c r="C85">
        <v>2076</v>
      </c>
      <c r="D85" s="2">
        <v>43693</v>
      </c>
      <c r="E85" s="3">
        <f t="shared" si="3"/>
        <v>2019</v>
      </c>
      <c r="F85" s="3">
        <f t="shared" si="4"/>
        <v>8</v>
      </c>
      <c r="G85" s="3">
        <f t="shared" si="5"/>
        <v>6</v>
      </c>
      <c r="H85" t="s">
        <v>701</v>
      </c>
      <c r="I85">
        <v>295</v>
      </c>
      <c r="J85" t="s">
        <v>702</v>
      </c>
      <c r="K85" t="s">
        <v>180</v>
      </c>
      <c r="L85">
        <v>2019</v>
      </c>
      <c r="M85" t="s">
        <v>122</v>
      </c>
      <c r="N85" t="s">
        <v>703</v>
      </c>
      <c r="O85" t="s">
        <v>704</v>
      </c>
      <c r="P85">
        <v>6996</v>
      </c>
      <c r="Q85" t="s">
        <v>180</v>
      </c>
      <c r="R85">
        <v>2002</v>
      </c>
      <c r="S85" t="s">
        <v>705</v>
      </c>
      <c r="U85">
        <v>4780</v>
      </c>
      <c r="V85" t="s">
        <v>180</v>
      </c>
      <c r="W85">
        <v>1927</v>
      </c>
      <c r="X85" t="s">
        <v>109</v>
      </c>
      <c r="Z85">
        <v>-2.5</v>
      </c>
      <c r="AA85">
        <v>-2.5</v>
      </c>
      <c r="AB85">
        <v>45</v>
      </c>
      <c r="AC85">
        <v>45</v>
      </c>
      <c r="AD85">
        <v>10</v>
      </c>
      <c r="AE85">
        <v>33</v>
      </c>
      <c r="AF85">
        <v>67</v>
      </c>
      <c r="AG85">
        <v>44</v>
      </c>
      <c r="AH85">
        <v>56</v>
      </c>
      <c r="AI85">
        <v>44</v>
      </c>
      <c r="AJ85">
        <v>56</v>
      </c>
      <c r="AK85">
        <v>42</v>
      </c>
      <c r="AL85">
        <v>58</v>
      </c>
      <c r="AM85">
        <v>60</v>
      </c>
      <c r="AN85">
        <v>40</v>
      </c>
      <c r="AO85">
        <v>67</v>
      </c>
      <c r="AP85">
        <v>33</v>
      </c>
      <c r="AQ85">
        <v>20</v>
      </c>
      <c r="AR85">
        <v>33</v>
      </c>
      <c r="AS85">
        <v>57</v>
      </c>
      <c r="AT85">
        <v>40</v>
      </c>
      <c r="AU85">
        <v>43</v>
      </c>
      <c r="AV85">
        <v>67</v>
      </c>
      <c r="AW85">
        <v>7</v>
      </c>
      <c r="AX85">
        <v>1.4</v>
      </c>
      <c r="AY85">
        <v>9</v>
      </c>
      <c r="AZ85">
        <v>1.8</v>
      </c>
      <c r="BA85">
        <v>9</v>
      </c>
      <c r="BB85">
        <v>9</v>
      </c>
      <c r="BC85">
        <v>0</v>
      </c>
      <c r="BD85">
        <v>5</v>
      </c>
      <c r="BE85">
        <v>5</v>
      </c>
      <c r="BF85">
        <v>0</v>
      </c>
      <c r="BG85">
        <v>4</v>
      </c>
      <c r="BH85">
        <v>4</v>
      </c>
      <c r="BI85">
        <v>7</v>
      </c>
      <c r="BJ85">
        <v>15</v>
      </c>
      <c r="BK85">
        <v>11</v>
      </c>
      <c r="BL85">
        <v>8</v>
      </c>
      <c r="BM85">
        <v>0.8</v>
      </c>
      <c r="BN85">
        <v>1.7</v>
      </c>
      <c r="BO85">
        <v>1.2</v>
      </c>
      <c r="BP85">
        <v>0.9</v>
      </c>
      <c r="BQ85">
        <v>12</v>
      </c>
      <c r="BR85">
        <v>7</v>
      </c>
      <c r="BS85">
        <v>4</v>
      </c>
      <c r="BT85">
        <v>3</v>
      </c>
      <c r="BU85">
        <v>5</v>
      </c>
      <c r="BV85">
        <v>2</v>
      </c>
      <c r="BW85">
        <v>3</v>
      </c>
      <c r="BX85">
        <v>2</v>
      </c>
      <c r="BY85">
        <v>9</v>
      </c>
      <c r="BZ85">
        <v>1.8</v>
      </c>
      <c r="CA85">
        <v>7</v>
      </c>
      <c r="CB85">
        <v>1.4</v>
      </c>
      <c r="CC85">
        <v>9</v>
      </c>
      <c r="CD85">
        <v>9</v>
      </c>
      <c r="CE85">
        <v>4</v>
      </c>
      <c r="CF85">
        <v>3</v>
      </c>
      <c r="CG85">
        <v>1</v>
      </c>
      <c r="CH85">
        <v>1</v>
      </c>
      <c r="CI85">
        <v>4</v>
      </c>
      <c r="CJ85">
        <v>5</v>
      </c>
      <c r="CK85">
        <v>16</v>
      </c>
      <c r="CL85">
        <v>14</v>
      </c>
      <c r="CM85">
        <v>12</v>
      </c>
      <c r="CN85">
        <v>17</v>
      </c>
      <c r="CO85">
        <v>1.8</v>
      </c>
      <c r="CP85">
        <v>1.6</v>
      </c>
      <c r="CQ85">
        <v>1.3</v>
      </c>
      <c r="CR85">
        <v>1.9</v>
      </c>
      <c r="CS85">
        <v>7</v>
      </c>
      <c r="CT85">
        <v>12</v>
      </c>
      <c r="CU85">
        <v>2</v>
      </c>
      <c r="CV85">
        <v>3</v>
      </c>
      <c r="CW85">
        <v>2</v>
      </c>
      <c r="CX85">
        <v>5</v>
      </c>
      <c r="CY85">
        <v>3</v>
      </c>
      <c r="CZ85">
        <v>4</v>
      </c>
    </row>
    <row r="86" spans="1:104" x14ac:dyDescent="0.25">
      <c r="A86" s="1" t="s">
        <v>706</v>
      </c>
      <c r="B86">
        <v>8008</v>
      </c>
      <c r="C86">
        <v>8375</v>
      </c>
      <c r="D86" s="2">
        <v>43759</v>
      </c>
      <c r="E86" s="3">
        <f t="shared" si="3"/>
        <v>2019</v>
      </c>
      <c r="F86" s="3">
        <f t="shared" si="4"/>
        <v>10</v>
      </c>
      <c r="G86" s="3">
        <f t="shared" si="5"/>
        <v>2</v>
      </c>
      <c r="H86" t="s">
        <v>707</v>
      </c>
      <c r="I86">
        <v>1096</v>
      </c>
      <c r="J86" t="s">
        <v>708</v>
      </c>
      <c r="K86" t="s">
        <v>345</v>
      </c>
      <c r="L86">
        <v>2019</v>
      </c>
      <c r="M86" t="s">
        <v>709</v>
      </c>
      <c r="N86" t="s">
        <v>707</v>
      </c>
      <c r="O86" t="s">
        <v>710</v>
      </c>
      <c r="P86">
        <v>2076</v>
      </c>
      <c r="Q86" t="s">
        <v>345</v>
      </c>
      <c r="R86">
        <v>1931</v>
      </c>
      <c r="S86" t="s">
        <v>711</v>
      </c>
      <c r="T86" t="s">
        <v>712</v>
      </c>
      <c r="U86">
        <v>19000</v>
      </c>
      <c r="V86" t="s">
        <v>345</v>
      </c>
      <c r="W86">
        <v>1922</v>
      </c>
      <c r="X86" t="s">
        <v>125</v>
      </c>
      <c r="Z86">
        <v>-2.5</v>
      </c>
      <c r="AA86">
        <v>-2.5</v>
      </c>
      <c r="AB86">
        <v>10</v>
      </c>
      <c r="AC86">
        <v>45</v>
      </c>
      <c r="AD86">
        <v>45</v>
      </c>
      <c r="AE86">
        <v>37</v>
      </c>
      <c r="AF86">
        <v>63</v>
      </c>
      <c r="AG86">
        <v>50</v>
      </c>
      <c r="AH86">
        <v>50</v>
      </c>
      <c r="AI86">
        <v>22</v>
      </c>
      <c r="AJ86">
        <v>78</v>
      </c>
      <c r="AK86">
        <v>63</v>
      </c>
      <c r="AL86">
        <v>37</v>
      </c>
      <c r="AM86">
        <v>15</v>
      </c>
      <c r="AN86">
        <v>85</v>
      </c>
      <c r="AO86">
        <v>38</v>
      </c>
      <c r="AP86">
        <v>63</v>
      </c>
      <c r="AQ86">
        <v>47</v>
      </c>
      <c r="AR86">
        <v>58</v>
      </c>
      <c r="AS86">
        <v>42</v>
      </c>
      <c r="AT86">
        <v>80</v>
      </c>
      <c r="AU86">
        <v>58</v>
      </c>
      <c r="AV86">
        <v>83</v>
      </c>
      <c r="AW86">
        <v>7</v>
      </c>
      <c r="AX86">
        <v>1.4</v>
      </c>
      <c r="AY86">
        <v>7</v>
      </c>
      <c r="AZ86">
        <v>1.4</v>
      </c>
      <c r="BA86">
        <v>4</v>
      </c>
      <c r="BB86">
        <v>6</v>
      </c>
      <c r="BC86">
        <v>2</v>
      </c>
      <c r="BD86">
        <v>2</v>
      </c>
      <c r="BE86">
        <v>1</v>
      </c>
      <c r="BF86">
        <v>3</v>
      </c>
      <c r="BG86">
        <v>1</v>
      </c>
      <c r="BH86">
        <v>1</v>
      </c>
      <c r="BI86">
        <v>5</v>
      </c>
      <c r="BJ86">
        <v>8</v>
      </c>
      <c r="BK86">
        <v>4</v>
      </c>
      <c r="BL86">
        <v>6</v>
      </c>
      <c r="BM86">
        <v>1.3</v>
      </c>
      <c r="BN86">
        <v>1.3</v>
      </c>
      <c r="BO86">
        <v>1</v>
      </c>
      <c r="BP86">
        <v>1</v>
      </c>
      <c r="BQ86">
        <v>5</v>
      </c>
      <c r="BR86">
        <v>4</v>
      </c>
      <c r="BS86">
        <v>1</v>
      </c>
      <c r="BT86">
        <v>0</v>
      </c>
      <c r="BU86">
        <v>1</v>
      </c>
      <c r="BV86">
        <v>3</v>
      </c>
      <c r="BW86">
        <v>3</v>
      </c>
      <c r="BX86">
        <v>1</v>
      </c>
      <c r="BY86">
        <v>7</v>
      </c>
      <c r="BZ86">
        <v>1.4</v>
      </c>
      <c r="CA86">
        <v>2</v>
      </c>
      <c r="CB86">
        <v>0.4</v>
      </c>
      <c r="CC86">
        <v>6</v>
      </c>
      <c r="CD86">
        <v>4</v>
      </c>
      <c r="CE86">
        <v>4</v>
      </c>
      <c r="CF86">
        <v>1</v>
      </c>
      <c r="CG86">
        <v>2</v>
      </c>
      <c r="CH86">
        <v>1</v>
      </c>
      <c r="CI86">
        <v>0</v>
      </c>
      <c r="CJ86">
        <v>2</v>
      </c>
      <c r="CK86">
        <v>7</v>
      </c>
      <c r="CL86">
        <v>3</v>
      </c>
      <c r="CM86">
        <v>0</v>
      </c>
      <c r="CN86">
        <v>5</v>
      </c>
      <c r="CO86">
        <v>1.2</v>
      </c>
      <c r="CP86">
        <v>0.8</v>
      </c>
      <c r="CQ86">
        <v>0</v>
      </c>
      <c r="CR86">
        <v>1.3</v>
      </c>
      <c r="CS86">
        <v>4</v>
      </c>
      <c r="CT86">
        <v>5</v>
      </c>
      <c r="CU86">
        <v>1</v>
      </c>
      <c r="CV86">
        <v>3</v>
      </c>
      <c r="CW86">
        <v>3</v>
      </c>
      <c r="CX86">
        <v>1</v>
      </c>
      <c r="CY86">
        <v>0</v>
      </c>
      <c r="CZ86">
        <v>1</v>
      </c>
    </row>
    <row r="87" spans="1:104" x14ac:dyDescent="0.25">
      <c r="A87" s="1" t="s">
        <v>713</v>
      </c>
      <c r="B87">
        <v>1846</v>
      </c>
      <c r="C87">
        <v>4899</v>
      </c>
      <c r="D87" s="2">
        <v>43765</v>
      </c>
      <c r="E87" s="3">
        <f t="shared" si="3"/>
        <v>2019</v>
      </c>
      <c r="F87" s="3">
        <f t="shared" si="4"/>
        <v>10</v>
      </c>
      <c r="G87" s="3">
        <f t="shared" si="5"/>
        <v>1</v>
      </c>
      <c r="H87" t="s">
        <v>714</v>
      </c>
      <c r="I87">
        <v>770</v>
      </c>
      <c r="J87" t="s">
        <v>715</v>
      </c>
      <c r="K87" t="s">
        <v>241</v>
      </c>
      <c r="L87">
        <v>2019</v>
      </c>
      <c r="M87" t="s">
        <v>306</v>
      </c>
      <c r="Q87" t="s">
        <v>241</v>
      </c>
      <c r="V87" t="s">
        <v>241</v>
      </c>
      <c r="X87" t="s">
        <v>125</v>
      </c>
      <c r="Y87">
        <v>-3.5</v>
      </c>
      <c r="Z87">
        <v>-1.5</v>
      </c>
      <c r="AA87">
        <v>-2.5</v>
      </c>
      <c r="AB87">
        <v>0</v>
      </c>
      <c r="AC87">
        <v>50</v>
      </c>
      <c r="AD87">
        <v>50</v>
      </c>
      <c r="AE87">
        <v>25</v>
      </c>
      <c r="AF87">
        <v>75</v>
      </c>
      <c r="AG87">
        <v>25</v>
      </c>
      <c r="AH87">
        <v>75</v>
      </c>
      <c r="AI87">
        <v>36</v>
      </c>
      <c r="AJ87">
        <v>64</v>
      </c>
      <c r="AK87">
        <v>0</v>
      </c>
      <c r="AL87">
        <v>100</v>
      </c>
      <c r="AM87">
        <v>0</v>
      </c>
      <c r="AN87">
        <v>0</v>
      </c>
      <c r="AO87">
        <v>0</v>
      </c>
      <c r="AP87">
        <v>0</v>
      </c>
      <c r="AQ87">
        <v>17</v>
      </c>
      <c r="AR87">
        <v>10</v>
      </c>
      <c r="AS87">
        <v>30</v>
      </c>
      <c r="AT87">
        <v>50</v>
      </c>
      <c r="AU87">
        <v>30</v>
      </c>
      <c r="AV87">
        <v>60</v>
      </c>
      <c r="AW87">
        <v>1</v>
      </c>
      <c r="AX87">
        <v>0.3</v>
      </c>
      <c r="AY87">
        <v>7</v>
      </c>
      <c r="AZ87">
        <v>1.8</v>
      </c>
      <c r="BA87">
        <v>2</v>
      </c>
      <c r="BB87">
        <v>2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1</v>
      </c>
      <c r="BK87">
        <v>4</v>
      </c>
      <c r="BL87">
        <v>3</v>
      </c>
      <c r="BM87">
        <v>0</v>
      </c>
      <c r="BN87">
        <v>0.5</v>
      </c>
      <c r="BO87">
        <v>2</v>
      </c>
      <c r="BP87">
        <v>1.5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3</v>
      </c>
      <c r="BZ87">
        <v>0.8</v>
      </c>
      <c r="CA87">
        <v>4</v>
      </c>
      <c r="CB87">
        <v>1</v>
      </c>
      <c r="CC87">
        <v>2</v>
      </c>
      <c r="CD87">
        <v>2</v>
      </c>
      <c r="CE87">
        <v>1</v>
      </c>
      <c r="CF87">
        <v>1</v>
      </c>
      <c r="CG87">
        <v>0</v>
      </c>
      <c r="CH87">
        <v>0</v>
      </c>
      <c r="CI87">
        <v>1</v>
      </c>
      <c r="CJ87">
        <v>1</v>
      </c>
      <c r="CK87">
        <v>1</v>
      </c>
      <c r="CL87">
        <v>2</v>
      </c>
      <c r="CM87">
        <v>3</v>
      </c>
      <c r="CN87">
        <v>1</v>
      </c>
      <c r="CO87">
        <v>0.5</v>
      </c>
      <c r="CP87">
        <v>1</v>
      </c>
      <c r="CQ87">
        <v>1.5</v>
      </c>
      <c r="CR87">
        <v>0.5</v>
      </c>
      <c r="CS87">
        <v>0</v>
      </c>
      <c r="CT87">
        <v>1</v>
      </c>
      <c r="CU87">
        <v>0</v>
      </c>
      <c r="CV87">
        <v>1</v>
      </c>
      <c r="CW87">
        <v>0</v>
      </c>
      <c r="CX87">
        <v>0</v>
      </c>
      <c r="CY87">
        <v>0</v>
      </c>
      <c r="CZ87">
        <v>0</v>
      </c>
    </row>
    <row r="88" spans="1:104" x14ac:dyDescent="0.25">
      <c r="A88" s="1" t="s">
        <v>716</v>
      </c>
      <c r="B88">
        <v>137</v>
      </c>
      <c r="C88">
        <v>146</v>
      </c>
      <c r="D88" s="2">
        <v>43701</v>
      </c>
      <c r="E88" s="3">
        <f t="shared" si="3"/>
        <v>2019</v>
      </c>
      <c r="F88" s="3">
        <f t="shared" si="4"/>
        <v>8</v>
      </c>
      <c r="G88" s="3">
        <f t="shared" si="5"/>
        <v>7</v>
      </c>
      <c r="H88" t="s">
        <v>717</v>
      </c>
      <c r="I88">
        <v>358</v>
      </c>
      <c r="J88" t="s">
        <v>312</v>
      </c>
      <c r="K88" t="s">
        <v>264</v>
      </c>
      <c r="L88">
        <v>2019</v>
      </c>
      <c r="M88" t="s">
        <v>249</v>
      </c>
      <c r="N88" t="s">
        <v>718</v>
      </c>
      <c r="O88" t="s">
        <v>719</v>
      </c>
      <c r="P88">
        <v>19584</v>
      </c>
      <c r="Q88" t="s">
        <v>264</v>
      </c>
      <c r="R88">
        <v>1921</v>
      </c>
      <c r="S88" t="s">
        <v>532</v>
      </c>
      <c r="T88" t="s">
        <v>533</v>
      </c>
      <c r="U88">
        <v>20801</v>
      </c>
      <c r="V88" t="s">
        <v>264</v>
      </c>
      <c r="W88">
        <v>1912</v>
      </c>
      <c r="X88" t="s">
        <v>125</v>
      </c>
      <c r="Y88">
        <v>-3.5</v>
      </c>
      <c r="Z88">
        <v>-1.5</v>
      </c>
      <c r="AA88">
        <v>-1.5</v>
      </c>
      <c r="AB88">
        <v>10</v>
      </c>
      <c r="AC88">
        <v>45</v>
      </c>
      <c r="AD88">
        <v>45</v>
      </c>
      <c r="AE88">
        <v>22</v>
      </c>
      <c r="AF88">
        <v>78</v>
      </c>
      <c r="AG88">
        <v>20</v>
      </c>
      <c r="AH88">
        <v>80</v>
      </c>
      <c r="AI88">
        <v>36</v>
      </c>
      <c r="AJ88">
        <v>64</v>
      </c>
      <c r="AK88">
        <v>33</v>
      </c>
      <c r="AL88">
        <v>67</v>
      </c>
      <c r="AM88">
        <v>36</v>
      </c>
      <c r="AN88">
        <v>64</v>
      </c>
      <c r="AO88">
        <v>50</v>
      </c>
      <c r="AP88">
        <v>50</v>
      </c>
      <c r="AQ88">
        <v>13</v>
      </c>
      <c r="AR88">
        <v>10</v>
      </c>
      <c r="AS88">
        <v>30</v>
      </c>
      <c r="AT88">
        <v>47</v>
      </c>
      <c r="AU88">
        <v>40</v>
      </c>
      <c r="AV88">
        <v>60</v>
      </c>
      <c r="AW88">
        <v>1</v>
      </c>
      <c r="AX88">
        <v>0.2</v>
      </c>
      <c r="AY88">
        <v>7</v>
      </c>
      <c r="AZ88">
        <v>1.4</v>
      </c>
      <c r="BA88">
        <v>8</v>
      </c>
      <c r="BB88">
        <v>9</v>
      </c>
      <c r="BC88">
        <v>3</v>
      </c>
      <c r="BD88">
        <v>1</v>
      </c>
      <c r="BE88">
        <v>3</v>
      </c>
      <c r="BF88">
        <v>5</v>
      </c>
      <c r="BG88">
        <v>2</v>
      </c>
      <c r="BH88">
        <v>3</v>
      </c>
      <c r="BI88">
        <v>8</v>
      </c>
      <c r="BJ88">
        <v>5</v>
      </c>
      <c r="BK88">
        <v>7</v>
      </c>
      <c r="BL88">
        <v>8</v>
      </c>
      <c r="BM88">
        <v>1</v>
      </c>
      <c r="BN88">
        <v>0.6</v>
      </c>
      <c r="BO88">
        <v>0.9</v>
      </c>
      <c r="BP88">
        <v>0.9</v>
      </c>
      <c r="BQ88">
        <v>3</v>
      </c>
      <c r="BR88">
        <v>3</v>
      </c>
      <c r="BS88">
        <v>1</v>
      </c>
      <c r="BT88">
        <v>0</v>
      </c>
      <c r="BU88">
        <v>2</v>
      </c>
      <c r="BV88">
        <v>1</v>
      </c>
      <c r="BW88">
        <v>0</v>
      </c>
      <c r="BX88">
        <v>2</v>
      </c>
      <c r="BY88">
        <v>4</v>
      </c>
      <c r="BZ88">
        <v>0.8</v>
      </c>
      <c r="CA88">
        <v>4</v>
      </c>
      <c r="CB88">
        <v>0.8</v>
      </c>
      <c r="CC88">
        <v>9</v>
      </c>
      <c r="CD88">
        <v>8</v>
      </c>
      <c r="CE88">
        <v>3</v>
      </c>
      <c r="CF88">
        <v>5</v>
      </c>
      <c r="CG88">
        <v>2</v>
      </c>
      <c r="CH88">
        <v>0</v>
      </c>
      <c r="CI88">
        <v>4</v>
      </c>
      <c r="CJ88">
        <v>3</v>
      </c>
      <c r="CK88">
        <v>10</v>
      </c>
      <c r="CL88">
        <v>9</v>
      </c>
      <c r="CM88">
        <v>11</v>
      </c>
      <c r="CN88">
        <v>5</v>
      </c>
      <c r="CO88">
        <v>1.1000000000000001</v>
      </c>
      <c r="CP88">
        <v>1.1000000000000001</v>
      </c>
      <c r="CQ88">
        <v>1.2</v>
      </c>
      <c r="CR88">
        <v>0.6</v>
      </c>
      <c r="CS88">
        <v>3</v>
      </c>
      <c r="CT88">
        <v>3</v>
      </c>
      <c r="CU88">
        <v>2</v>
      </c>
      <c r="CV88">
        <v>0</v>
      </c>
      <c r="CW88">
        <v>1</v>
      </c>
      <c r="CX88">
        <v>2</v>
      </c>
      <c r="CY88">
        <v>0</v>
      </c>
      <c r="CZ88">
        <v>1</v>
      </c>
    </row>
    <row r="89" spans="1:104" x14ac:dyDescent="0.25">
      <c r="A89" s="1" t="s">
        <v>720</v>
      </c>
      <c r="B89">
        <v>7673</v>
      </c>
      <c r="C89">
        <v>7646</v>
      </c>
      <c r="D89" s="2">
        <v>43708</v>
      </c>
      <c r="E89" s="3">
        <f t="shared" si="3"/>
        <v>2019</v>
      </c>
      <c r="F89" s="3">
        <f t="shared" si="4"/>
        <v>8</v>
      </c>
      <c r="G89" s="3">
        <f t="shared" si="5"/>
        <v>7</v>
      </c>
      <c r="H89" t="s">
        <v>721</v>
      </c>
      <c r="I89">
        <v>1171</v>
      </c>
      <c r="J89" t="s">
        <v>722</v>
      </c>
      <c r="K89" t="s">
        <v>241</v>
      </c>
      <c r="L89">
        <v>2019</v>
      </c>
      <c r="M89" t="s">
        <v>723</v>
      </c>
      <c r="N89" t="s">
        <v>724</v>
      </c>
      <c r="O89" t="s">
        <v>725</v>
      </c>
      <c r="P89">
        <v>3002</v>
      </c>
      <c r="Q89" t="s">
        <v>241</v>
      </c>
      <c r="R89">
        <v>1892</v>
      </c>
      <c r="S89" t="s">
        <v>726</v>
      </c>
      <c r="T89" t="s">
        <v>727</v>
      </c>
      <c r="U89">
        <v>3500</v>
      </c>
      <c r="V89" t="s">
        <v>241</v>
      </c>
      <c r="W89">
        <v>1879</v>
      </c>
      <c r="X89" t="s">
        <v>109</v>
      </c>
      <c r="Z89">
        <v>-2.5</v>
      </c>
      <c r="AA89">
        <v>-3.5</v>
      </c>
      <c r="AB89">
        <v>35</v>
      </c>
      <c r="AC89">
        <v>35</v>
      </c>
      <c r="AD89">
        <v>30</v>
      </c>
      <c r="AE89">
        <v>25</v>
      </c>
      <c r="AF89">
        <v>75</v>
      </c>
      <c r="AG89">
        <v>43</v>
      </c>
      <c r="AH89">
        <v>57</v>
      </c>
      <c r="AI89">
        <v>50</v>
      </c>
      <c r="AJ89">
        <v>50</v>
      </c>
      <c r="AK89">
        <v>100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22</v>
      </c>
      <c r="AR89">
        <v>35</v>
      </c>
      <c r="AS89">
        <v>59</v>
      </c>
      <c r="AT89">
        <v>67</v>
      </c>
      <c r="AU89">
        <v>47</v>
      </c>
      <c r="AV89">
        <v>59</v>
      </c>
      <c r="AW89">
        <v>6</v>
      </c>
      <c r="AX89">
        <v>2</v>
      </c>
      <c r="AY89">
        <v>7</v>
      </c>
      <c r="AZ89">
        <v>2.2999999999999998</v>
      </c>
      <c r="BA89">
        <v>1</v>
      </c>
      <c r="BB89">
        <v>2</v>
      </c>
      <c r="BC89">
        <v>0</v>
      </c>
      <c r="BD89">
        <v>0</v>
      </c>
      <c r="BE89">
        <v>1</v>
      </c>
      <c r="BF89">
        <v>1</v>
      </c>
      <c r="BG89">
        <v>0</v>
      </c>
      <c r="BH89">
        <v>1</v>
      </c>
      <c r="BI89">
        <v>2</v>
      </c>
      <c r="BJ89">
        <v>4</v>
      </c>
      <c r="BK89">
        <v>2</v>
      </c>
      <c r="BL89">
        <v>5</v>
      </c>
      <c r="BM89">
        <v>2</v>
      </c>
      <c r="BN89">
        <v>2</v>
      </c>
      <c r="BO89">
        <v>2</v>
      </c>
      <c r="BP89">
        <v>2.5</v>
      </c>
      <c r="BQ89">
        <v>1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1</v>
      </c>
      <c r="BY89">
        <v>8</v>
      </c>
      <c r="BZ89">
        <v>2.7</v>
      </c>
      <c r="CA89">
        <v>7</v>
      </c>
      <c r="CB89">
        <v>2.2999999999999998</v>
      </c>
      <c r="CC89">
        <v>2</v>
      </c>
      <c r="CD89">
        <v>1</v>
      </c>
      <c r="CE89">
        <v>2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8</v>
      </c>
      <c r="CL89">
        <v>0</v>
      </c>
      <c r="CM89">
        <v>6</v>
      </c>
      <c r="CN89">
        <v>1</v>
      </c>
      <c r="CO89">
        <v>4</v>
      </c>
      <c r="CP89">
        <v>0</v>
      </c>
      <c r="CQ89">
        <v>3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0</v>
      </c>
      <c r="CX89">
        <v>0</v>
      </c>
      <c r="CY89">
        <v>0</v>
      </c>
      <c r="CZ89">
        <v>0</v>
      </c>
    </row>
    <row r="90" spans="1:104" x14ac:dyDescent="0.25">
      <c r="A90" s="1" t="s">
        <v>728</v>
      </c>
      <c r="B90">
        <v>451</v>
      </c>
      <c r="C90">
        <v>436</v>
      </c>
      <c r="D90" s="2">
        <v>43757</v>
      </c>
      <c r="E90" s="3">
        <f t="shared" si="3"/>
        <v>2019</v>
      </c>
      <c r="F90" s="3">
        <f t="shared" si="4"/>
        <v>10</v>
      </c>
      <c r="G90" s="3">
        <f t="shared" si="5"/>
        <v>7</v>
      </c>
      <c r="H90" t="s">
        <v>729</v>
      </c>
      <c r="I90">
        <v>780</v>
      </c>
      <c r="J90" t="s">
        <v>344</v>
      </c>
      <c r="K90" t="s">
        <v>345</v>
      </c>
      <c r="L90">
        <v>2019</v>
      </c>
      <c r="M90" t="s">
        <v>122</v>
      </c>
      <c r="N90" t="s">
        <v>729</v>
      </c>
      <c r="O90" t="s">
        <v>730</v>
      </c>
      <c r="P90">
        <v>49000</v>
      </c>
      <c r="Q90" t="s">
        <v>345</v>
      </c>
      <c r="R90">
        <v>1905</v>
      </c>
      <c r="S90" t="s">
        <v>731</v>
      </c>
      <c r="T90" t="s">
        <v>732</v>
      </c>
      <c r="U90">
        <v>51500</v>
      </c>
      <c r="V90" t="s">
        <v>345</v>
      </c>
      <c r="W90">
        <v>1903</v>
      </c>
      <c r="X90" t="s">
        <v>109</v>
      </c>
      <c r="Y90">
        <v>-3.5</v>
      </c>
      <c r="Z90">
        <v>-1.5</v>
      </c>
      <c r="AA90">
        <v>-2.5</v>
      </c>
      <c r="AB90">
        <v>35</v>
      </c>
      <c r="AC90">
        <v>35</v>
      </c>
      <c r="AD90">
        <v>30</v>
      </c>
      <c r="AE90">
        <v>46</v>
      </c>
      <c r="AF90">
        <v>54</v>
      </c>
      <c r="AG90">
        <v>33</v>
      </c>
      <c r="AH90">
        <v>67</v>
      </c>
      <c r="AI90">
        <v>80</v>
      </c>
      <c r="AJ90">
        <v>20</v>
      </c>
      <c r="AK90">
        <v>72</v>
      </c>
      <c r="AL90">
        <v>28</v>
      </c>
      <c r="AM90">
        <v>36</v>
      </c>
      <c r="AN90">
        <v>64</v>
      </c>
      <c r="AO90">
        <v>47</v>
      </c>
      <c r="AP90">
        <v>53</v>
      </c>
      <c r="AQ90">
        <v>73</v>
      </c>
      <c r="AR90">
        <v>42</v>
      </c>
      <c r="AS90">
        <v>92</v>
      </c>
      <c r="AT90">
        <v>87</v>
      </c>
      <c r="AU90">
        <v>83</v>
      </c>
      <c r="AV90">
        <v>67</v>
      </c>
      <c r="AW90">
        <v>5</v>
      </c>
      <c r="AX90">
        <v>1</v>
      </c>
      <c r="AY90">
        <v>1</v>
      </c>
      <c r="AZ90">
        <v>0.2</v>
      </c>
      <c r="BA90">
        <v>4</v>
      </c>
      <c r="BB90">
        <v>5</v>
      </c>
      <c r="BC90">
        <v>2</v>
      </c>
      <c r="BD90">
        <v>4</v>
      </c>
      <c r="BE90">
        <v>2</v>
      </c>
      <c r="BF90">
        <v>1</v>
      </c>
      <c r="BG90">
        <v>0</v>
      </c>
      <c r="BH90">
        <v>0</v>
      </c>
      <c r="BI90">
        <v>4</v>
      </c>
      <c r="BJ90">
        <v>6</v>
      </c>
      <c r="BK90">
        <v>1</v>
      </c>
      <c r="BL90">
        <v>0</v>
      </c>
      <c r="BM90">
        <v>1</v>
      </c>
      <c r="BN90">
        <v>1.2</v>
      </c>
      <c r="BO90">
        <v>0.3</v>
      </c>
      <c r="BP90">
        <v>0</v>
      </c>
      <c r="BQ90">
        <v>3</v>
      </c>
      <c r="BR90">
        <v>2</v>
      </c>
      <c r="BS90">
        <v>1</v>
      </c>
      <c r="BT90">
        <v>0</v>
      </c>
      <c r="BU90">
        <v>0</v>
      </c>
      <c r="BV90">
        <v>1</v>
      </c>
      <c r="BW90">
        <v>2</v>
      </c>
      <c r="BX90">
        <v>1</v>
      </c>
      <c r="BY90">
        <v>10</v>
      </c>
      <c r="BZ90">
        <v>2</v>
      </c>
      <c r="CA90">
        <v>4</v>
      </c>
      <c r="CB90">
        <v>0.8</v>
      </c>
      <c r="CC90">
        <v>5</v>
      </c>
      <c r="CD90">
        <v>4</v>
      </c>
      <c r="CE90">
        <v>3</v>
      </c>
      <c r="CF90">
        <v>1</v>
      </c>
      <c r="CG90">
        <v>1</v>
      </c>
      <c r="CH90">
        <v>3</v>
      </c>
      <c r="CI90">
        <v>1</v>
      </c>
      <c r="CJ90">
        <v>0</v>
      </c>
      <c r="CK90">
        <v>8</v>
      </c>
      <c r="CL90">
        <v>5</v>
      </c>
      <c r="CM90">
        <v>8</v>
      </c>
      <c r="CN90">
        <v>4</v>
      </c>
      <c r="CO90">
        <v>1.6</v>
      </c>
      <c r="CP90">
        <v>1.3</v>
      </c>
      <c r="CQ90">
        <v>1.6</v>
      </c>
      <c r="CR90">
        <v>1</v>
      </c>
      <c r="CS90">
        <v>2</v>
      </c>
      <c r="CT90">
        <v>3</v>
      </c>
      <c r="CU90">
        <v>1</v>
      </c>
      <c r="CV90">
        <v>2</v>
      </c>
      <c r="CW90">
        <v>1</v>
      </c>
      <c r="CX90">
        <v>0</v>
      </c>
      <c r="CY90">
        <v>0</v>
      </c>
      <c r="CZ90">
        <v>1</v>
      </c>
    </row>
    <row r="91" spans="1:104" x14ac:dyDescent="0.25">
      <c r="A91" s="1" t="s">
        <v>733</v>
      </c>
      <c r="B91">
        <v>6541</v>
      </c>
      <c r="C91">
        <v>7395</v>
      </c>
      <c r="D91" s="2">
        <v>43793</v>
      </c>
      <c r="E91" s="3">
        <f t="shared" si="3"/>
        <v>2019</v>
      </c>
      <c r="F91" s="3">
        <f t="shared" si="4"/>
        <v>11</v>
      </c>
      <c r="G91" s="3">
        <f t="shared" si="5"/>
        <v>1</v>
      </c>
      <c r="H91" t="s">
        <v>734</v>
      </c>
      <c r="I91">
        <v>1615</v>
      </c>
      <c r="J91" t="s">
        <v>328</v>
      </c>
      <c r="K91" t="s">
        <v>329</v>
      </c>
      <c r="L91">
        <v>2019</v>
      </c>
      <c r="M91" t="s">
        <v>735</v>
      </c>
      <c r="N91" t="s">
        <v>736</v>
      </c>
      <c r="O91" t="s">
        <v>737</v>
      </c>
      <c r="P91">
        <v>1500</v>
      </c>
      <c r="Q91" t="s">
        <v>329</v>
      </c>
      <c r="R91">
        <v>1985</v>
      </c>
      <c r="S91" t="s">
        <v>738</v>
      </c>
      <c r="T91" t="s">
        <v>739</v>
      </c>
      <c r="U91">
        <v>4900</v>
      </c>
      <c r="V91" t="s">
        <v>329</v>
      </c>
      <c r="W91">
        <v>1960</v>
      </c>
      <c r="X91" t="s">
        <v>109</v>
      </c>
      <c r="Z91">
        <v>-3.5</v>
      </c>
      <c r="AA91">
        <v>-2.5</v>
      </c>
      <c r="AB91">
        <v>45</v>
      </c>
      <c r="AC91">
        <v>45</v>
      </c>
      <c r="AD91">
        <v>10</v>
      </c>
      <c r="AE91">
        <v>75</v>
      </c>
      <c r="AF91">
        <v>25</v>
      </c>
      <c r="AG91">
        <v>58</v>
      </c>
      <c r="AH91">
        <v>42</v>
      </c>
      <c r="AI91">
        <v>71</v>
      </c>
      <c r="AJ91">
        <v>29</v>
      </c>
      <c r="AK91">
        <v>65</v>
      </c>
      <c r="AL91">
        <v>35</v>
      </c>
      <c r="AM91">
        <v>0</v>
      </c>
      <c r="AN91">
        <v>0</v>
      </c>
      <c r="AO91">
        <v>0</v>
      </c>
      <c r="AP91">
        <v>0</v>
      </c>
      <c r="AQ91">
        <v>40</v>
      </c>
      <c r="AR91">
        <v>88</v>
      </c>
      <c r="AS91">
        <v>50</v>
      </c>
      <c r="AT91">
        <v>13</v>
      </c>
      <c r="AU91">
        <v>63</v>
      </c>
      <c r="AV91">
        <v>0</v>
      </c>
      <c r="AW91">
        <v>7</v>
      </c>
      <c r="AX91">
        <v>1.4</v>
      </c>
      <c r="AY91">
        <v>4</v>
      </c>
      <c r="AZ91">
        <v>0.8</v>
      </c>
      <c r="BA91">
        <v>6</v>
      </c>
      <c r="BB91">
        <v>7</v>
      </c>
      <c r="BC91">
        <v>2</v>
      </c>
      <c r="BD91">
        <v>0</v>
      </c>
      <c r="BE91">
        <v>1</v>
      </c>
      <c r="BF91">
        <v>2</v>
      </c>
      <c r="BG91">
        <v>3</v>
      </c>
      <c r="BH91">
        <v>5</v>
      </c>
      <c r="BI91">
        <v>11</v>
      </c>
      <c r="BJ91">
        <v>2</v>
      </c>
      <c r="BK91">
        <v>10</v>
      </c>
      <c r="BL91">
        <v>9</v>
      </c>
      <c r="BM91">
        <v>1.8</v>
      </c>
      <c r="BN91">
        <v>0.3</v>
      </c>
      <c r="BO91">
        <v>1.7</v>
      </c>
      <c r="BP91">
        <v>1.3</v>
      </c>
      <c r="BQ91">
        <v>1</v>
      </c>
      <c r="BR91">
        <v>0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5</v>
      </c>
      <c r="BZ91">
        <v>1</v>
      </c>
      <c r="CA91">
        <v>10</v>
      </c>
      <c r="CB91">
        <v>2</v>
      </c>
      <c r="CC91">
        <v>7</v>
      </c>
      <c r="CD91">
        <v>6</v>
      </c>
      <c r="CE91">
        <v>2</v>
      </c>
      <c r="CF91">
        <v>1</v>
      </c>
      <c r="CG91">
        <v>2</v>
      </c>
      <c r="CH91">
        <v>0</v>
      </c>
      <c r="CI91">
        <v>3</v>
      </c>
      <c r="CJ91">
        <v>5</v>
      </c>
      <c r="CK91">
        <v>8</v>
      </c>
      <c r="CL91">
        <v>8</v>
      </c>
      <c r="CM91">
        <v>9</v>
      </c>
      <c r="CN91">
        <v>17</v>
      </c>
      <c r="CO91">
        <v>1.1000000000000001</v>
      </c>
      <c r="CP91">
        <v>1.3</v>
      </c>
      <c r="CQ91">
        <v>1.3</v>
      </c>
      <c r="CR91">
        <v>2.8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</row>
    <row r="92" spans="1:104" x14ac:dyDescent="0.25">
      <c r="A92" s="1" t="s">
        <v>740</v>
      </c>
      <c r="B92">
        <v>1062</v>
      </c>
      <c r="C92">
        <v>151</v>
      </c>
      <c r="D92" s="2">
        <v>43775</v>
      </c>
      <c r="E92" s="3">
        <f t="shared" si="3"/>
        <v>2019</v>
      </c>
      <c r="F92" s="3">
        <f t="shared" si="4"/>
        <v>11</v>
      </c>
      <c r="G92" s="3">
        <f t="shared" si="5"/>
        <v>4</v>
      </c>
      <c r="H92" t="s">
        <v>741</v>
      </c>
      <c r="I92">
        <v>357</v>
      </c>
      <c r="J92" t="s">
        <v>648</v>
      </c>
      <c r="K92" t="s">
        <v>264</v>
      </c>
      <c r="L92">
        <v>2019</v>
      </c>
      <c r="M92" t="s">
        <v>742</v>
      </c>
      <c r="N92" t="s">
        <v>743</v>
      </c>
      <c r="O92" t="s">
        <v>744</v>
      </c>
      <c r="P92">
        <v>23018</v>
      </c>
      <c r="Q92" t="s">
        <v>264</v>
      </c>
      <c r="R92">
        <v>1908</v>
      </c>
      <c r="S92" t="s">
        <v>745</v>
      </c>
      <c r="T92" t="s">
        <v>746</v>
      </c>
      <c r="U92">
        <v>10000</v>
      </c>
      <c r="V92" t="s">
        <v>264</v>
      </c>
      <c r="W92">
        <v>1943</v>
      </c>
      <c r="X92" t="s">
        <v>109</v>
      </c>
      <c r="Z92">
        <v>-2.5</v>
      </c>
      <c r="AA92">
        <v>-2.5</v>
      </c>
      <c r="AB92">
        <v>35</v>
      </c>
      <c r="AC92">
        <v>35</v>
      </c>
      <c r="AD92">
        <v>30</v>
      </c>
      <c r="AE92">
        <v>45</v>
      </c>
      <c r="AF92">
        <v>55</v>
      </c>
      <c r="AG92">
        <v>40</v>
      </c>
      <c r="AH92">
        <v>60</v>
      </c>
      <c r="AI92">
        <v>56</v>
      </c>
      <c r="AJ92">
        <v>44</v>
      </c>
      <c r="AK92">
        <v>67</v>
      </c>
      <c r="AL92">
        <v>33</v>
      </c>
      <c r="AM92">
        <v>50</v>
      </c>
      <c r="AN92">
        <v>50</v>
      </c>
      <c r="AO92">
        <v>50</v>
      </c>
      <c r="AP92">
        <v>50</v>
      </c>
      <c r="AQ92">
        <v>33</v>
      </c>
      <c r="AR92">
        <v>40</v>
      </c>
      <c r="AS92">
        <v>47</v>
      </c>
      <c r="AT92">
        <v>40</v>
      </c>
      <c r="AU92">
        <v>60</v>
      </c>
      <c r="AV92">
        <v>33</v>
      </c>
      <c r="AW92">
        <v>6</v>
      </c>
      <c r="AX92">
        <v>1.2</v>
      </c>
      <c r="AY92">
        <v>8</v>
      </c>
      <c r="AZ92">
        <v>1.6</v>
      </c>
      <c r="BA92">
        <v>15</v>
      </c>
      <c r="BB92">
        <v>15</v>
      </c>
      <c r="BC92">
        <v>7</v>
      </c>
      <c r="BD92">
        <v>3</v>
      </c>
      <c r="BE92">
        <v>2</v>
      </c>
      <c r="BF92">
        <v>4</v>
      </c>
      <c r="BG92">
        <v>6</v>
      </c>
      <c r="BH92">
        <v>8</v>
      </c>
      <c r="BI92">
        <v>22</v>
      </c>
      <c r="BJ92">
        <v>14</v>
      </c>
      <c r="BK92">
        <v>21</v>
      </c>
      <c r="BL92">
        <v>22</v>
      </c>
      <c r="BM92">
        <v>1.5</v>
      </c>
      <c r="BN92">
        <v>0.9</v>
      </c>
      <c r="BO92">
        <v>1.4</v>
      </c>
      <c r="BP92">
        <v>1.5</v>
      </c>
      <c r="BQ92">
        <v>5</v>
      </c>
      <c r="BR92">
        <v>5</v>
      </c>
      <c r="BS92">
        <v>3</v>
      </c>
      <c r="BT92">
        <v>2</v>
      </c>
      <c r="BU92">
        <v>1</v>
      </c>
      <c r="BV92">
        <v>3</v>
      </c>
      <c r="BW92">
        <v>1</v>
      </c>
      <c r="BX92">
        <v>0</v>
      </c>
      <c r="BY92">
        <v>9</v>
      </c>
      <c r="BZ92">
        <v>1.8</v>
      </c>
      <c r="CA92">
        <v>10</v>
      </c>
      <c r="CB92">
        <v>2</v>
      </c>
      <c r="CC92">
        <v>15</v>
      </c>
      <c r="CD92">
        <v>15</v>
      </c>
      <c r="CE92">
        <v>9</v>
      </c>
      <c r="CF92">
        <v>3</v>
      </c>
      <c r="CG92">
        <v>3</v>
      </c>
      <c r="CH92">
        <v>3</v>
      </c>
      <c r="CI92">
        <v>3</v>
      </c>
      <c r="CJ92">
        <v>9</v>
      </c>
      <c r="CK92">
        <v>23</v>
      </c>
      <c r="CL92">
        <v>11</v>
      </c>
      <c r="CM92">
        <v>13</v>
      </c>
      <c r="CN92">
        <v>32</v>
      </c>
      <c r="CO92">
        <v>1.5</v>
      </c>
      <c r="CP92">
        <v>0.7</v>
      </c>
      <c r="CQ92">
        <v>0.9</v>
      </c>
      <c r="CR92">
        <v>2.1</v>
      </c>
      <c r="CS92">
        <v>5</v>
      </c>
      <c r="CT92">
        <v>5</v>
      </c>
      <c r="CU92">
        <v>0</v>
      </c>
      <c r="CV92">
        <v>1</v>
      </c>
      <c r="CW92">
        <v>3</v>
      </c>
      <c r="CX92">
        <v>1</v>
      </c>
      <c r="CY92">
        <v>2</v>
      </c>
      <c r="CZ92">
        <v>3</v>
      </c>
    </row>
    <row r="93" spans="1:104" x14ac:dyDescent="0.25">
      <c r="A93" s="1" t="s">
        <v>747</v>
      </c>
      <c r="B93">
        <v>9808</v>
      </c>
      <c r="C93">
        <v>8155</v>
      </c>
      <c r="D93" s="2">
        <v>43758</v>
      </c>
      <c r="E93" s="3">
        <f t="shared" si="3"/>
        <v>2019</v>
      </c>
      <c r="F93" s="3">
        <f t="shared" si="4"/>
        <v>10</v>
      </c>
      <c r="G93" s="3">
        <f t="shared" si="5"/>
        <v>1</v>
      </c>
      <c r="H93" t="s">
        <v>748</v>
      </c>
      <c r="I93">
        <v>1281</v>
      </c>
      <c r="J93" t="s">
        <v>749</v>
      </c>
      <c r="K93" t="s">
        <v>380</v>
      </c>
      <c r="L93">
        <v>2019</v>
      </c>
      <c r="M93" t="s">
        <v>750</v>
      </c>
      <c r="N93" t="s">
        <v>748</v>
      </c>
      <c r="O93" t="s">
        <v>751</v>
      </c>
      <c r="P93">
        <v>2000</v>
      </c>
      <c r="Q93" t="s">
        <v>380</v>
      </c>
      <c r="R93">
        <v>2002</v>
      </c>
      <c r="S93" t="s">
        <v>752</v>
      </c>
      <c r="T93" t="s">
        <v>753</v>
      </c>
      <c r="U93">
        <v>2000</v>
      </c>
      <c r="V93" t="s">
        <v>380</v>
      </c>
      <c r="W93">
        <v>2006</v>
      </c>
      <c r="X93" t="s">
        <v>109</v>
      </c>
      <c r="Y93">
        <v>-3.5</v>
      </c>
      <c r="Z93">
        <v>-1.5</v>
      </c>
      <c r="AA93">
        <v>-1.5</v>
      </c>
      <c r="AB93">
        <v>35</v>
      </c>
      <c r="AC93">
        <v>35</v>
      </c>
      <c r="AD93">
        <v>30</v>
      </c>
      <c r="AE93">
        <v>50</v>
      </c>
      <c r="AF93">
        <v>50</v>
      </c>
      <c r="AG93">
        <v>33</v>
      </c>
      <c r="AH93">
        <v>67</v>
      </c>
      <c r="AI93">
        <v>54</v>
      </c>
      <c r="AJ93">
        <v>46</v>
      </c>
      <c r="AK93">
        <v>76</v>
      </c>
      <c r="AL93">
        <v>24</v>
      </c>
      <c r="AM93">
        <v>0</v>
      </c>
      <c r="AN93">
        <v>0</v>
      </c>
      <c r="AO93">
        <v>0</v>
      </c>
      <c r="AP93">
        <v>0</v>
      </c>
      <c r="AQ93">
        <v>33</v>
      </c>
      <c r="AR93">
        <v>33</v>
      </c>
      <c r="AS93">
        <v>33</v>
      </c>
      <c r="AT93">
        <v>33</v>
      </c>
      <c r="AU93">
        <v>67</v>
      </c>
      <c r="AV93">
        <v>22</v>
      </c>
      <c r="AW93">
        <v>3</v>
      </c>
      <c r="AX93">
        <v>0.6</v>
      </c>
      <c r="AY93">
        <v>6</v>
      </c>
      <c r="AZ93">
        <v>1.2</v>
      </c>
      <c r="BA93">
        <v>3</v>
      </c>
      <c r="BB93">
        <v>4</v>
      </c>
      <c r="BC93">
        <v>2</v>
      </c>
      <c r="BD93">
        <v>1</v>
      </c>
      <c r="BE93">
        <v>1</v>
      </c>
      <c r="BF93">
        <v>1</v>
      </c>
      <c r="BG93">
        <v>0</v>
      </c>
      <c r="BH93">
        <v>2</v>
      </c>
      <c r="BI93">
        <v>4</v>
      </c>
      <c r="BJ93">
        <v>4</v>
      </c>
      <c r="BK93">
        <v>1</v>
      </c>
      <c r="BL93">
        <v>6</v>
      </c>
      <c r="BM93">
        <v>1.3</v>
      </c>
      <c r="BN93">
        <v>1</v>
      </c>
      <c r="BO93">
        <v>0.3</v>
      </c>
      <c r="BP93">
        <v>1.5</v>
      </c>
      <c r="BQ93">
        <v>1</v>
      </c>
      <c r="BR93">
        <v>1</v>
      </c>
      <c r="BS93">
        <v>1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6</v>
      </c>
      <c r="BZ93">
        <v>1.2</v>
      </c>
      <c r="CA93">
        <v>7</v>
      </c>
      <c r="CB93">
        <v>1.4</v>
      </c>
      <c r="CC93">
        <v>3</v>
      </c>
      <c r="CD93">
        <v>4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2</v>
      </c>
      <c r="CK93">
        <v>3</v>
      </c>
      <c r="CL93">
        <v>5</v>
      </c>
      <c r="CM93">
        <v>4</v>
      </c>
      <c r="CN93">
        <v>5</v>
      </c>
      <c r="CO93">
        <v>1</v>
      </c>
      <c r="CP93">
        <v>1.3</v>
      </c>
      <c r="CQ93">
        <v>1.3</v>
      </c>
      <c r="CR93">
        <v>1.3</v>
      </c>
      <c r="CS93">
        <v>1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1</v>
      </c>
      <c r="CZ93">
        <v>1</v>
      </c>
    </row>
    <row r="94" spans="1:104" x14ac:dyDescent="0.25">
      <c r="A94" s="1" t="s">
        <v>754</v>
      </c>
      <c r="B94">
        <v>1353</v>
      </c>
      <c r="C94">
        <v>1361</v>
      </c>
      <c r="D94" s="2">
        <v>43725</v>
      </c>
      <c r="E94" s="3">
        <f t="shared" si="3"/>
        <v>2019</v>
      </c>
      <c r="F94" s="3">
        <f t="shared" si="4"/>
        <v>9</v>
      </c>
      <c r="G94" s="3">
        <f t="shared" si="5"/>
        <v>3</v>
      </c>
      <c r="H94" t="s">
        <v>755</v>
      </c>
      <c r="I94">
        <v>582</v>
      </c>
      <c r="J94" t="s">
        <v>248</v>
      </c>
      <c r="K94" t="s">
        <v>241</v>
      </c>
      <c r="L94">
        <v>2019</v>
      </c>
      <c r="M94" t="s">
        <v>168</v>
      </c>
      <c r="N94" t="s">
        <v>755</v>
      </c>
      <c r="O94" t="s">
        <v>756</v>
      </c>
      <c r="P94">
        <v>15728</v>
      </c>
      <c r="Q94" t="s">
        <v>241</v>
      </c>
      <c r="R94">
        <v>1879</v>
      </c>
      <c r="S94" t="s">
        <v>757</v>
      </c>
      <c r="T94" t="s">
        <v>758</v>
      </c>
      <c r="U94">
        <v>10083</v>
      </c>
      <c r="V94" t="s">
        <v>241</v>
      </c>
      <c r="W94">
        <v>1937</v>
      </c>
      <c r="X94" t="s">
        <v>125</v>
      </c>
      <c r="Z94">
        <v>-3.5</v>
      </c>
      <c r="AA94">
        <v>-1.5</v>
      </c>
      <c r="AB94">
        <v>10</v>
      </c>
      <c r="AC94">
        <v>45</v>
      </c>
      <c r="AD94">
        <v>45</v>
      </c>
      <c r="AE94">
        <v>56</v>
      </c>
      <c r="AF94">
        <v>44</v>
      </c>
      <c r="AG94">
        <v>73</v>
      </c>
      <c r="AH94">
        <v>27</v>
      </c>
      <c r="AI94">
        <v>38</v>
      </c>
      <c r="AJ94">
        <v>63</v>
      </c>
      <c r="AK94">
        <v>0</v>
      </c>
      <c r="AL94">
        <v>0</v>
      </c>
      <c r="AM94">
        <v>29</v>
      </c>
      <c r="AN94">
        <v>71</v>
      </c>
      <c r="AO94">
        <v>42</v>
      </c>
      <c r="AP94">
        <v>58</v>
      </c>
      <c r="AQ94">
        <v>67</v>
      </c>
      <c r="AR94">
        <v>73</v>
      </c>
      <c r="AS94">
        <v>67</v>
      </c>
      <c r="AT94">
        <v>53</v>
      </c>
      <c r="AU94">
        <v>27</v>
      </c>
      <c r="AV94">
        <v>80</v>
      </c>
      <c r="AW94">
        <v>11</v>
      </c>
      <c r="AX94">
        <v>2.2000000000000002</v>
      </c>
      <c r="AY94">
        <v>5</v>
      </c>
      <c r="AZ94">
        <v>1</v>
      </c>
      <c r="BA94">
        <v>4</v>
      </c>
      <c r="BB94">
        <v>4</v>
      </c>
      <c r="BC94">
        <v>3</v>
      </c>
      <c r="BD94">
        <v>2</v>
      </c>
      <c r="BE94">
        <v>0</v>
      </c>
      <c r="BF94">
        <v>2</v>
      </c>
      <c r="BG94">
        <v>1</v>
      </c>
      <c r="BH94">
        <v>0</v>
      </c>
      <c r="BI94">
        <v>9</v>
      </c>
      <c r="BJ94">
        <v>8</v>
      </c>
      <c r="BK94">
        <v>4</v>
      </c>
      <c r="BL94">
        <v>4</v>
      </c>
      <c r="BM94">
        <v>2.2999999999999998</v>
      </c>
      <c r="BN94">
        <v>2</v>
      </c>
      <c r="BO94">
        <v>1</v>
      </c>
      <c r="BP94">
        <v>1</v>
      </c>
      <c r="BQ94">
        <v>7</v>
      </c>
      <c r="BR94">
        <v>9</v>
      </c>
      <c r="BS94">
        <v>1</v>
      </c>
      <c r="BT94">
        <v>4</v>
      </c>
      <c r="BU94">
        <v>2</v>
      </c>
      <c r="BV94">
        <v>2</v>
      </c>
      <c r="BW94">
        <v>4</v>
      </c>
      <c r="BX94">
        <v>3</v>
      </c>
      <c r="BY94">
        <v>4</v>
      </c>
      <c r="BZ94">
        <v>0.8</v>
      </c>
      <c r="CA94">
        <v>3</v>
      </c>
      <c r="CB94">
        <v>0.6</v>
      </c>
      <c r="CC94">
        <v>4</v>
      </c>
      <c r="CD94">
        <v>4</v>
      </c>
      <c r="CE94">
        <v>1</v>
      </c>
      <c r="CF94">
        <v>1</v>
      </c>
      <c r="CG94">
        <v>2</v>
      </c>
      <c r="CH94">
        <v>1</v>
      </c>
      <c r="CI94">
        <v>1</v>
      </c>
      <c r="CJ94">
        <v>2</v>
      </c>
      <c r="CK94">
        <v>3</v>
      </c>
      <c r="CL94">
        <v>3</v>
      </c>
      <c r="CM94">
        <v>3</v>
      </c>
      <c r="CN94">
        <v>4</v>
      </c>
      <c r="CO94">
        <v>0.8</v>
      </c>
      <c r="CP94">
        <v>0.8</v>
      </c>
      <c r="CQ94">
        <v>0.8</v>
      </c>
      <c r="CR94">
        <v>1</v>
      </c>
      <c r="CS94">
        <v>9</v>
      </c>
      <c r="CT94">
        <v>7</v>
      </c>
      <c r="CU94">
        <v>3</v>
      </c>
      <c r="CV94">
        <v>4</v>
      </c>
      <c r="CW94">
        <v>2</v>
      </c>
      <c r="CX94">
        <v>2</v>
      </c>
      <c r="CY94">
        <v>4</v>
      </c>
      <c r="CZ94">
        <v>1</v>
      </c>
    </row>
    <row r="95" spans="1:104" x14ac:dyDescent="0.25">
      <c r="A95" s="1" t="s">
        <v>759</v>
      </c>
      <c r="B95">
        <v>1441</v>
      </c>
      <c r="C95">
        <v>836</v>
      </c>
      <c r="D95" s="2">
        <v>44049</v>
      </c>
      <c r="E95" s="3">
        <f t="shared" si="3"/>
        <v>2020</v>
      </c>
      <c r="F95" s="3">
        <f t="shared" si="4"/>
        <v>8</v>
      </c>
      <c r="G95" s="3">
        <f t="shared" si="5"/>
        <v>5</v>
      </c>
      <c r="H95" t="s">
        <v>760</v>
      </c>
      <c r="I95">
        <v>1353</v>
      </c>
      <c r="J95" t="s">
        <v>761</v>
      </c>
      <c r="K95" t="s">
        <v>372</v>
      </c>
      <c r="L95">
        <v>2020</v>
      </c>
      <c r="M95" t="s">
        <v>209</v>
      </c>
      <c r="N95" t="s">
        <v>762</v>
      </c>
      <c r="O95" t="s">
        <v>763</v>
      </c>
      <c r="P95">
        <v>45000</v>
      </c>
      <c r="Q95" t="s">
        <v>372</v>
      </c>
      <c r="R95">
        <v>2013</v>
      </c>
      <c r="S95" t="s">
        <v>764</v>
      </c>
      <c r="T95" t="s">
        <v>765</v>
      </c>
      <c r="U95">
        <v>16000</v>
      </c>
      <c r="V95" t="s">
        <v>372</v>
      </c>
      <c r="W95">
        <v>2005</v>
      </c>
      <c r="X95">
        <v>2</v>
      </c>
      <c r="Z95">
        <v>-1.5</v>
      </c>
      <c r="AA95">
        <v>-4.5</v>
      </c>
      <c r="AB95">
        <v>0</v>
      </c>
      <c r="AC95">
        <v>50</v>
      </c>
      <c r="AD95">
        <v>50</v>
      </c>
      <c r="AE95">
        <v>14</v>
      </c>
      <c r="AF95">
        <v>86</v>
      </c>
      <c r="AG95">
        <v>22</v>
      </c>
      <c r="AH95">
        <v>78</v>
      </c>
      <c r="AI95">
        <v>20</v>
      </c>
      <c r="AJ95">
        <v>80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17</v>
      </c>
      <c r="AR95">
        <v>14</v>
      </c>
      <c r="AS95">
        <v>71</v>
      </c>
      <c r="AT95">
        <v>100</v>
      </c>
      <c r="AU95">
        <v>50</v>
      </c>
      <c r="AV95">
        <v>93</v>
      </c>
      <c r="AW95">
        <v>2</v>
      </c>
      <c r="AX95">
        <v>1</v>
      </c>
      <c r="AY95">
        <v>4</v>
      </c>
      <c r="AZ95">
        <v>2</v>
      </c>
      <c r="BA95">
        <v>0</v>
      </c>
      <c r="BB95">
        <v>2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2</v>
      </c>
      <c r="BK95">
        <v>0</v>
      </c>
      <c r="BL95">
        <v>4</v>
      </c>
      <c r="BM95">
        <v>0</v>
      </c>
      <c r="BN95">
        <v>1</v>
      </c>
      <c r="BO95">
        <v>0</v>
      </c>
      <c r="BP95">
        <v>2</v>
      </c>
      <c r="BQ95">
        <v>1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0</v>
      </c>
      <c r="BY95">
        <v>7</v>
      </c>
      <c r="BZ95">
        <v>3.5</v>
      </c>
      <c r="CA95">
        <v>1</v>
      </c>
      <c r="CB95">
        <v>0.5</v>
      </c>
      <c r="CC95">
        <v>1</v>
      </c>
      <c r="CD95">
        <v>1</v>
      </c>
      <c r="CE95">
        <v>1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4</v>
      </c>
      <c r="CL95">
        <v>3</v>
      </c>
      <c r="CM95">
        <v>0</v>
      </c>
      <c r="CN95">
        <v>1</v>
      </c>
      <c r="CO95">
        <v>4</v>
      </c>
      <c r="CP95">
        <v>3</v>
      </c>
      <c r="CQ95">
        <v>0</v>
      </c>
      <c r="CR95">
        <v>1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1</v>
      </c>
      <c r="CY95">
        <v>0</v>
      </c>
      <c r="CZ95">
        <v>0</v>
      </c>
    </row>
    <row r="96" spans="1:104" x14ac:dyDescent="0.25">
      <c r="A96" s="1" t="s">
        <v>766</v>
      </c>
      <c r="B96">
        <v>12262</v>
      </c>
      <c r="C96">
        <v>12265</v>
      </c>
      <c r="D96" s="2">
        <v>44081</v>
      </c>
      <c r="E96" s="3">
        <f t="shared" si="3"/>
        <v>2020</v>
      </c>
      <c r="F96" s="3">
        <f t="shared" si="4"/>
        <v>9</v>
      </c>
      <c r="G96" s="3">
        <f t="shared" si="5"/>
        <v>2</v>
      </c>
      <c r="H96" t="s">
        <v>767</v>
      </c>
      <c r="I96">
        <v>2129</v>
      </c>
      <c r="J96" t="s">
        <v>216</v>
      </c>
      <c r="K96" t="s">
        <v>768</v>
      </c>
      <c r="L96">
        <v>2020</v>
      </c>
      <c r="M96" t="s">
        <v>218</v>
      </c>
      <c r="Q96" t="s">
        <v>768</v>
      </c>
      <c r="S96" t="s">
        <v>769</v>
      </c>
      <c r="T96" t="s">
        <v>770</v>
      </c>
      <c r="U96">
        <v>8000</v>
      </c>
      <c r="V96" t="s">
        <v>768</v>
      </c>
      <c r="W96">
        <v>1960</v>
      </c>
      <c r="X96" t="s">
        <v>125</v>
      </c>
      <c r="Z96">
        <v>-2.5</v>
      </c>
      <c r="AA96">
        <v>-2.5</v>
      </c>
      <c r="AB96">
        <v>10</v>
      </c>
      <c r="AC96">
        <v>45</v>
      </c>
      <c r="AD96">
        <v>45</v>
      </c>
      <c r="AE96">
        <v>44</v>
      </c>
      <c r="AF96">
        <v>56</v>
      </c>
      <c r="AG96">
        <v>46</v>
      </c>
      <c r="AH96">
        <v>54</v>
      </c>
      <c r="AI96">
        <v>50</v>
      </c>
      <c r="AJ96">
        <v>50</v>
      </c>
      <c r="AK96">
        <v>44</v>
      </c>
      <c r="AL96">
        <v>56</v>
      </c>
      <c r="AM96">
        <v>0</v>
      </c>
      <c r="AN96">
        <v>100</v>
      </c>
      <c r="AO96">
        <v>0</v>
      </c>
      <c r="AP96">
        <v>100</v>
      </c>
      <c r="AQ96">
        <v>27</v>
      </c>
      <c r="AR96">
        <v>67</v>
      </c>
      <c r="AS96">
        <v>22</v>
      </c>
      <c r="AT96">
        <v>33</v>
      </c>
      <c r="AU96">
        <v>78</v>
      </c>
      <c r="AV96">
        <v>22</v>
      </c>
      <c r="AW96">
        <v>6</v>
      </c>
      <c r="AX96">
        <v>1.2</v>
      </c>
      <c r="AY96">
        <v>7</v>
      </c>
      <c r="AZ96">
        <v>1.4</v>
      </c>
      <c r="BA96">
        <v>7</v>
      </c>
      <c r="BB96">
        <v>6</v>
      </c>
      <c r="BC96">
        <v>3</v>
      </c>
      <c r="BD96">
        <v>1</v>
      </c>
      <c r="BE96">
        <v>2</v>
      </c>
      <c r="BF96">
        <v>1</v>
      </c>
      <c r="BG96">
        <v>2</v>
      </c>
      <c r="BH96">
        <v>4</v>
      </c>
      <c r="BI96">
        <v>11</v>
      </c>
      <c r="BJ96">
        <v>4</v>
      </c>
      <c r="BK96">
        <v>14</v>
      </c>
      <c r="BL96">
        <v>8</v>
      </c>
      <c r="BM96">
        <v>1.6</v>
      </c>
      <c r="BN96">
        <v>0.7</v>
      </c>
      <c r="BO96">
        <v>2</v>
      </c>
      <c r="BP96">
        <v>1.3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7</v>
      </c>
      <c r="BZ96">
        <v>1.4</v>
      </c>
      <c r="CA96">
        <v>7</v>
      </c>
      <c r="CB96">
        <v>1.4</v>
      </c>
      <c r="CC96">
        <v>6</v>
      </c>
      <c r="CD96">
        <v>7</v>
      </c>
      <c r="CE96">
        <v>4</v>
      </c>
      <c r="CF96">
        <v>2</v>
      </c>
      <c r="CG96">
        <v>2</v>
      </c>
      <c r="CH96">
        <v>2</v>
      </c>
      <c r="CI96">
        <v>0</v>
      </c>
      <c r="CJ96">
        <v>3</v>
      </c>
      <c r="CK96">
        <v>10</v>
      </c>
      <c r="CL96">
        <v>12</v>
      </c>
      <c r="CM96">
        <v>5</v>
      </c>
      <c r="CN96">
        <v>13</v>
      </c>
      <c r="CO96">
        <v>1.7</v>
      </c>
      <c r="CP96">
        <v>1.7</v>
      </c>
      <c r="CQ96">
        <v>0.8</v>
      </c>
      <c r="CR96">
        <v>1.9</v>
      </c>
      <c r="CS96">
        <v>1</v>
      </c>
      <c r="CT96">
        <v>0</v>
      </c>
      <c r="CU96">
        <v>1</v>
      </c>
      <c r="CV96">
        <v>0</v>
      </c>
      <c r="CW96">
        <v>0</v>
      </c>
      <c r="CX96">
        <v>0</v>
      </c>
      <c r="CY96">
        <v>0</v>
      </c>
      <c r="CZ96">
        <v>0</v>
      </c>
    </row>
    <row r="97" spans="1:104" x14ac:dyDescent="0.25">
      <c r="A97" s="1" t="s">
        <v>771</v>
      </c>
      <c r="B97">
        <v>9812</v>
      </c>
      <c r="C97">
        <v>9823</v>
      </c>
      <c r="D97" s="2">
        <v>43793</v>
      </c>
      <c r="E97" s="3">
        <f t="shared" si="3"/>
        <v>2019</v>
      </c>
      <c r="F97" s="3">
        <f t="shared" si="4"/>
        <v>11</v>
      </c>
      <c r="G97" s="3">
        <f t="shared" si="5"/>
        <v>1</v>
      </c>
      <c r="H97" t="s">
        <v>772</v>
      </c>
      <c r="I97">
        <v>1281</v>
      </c>
      <c r="J97" t="s">
        <v>749</v>
      </c>
      <c r="K97" t="s">
        <v>380</v>
      </c>
      <c r="L97">
        <v>2019</v>
      </c>
      <c r="M97" t="s">
        <v>773</v>
      </c>
      <c r="N97" t="s">
        <v>772</v>
      </c>
      <c r="O97" t="s">
        <v>774</v>
      </c>
      <c r="P97">
        <v>1000</v>
      </c>
      <c r="Q97" t="s">
        <v>380</v>
      </c>
      <c r="R97">
        <v>2009</v>
      </c>
      <c r="S97" t="s">
        <v>775</v>
      </c>
      <c r="T97" t="s">
        <v>776</v>
      </c>
      <c r="U97">
        <v>4000</v>
      </c>
      <c r="V97" t="s">
        <v>380</v>
      </c>
      <c r="X97" t="s">
        <v>109</v>
      </c>
      <c r="Y97">
        <v>-3.5</v>
      </c>
      <c r="Z97">
        <v>-1.5</v>
      </c>
      <c r="AA97">
        <v>-1.5</v>
      </c>
      <c r="AB97">
        <v>45</v>
      </c>
      <c r="AC97">
        <v>45</v>
      </c>
      <c r="AD97">
        <v>10</v>
      </c>
      <c r="AE97">
        <v>58</v>
      </c>
      <c r="AF97">
        <v>42</v>
      </c>
      <c r="AG97">
        <v>60</v>
      </c>
      <c r="AH97">
        <v>40</v>
      </c>
      <c r="AI97">
        <v>42</v>
      </c>
      <c r="AJ97">
        <v>58</v>
      </c>
      <c r="AK97">
        <v>59</v>
      </c>
      <c r="AL97">
        <v>41</v>
      </c>
      <c r="AM97">
        <v>0</v>
      </c>
      <c r="AN97">
        <v>0</v>
      </c>
      <c r="AO97">
        <v>0</v>
      </c>
      <c r="AP97">
        <v>0</v>
      </c>
      <c r="AQ97">
        <v>47</v>
      </c>
      <c r="AR97">
        <v>38</v>
      </c>
      <c r="AS97">
        <v>56</v>
      </c>
      <c r="AT97">
        <v>33</v>
      </c>
      <c r="AU97">
        <v>25</v>
      </c>
      <c r="AV97">
        <v>69</v>
      </c>
      <c r="AW97">
        <v>6</v>
      </c>
      <c r="AX97">
        <v>1.2</v>
      </c>
      <c r="AY97">
        <v>7</v>
      </c>
      <c r="AZ97">
        <v>1.4</v>
      </c>
      <c r="BA97">
        <v>5</v>
      </c>
      <c r="BB97">
        <v>7</v>
      </c>
      <c r="BC97">
        <v>2</v>
      </c>
      <c r="BD97">
        <v>2</v>
      </c>
      <c r="BE97">
        <v>2</v>
      </c>
      <c r="BF97">
        <v>0</v>
      </c>
      <c r="BG97">
        <v>1</v>
      </c>
      <c r="BH97">
        <v>5</v>
      </c>
      <c r="BI97">
        <v>7</v>
      </c>
      <c r="BJ97">
        <v>8</v>
      </c>
      <c r="BK97">
        <v>7</v>
      </c>
      <c r="BL97">
        <v>14</v>
      </c>
      <c r="BM97">
        <v>1.4</v>
      </c>
      <c r="BN97">
        <v>1.1000000000000001</v>
      </c>
      <c r="BO97">
        <v>1.4</v>
      </c>
      <c r="BP97">
        <v>2</v>
      </c>
      <c r="BQ97">
        <v>1</v>
      </c>
      <c r="BR97">
        <v>0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4</v>
      </c>
      <c r="BZ97">
        <v>0.8</v>
      </c>
      <c r="CA97">
        <v>5</v>
      </c>
      <c r="CB97">
        <v>1</v>
      </c>
      <c r="CC97">
        <v>7</v>
      </c>
      <c r="CD97">
        <v>5</v>
      </c>
      <c r="CE97">
        <v>2</v>
      </c>
      <c r="CF97">
        <v>1</v>
      </c>
      <c r="CG97">
        <v>3</v>
      </c>
      <c r="CH97">
        <v>2</v>
      </c>
      <c r="CI97">
        <v>2</v>
      </c>
      <c r="CJ97">
        <v>2</v>
      </c>
      <c r="CK97">
        <v>11</v>
      </c>
      <c r="CL97">
        <v>2</v>
      </c>
      <c r="CM97">
        <v>8</v>
      </c>
      <c r="CN97">
        <v>4</v>
      </c>
      <c r="CO97">
        <v>1.6</v>
      </c>
      <c r="CP97">
        <v>0.4</v>
      </c>
      <c r="CQ97">
        <v>1.1000000000000001</v>
      </c>
      <c r="CR97">
        <v>0.8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1</v>
      </c>
      <c r="CY97">
        <v>0</v>
      </c>
      <c r="CZ97">
        <v>0</v>
      </c>
    </row>
    <row r="98" spans="1:104" x14ac:dyDescent="0.25">
      <c r="A98" s="1" t="s">
        <v>777</v>
      </c>
      <c r="B98">
        <v>415</v>
      </c>
      <c r="C98">
        <v>208</v>
      </c>
      <c r="D98" s="2">
        <v>43763</v>
      </c>
      <c r="E98" s="3">
        <f t="shared" si="3"/>
        <v>2019</v>
      </c>
      <c r="F98" s="3">
        <f t="shared" si="4"/>
        <v>10</v>
      </c>
      <c r="G98" s="3">
        <f t="shared" si="5"/>
        <v>6</v>
      </c>
      <c r="H98" t="s">
        <v>778</v>
      </c>
      <c r="I98">
        <v>566</v>
      </c>
      <c r="J98" t="s">
        <v>779</v>
      </c>
      <c r="K98" t="s">
        <v>286</v>
      </c>
      <c r="L98">
        <v>2019</v>
      </c>
      <c r="M98" t="s">
        <v>780</v>
      </c>
      <c r="N98" t="s">
        <v>778</v>
      </c>
      <c r="O98" t="s">
        <v>781</v>
      </c>
      <c r="P98">
        <v>30205</v>
      </c>
      <c r="Q98" t="s">
        <v>286</v>
      </c>
      <c r="R98">
        <v>1965</v>
      </c>
      <c r="S98" t="s">
        <v>782</v>
      </c>
      <c r="T98" t="s">
        <v>783</v>
      </c>
      <c r="U98">
        <v>8600</v>
      </c>
      <c r="V98" t="s">
        <v>286</v>
      </c>
      <c r="W98">
        <v>1985</v>
      </c>
      <c r="X98" t="s">
        <v>125</v>
      </c>
      <c r="Y98">
        <v>1.5</v>
      </c>
      <c r="Z98">
        <v>-2.5</v>
      </c>
      <c r="AA98">
        <v>-2.5</v>
      </c>
      <c r="AB98">
        <v>10</v>
      </c>
      <c r="AC98">
        <v>45</v>
      </c>
      <c r="AD98">
        <v>45</v>
      </c>
      <c r="AE98">
        <v>30</v>
      </c>
      <c r="AF98">
        <v>70</v>
      </c>
      <c r="AG98">
        <v>44</v>
      </c>
      <c r="AH98">
        <v>56</v>
      </c>
      <c r="AI98">
        <v>41</v>
      </c>
      <c r="AJ98">
        <v>59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20</v>
      </c>
      <c r="AR98">
        <v>50</v>
      </c>
      <c r="AS98">
        <v>7</v>
      </c>
      <c r="AT98">
        <v>47</v>
      </c>
      <c r="AU98">
        <v>64</v>
      </c>
      <c r="AV98">
        <v>36</v>
      </c>
      <c r="AW98">
        <v>7</v>
      </c>
      <c r="AX98">
        <v>1.4</v>
      </c>
      <c r="AY98">
        <v>13</v>
      </c>
      <c r="AZ98">
        <v>2.6</v>
      </c>
      <c r="BA98">
        <v>5</v>
      </c>
      <c r="BB98">
        <v>5</v>
      </c>
      <c r="BC98">
        <v>1</v>
      </c>
      <c r="BD98">
        <v>2</v>
      </c>
      <c r="BE98">
        <v>2</v>
      </c>
      <c r="BF98">
        <v>1</v>
      </c>
      <c r="BG98">
        <v>2</v>
      </c>
      <c r="BH98">
        <v>2</v>
      </c>
      <c r="BI98">
        <v>9</v>
      </c>
      <c r="BJ98">
        <v>8</v>
      </c>
      <c r="BK98">
        <v>9</v>
      </c>
      <c r="BL98">
        <v>10</v>
      </c>
      <c r="BM98">
        <v>1.8</v>
      </c>
      <c r="BN98">
        <v>1.6</v>
      </c>
      <c r="BO98">
        <v>1.8</v>
      </c>
      <c r="BP98">
        <v>2</v>
      </c>
      <c r="BQ98">
        <v>1</v>
      </c>
      <c r="BR98">
        <v>1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9</v>
      </c>
      <c r="BZ98">
        <v>1.8</v>
      </c>
      <c r="CA98">
        <v>9</v>
      </c>
      <c r="CB98">
        <v>1.8</v>
      </c>
      <c r="CC98">
        <v>6</v>
      </c>
      <c r="CD98">
        <v>4</v>
      </c>
      <c r="CE98">
        <v>3</v>
      </c>
      <c r="CF98">
        <v>0</v>
      </c>
      <c r="CG98">
        <v>1</v>
      </c>
      <c r="CH98">
        <v>0</v>
      </c>
      <c r="CI98">
        <v>2</v>
      </c>
      <c r="CJ98">
        <v>4</v>
      </c>
      <c r="CK98">
        <v>11</v>
      </c>
      <c r="CL98">
        <v>2</v>
      </c>
      <c r="CM98">
        <v>8</v>
      </c>
      <c r="CN98">
        <v>12</v>
      </c>
      <c r="CO98">
        <v>1.8</v>
      </c>
      <c r="CP98">
        <v>0.5</v>
      </c>
      <c r="CQ98">
        <v>1.3</v>
      </c>
      <c r="CR98">
        <v>3</v>
      </c>
      <c r="CS98">
        <v>1</v>
      </c>
      <c r="CT98">
        <v>1</v>
      </c>
      <c r="CU98">
        <v>1</v>
      </c>
      <c r="CV98">
        <v>0</v>
      </c>
      <c r="CW98">
        <v>0</v>
      </c>
      <c r="CX98">
        <v>0</v>
      </c>
      <c r="CY98">
        <v>0</v>
      </c>
      <c r="CZ98">
        <v>1</v>
      </c>
    </row>
    <row r="99" spans="1:104" x14ac:dyDescent="0.25">
      <c r="A99" s="1" t="s">
        <v>784</v>
      </c>
      <c r="B99">
        <v>3386</v>
      </c>
      <c r="C99">
        <v>3383</v>
      </c>
      <c r="D99" s="2">
        <v>43785</v>
      </c>
      <c r="E99" s="3">
        <f t="shared" si="3"/>
        <v>2019</v>
      </c>
      <c r="F99" s="3">
        <f t="shared" si="4"/>
        <v>11</v>
      </c>
      <c r="G99" s="3">
        <f t="shared" si="5"/>
        <v>7</v>
      </c>
      <c r="H99" t="s">
        <v>785</v>
      </c>
      <c r="I99">
        <v>448</v>
      </c>
      <c r="J99" t="s">
        <v>786</v>
      </c>
      <c r="K99" t="s">
        <v>217</v>
      </c>
      <c r="L99">
        <v>2019</v>
      </c>
      <c r="M99" t="s">
        <v>787</v>
      </c>
      <c r="N99" t="s">
        <v>788</v>
      </c>
      <c r="O99" t="s">
        <v>789</v>
      </c>
      <c r="P99">
        <v>2500</v>
      </c>
      <c r="Q99" t="s">
        <v>217</v>
      </c>
      <c r="S99" t="s">
        <v>790</v>
      </c>
      <c r="T99" t="s">
        <v>791</v>
      </c>
      <c r="U99">
        <v>4000</v>
      </c>
      <c r="V99" t="s">
        <v>217</v>
      </c>
      <c r="X99" t="s">
        <v>109</v>
      </c>
      <c r="Z99">
        <v>-2.5</v>
      </c>
      <c r="AA99">
        <v>-1.5</v>
      </c>
      <c r="AB99">
        <v>45</v>
      </c>
      <c r="AC99">
        <v>45</v>
      </c>
      <c r="AD99">
        <v>10</v>
      </c>
      <c r="AE99">
        <v>67</v>
      </c>
      <c r="AF99">
        <v>33</v>
      </c>
      <c r="AG99">
        <v>100</v>
      </c>
      <c r="AH99">
        <v>0</v>
      </c>
      <c r="AI99">
        <v>46</v>
      </c>
      <c r="AJ99">
        <v>54</v>
      </c>
      <c r="AK99">
        <v>89</v>
      </c>
      <c r="AL99">
        <v>11</v>
      </c>
      <c r="AM99">
        <v>85</v>
      </c>
      <c r="AN99">
        <v>15</v>
      </c>
      <c r="AO99">
        <v>82</v>
      </c>
      <c r="AP99">
        <v>18</v>
      </c>
      <c r="AQ99">
        <v>13</v>
      </c>
      <c r="AR99">
        <v>24</v>
      </c>
      <c r="AS99">
        <v>24</v>
      </c>
      <c r="AT99">
        <v>7</v>
      </c>
      <c r="AU99">
        <v>0</v>
      </c>
      <c r="AV99">
        <v>35</v>
      </c>
      <c r="AW99">
        <v>4</v>
      </c>
      <c r="AX99">
        <v>0.8</v>
      </c>
      <c r="AY99">
        <v>13</v>
      </c>
      <c r="AZ99">
        <v>2.6</v>
      </c>
      <c r="BA99">
        <v>13</v>
      </c>
      <c r="BB99">
        <v>13</v>
      </c>
      <c r="BC99">
        <v>6</v>
      </c>
      <c r="BD99">
        <v>1</v>
      </c>
      <c r="BE99">
        <v>2</v>
      </c>
      <c r="BF99">
        <v>3</v>
      </c>
      <c r="BG99">
        <v>5</v>
      </c>
      <c r="BH99">
        <v>9</v>
      </c>
      <c r="BI99">
        <v>15</v>
      </c>
      <c r="BJ99">
        <v>8</v>
      </c>
      <c r="BK99">
        <v>16</v>
      </c>
      <c r="BL99">
        <v>37</v>
      </c>
      <c r="BM99">
        <v>1.2</v>
      </c>
      <c r="BN99">
        <v>0.6</v>
      </c>
      <c r="BO99">
        <v>1.2</v>
      </c>
      <c r="BP99">
        <v>2.8</v>
      </c>
      <c r="BQ99">
        <v>5</v>
      </c>
      <c r="BR99">
        <v>5</v>
      </c>
      <c r="BS99">
        <v>1</v>
      </c>
      <c r="BT99">
        <v>3</v>
      </c>
      <c r="BU99">
        <v>2</v>
      </c>
      <c r="BV99">
        <v>1</v>
      </c>
      <c r="BW99">
        <v>2</v>
      </c>
      <c r="BX99">
        <v>1</v>
      </c>
      <c r="BY99">
        <v>0</v>
      </c>
      <c r="BZ99">
        <v>0</v>
      </c>
      <c r="CA99">
        <v>11</v>
      </c>
      <c r="CB99">
        <v>2.2000000000000002</v>
      </c>
      <c r="CC99">
        <v>13</v>
      </c>
      <c r="CD99">
        <v>13</v>
      </c>
      <c r="CE99">
        <v>0</v>
      </c>
      <c r="CF99">
        <v>0</v>
      </c>
      <c r="CG99">
        <v>1</v>
      </c>
      <c r="CH99">
        <v>2</v>
      </c>
      <c r="CI99">
        <v>12</v>
      </c>
      <c r="CJ99">
        <v>11</v>
      </c>
      <c r="CK99">
        <v>5</v>
      </c>
      <c r="CL99">
        <v>4</v>
      </c>
      <c r="CM99">
        <v>40</v>
      </c>
      <c r="CN99">
        <v>39</v>
      </c>
      <c r="CO99">
        <v>0.4</v>
      </c>
      <c r="CP99">
        <v>0.3</v>
      </c>
      <c r="CQ99">
        <v>3.1</v>
      </c>
      <c r="CR99">
        <v>3</v>
      </c>
      <c r="CS99">
        <v>5</v>
      </c>
      <c r="CT99">
        <v>5</v>
      </c>
      <c r="CU99">
        <v>1</v>
      </c>
      <c r="CV99">
        <v>2</v>
      </c>
      <c r="CW99">
        <v>1</v>
      </c>
      <c r="CX99">
        <v>2</v>
      </c>
      <c r="CY99">
        <v>3</v>
      </c>
      <c r="CZ99">
        <v>1</v>
      </c>
    </row>
    <row r="100" spans="1:104" x14ac:dyDescent="0.25">
      <c r="A100" s="1" t="s">
        <v>792</v>
      </c>
      <c r="B100">
        <v>2049</v>
      </c>
      <c r="C100">
        <v>2057</v>
      </c>
      <c r="D100" s="2">
        <v>43869</v>
      </c>
      <c r="E100" s="3">
        <f t="shared" si="3"/>
        <v>2020</v>
      </c>
      <c r="F100" s="3">
        <f t="shared" si="4"/>
        <v>2</v>
      </c>
      <c r="G100" s="3">
        <f t="shared" si="5"/>
        <v>7</v>
      </c>
      <c r="H100" t="s">
        <v>793</v>
      </c>
      <c r="I100">
        <v>777</v>
      </c>
      <c r="J100" t="s">
        <v>794</v>
      </c>
      <c r="K100" t="s">
        <v>795</v>
      </c>
      <c r="L100">
        <v>2019</v>
      </c>
      <c r="M100" t="s">
        <v>796</v>
      </c>
      <c r="N100" t="s">
        <v>797</v>
      </c>
      <c r="O100" t="s">
        <v>798</v>
      </c>
      <c r="P100">
        <v>3000</v>
      </c>
      <c r="Q100" t="s">
        <v>795</v>
      </c>
      <c r="S100" t="s">
        <v>799</v>
      </c>
      <c r="T100" t="s">
        <v>800</v>
      </c>
      <c r="U100">
        <v>2000</v>
      </c>
      <c r="V100" t="s">
        <v>795</v>
      </c>
      <c r="X100" t="s">
        <v>109</v>
      </c>
      <c r="Z100">
        <v>-2.5</v>
      </c>
      <c r="AA100">
        <v>-2.5</v>
      </c>
      <c r="AB100">
        <v>45</v>
      </c>
      <c r="AC100">
        <v>45</v>
      </c>
      <c r="AD100">
        <v>10</v>
      </c>
      <c r="AE100">
        <v>50</v>
      </c>
      <c r="AF100">
        <v>50</v>
      </c>
      <c r="AG100">
        <v>14</v>
      </c>
      <c r="AH100">
        <v>86</v>
      </c>
      <c r="AI100">
        <v>82</v>
      </c>
      <c r="AJ100">
        <v>18</v>
      </c>
      <c r="AK100">
        <v>62</v>
      </c>
      <c r="AL100">
        <v>38</v>
      </c>
      <c r="AM100">
        <v>80</v>
      </c>
      <c r="AN100">
        <v>20</v>
      </c>
      <c r="AO100">
        <v>80</v>
      </c>
      <c r="AP100">
        <v>20</v>
      </c>
      <c r="AQ100">
        <v>27</v>
      </c>
      <c r="AR100">
        <v>10</v>
      </c>
      <c r="AS100">
        <v>85</v>
      </c>
      <c r="AT100">
        <v>27</v>
      </c>
      <c r="AU100">
        <v>60</v>
      </c>
      <c r="AV100">
        <v>30</v>
      </c>
      <c r="AW100">
        <v>2</v>
      </c>
      <c r="AX100">
        <v>0.4</v>
      </c>
      <c r="AY100">
        <v>3</v>
      </c>
      <c r="AZ100">
        <v>0.6</v>
      </c>
      <c r="BA100">
        <v>12</v>
      </c>
      <c r="BB100">
        <v>13</v>
      </c>
      <c r="BC100">
        <v>7</v>
      </c>
      <c r="BD100">
        <v>1</v>
      </c>
      <c r="BE100">
        <v>4</v>
      </c>
      <c r="BF100">
        <v>6</v>
      </c>
      <c r="BG100">
        <v>1</v>
      </c>
      <c r="BH100">
        <v>6</v>
      </c>
      <c r="BI100">
        <v>17</v>
      </c>
      <c r="BJ100">
        <v>7</v>
      </c>
      <c r="BK100">
        <v>10</v>
      </c>
      <c r="BL100">
        <v>15</v>
      </c>
      <c r="BM100">
        <v>1.4</v>
      </c>
      <c r="BN100">
        <v>0.5</v>
      </c>
      <c r="BO100">
        <v>0.8</v>
      </c>
      <c r="BP100">
        <v>1.2</v>
      </c>
      <c r="BQ100">
        <v>3</v>
      </c>
      <c r="BR100">
        <v>2</v>
      </c>
      <c r="BS100">
        <v>1</v>
      </c>
      <c r="BT100">
        <v>1</v>
      </c>
      <c r="BU100">
        <v>2</v>
      </c>
      <c r="BV100">
        <v>1</v>
      </c>
      <c r="BW100">
        <v>0</v>
      </c>
      <c r="BX100">
        <v>0</v>
      </c>
      <c r="BY100">
        <v>12</v>
      </c>
      <c r="BZ100">
        <v>2.4</v>
      </c>
      <c r="CA100">
        <v>14</v>
      </c>
      <c r="CB100">
        <v>2.8</v>
      </c>
      <c r="CC100">
        <v>10</v>
      </c>
      <c r="CD100">
        <v>10</v>
      </c>
      <c r="CE100">
        <v>2</v>
      </c>
      <c r="CF100">
        <v>4</v>
      </c>
      <c r="CG100">
        <v>4</v>
      </c>
      <c r="CH100">
        <v>1</v>
      </c>
      <c r="CI100">
        <v>4</v>
      </c>
      <c r="CJ100">
        <v>5</v>
      </c>
      <c r="CK100">
        <v>17</v>
      </c>
      <c r="CL100">
        <v>17</v>
      </c>
      <c r="CM100">
        <v>18</v>
      </c>
      <c r="CN100">
        <v>23</v>
      </c>
      <c r="CO100">
        <v>1.7</v>
      </c>
      <c r="CP100">
        <v>1.7</v>
      </c>
      <c r="CQ100">
        <v>1.8</v>
      </c>
      <c r="CR100">
        <v>2.2999999999999998</v>
      </c>
      <c r="CS100">
        <v>2</v>
      </c>
      <c r="CT100">
        <v>3</v>
      </c>
      <c r="CU100">
        <v>0</v>
      </c>
      <c r="CV100">
        <v>0</v>
      </c>
      <c r="CW100">
        <v>1</v>
      </c>
      <c r="CX100">
        <v>2</v>
      </c>
      <c r="CY100">
        <v>1</v>
      </c>
      <c r="CZ100">
        <v>1</v>
      </c>
    </row>
    <row r="101" spans="1:104" x14ac:dyDescent="0.25">
      <c r="A101" s="1" t="s">
        <v>801</v>
      </c>
      <c r="B101">
        <v>10921</v>
      </c>
      <c r="C101">
        <v>14132</v>
      </c>
      <c r="D101" s="2">
        <v>44069</v>
      </c>
      <c r="E101" s="3">
        <f t="shared" si="3"/>
        <v>2020</v>
      </c>
      <c r="F101" s="3">
        <f t="shared" si="4"/>
        <v>8</v>
      </c>
      <c r="G101" s="3">
        <f t="shared" si="5"/>
        <v>4</v>
      </c>
      <c r="H101" t="s">
        <v>802</v>
      </c>
      <c r="I101">
        <v>2732</v>
      </c>
      <c r="J101" t="s">
        <v>803</v>
      </c>
      <c r="K101" t="s">
        <v>279</v>
      </c>
      <c r="L101">
        <v>2020</v>
      </c>
      <c r="M101" t="s">
        <v>458</v>
      </c>
      <c r="Q101" t="s">
        <v>279</v>
      </c>
      <c r="V101" t="s">
        <v>279</v>
      </c>
      <c r="X101" t="s">
        <v>125</v>
      </c>
      <c r="Y101">
        <v>-3.5</v>
      </c>
      <c r="Z101">
        <v>-1.5</v>
      </c>
      <c r="AA101">
        <v>-2.5</v>
      </c>
      <c r="AB101">
        <v>0</v>
      </c>
      <c r="AC101">
        <v>50</v>
      </c>
      <c r="AD101">
        <v>50</v>
      </c>
      <c r="AE101">
        <v>35</v>
      </c>
      <c r="AF101">
        <v>65</v>
      </c>
      <c r="AG101">
        <v>27</v>
      </c>
      <c r="AH101">
        <v>73</v>
      </c>
      <c r="AI101">
        <v>33</v>
      </c>
      <c r="AJ101">
        <v>67</v>
      </c>
      <c r="AK101">
        <v>40</v>
      </c>
      <c r="AL101">
        <v>60</v>
      </c>
      <c r="AM101">
        <v>0</v>
      </c>
      <c r="AN101">
        <v>0</v>
      </c>
      <c r="AO101">
        <v>0</v>
      </c>
      <c r="AP101">
        <v>0</v>
      </c>
      <c r="AQ101">
        <v>47</v>
      </c>
      <c r="AR101">
        <v>38</v>
      </c>
      <c r="AS101">
        <v>50</v>
      </c>
      <c r="AT101">
        <v>87</v>
      </c>
      <c r="AU101">
        <v>100</v>
      </c>
      <c r="AV101">
        <v>75</v>
      </c>
      <c r="AW101">
        <v>3</v>
      </c>
      <c r="AX101">
        <v>0.6</v>
      </c>
      <c r="AY101">
        <v>4</v>
      </c>
      <c r="AZ101">
        <v>0.8</v>
      </c>
      <c r="BA101">
        <v>2</v>
      </c>
      <c r="BB101">
        <v>3</v>
      </c>
      <c r="BC101">
        <v>1</v>
      </c>
      <c r="BD101">
        <v>1</v>
      </c>
      <c r="BE101">
        <v>1</v>
      </c>
      <c r="BF101">
        <v>0</v>
      </c>
      <c r="BG101">
        <v>0</v>
      </c>
      <c r="BH101">
        <v>2</v>
      </c>
      <c r="BI101">
        <v>2</v>
      </c>
      <c r="BJ101">
        <v>1</v>
      </c>
      <c r="BK101">
        <v>1</v>
      </c>
      <c r="BL101">
        <v>3</v>
      </c>
      <c r="BM101">
        <v>1</v>
      </c>
      <c r="BN101">
        <v>0.3</v>
      </c>
      <c r="BO101">
        <v>0.5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8</v>
      </c>
      <c r="BZ101">
        <v>1.6</v>
      </c>
      <c r="CA101">
        <v>2</v>
      </c>
      <c r="CB101">
        <v>0.4</v>
      </c>
      <c r="CC101">
        <v>3</v>
      </c>
      <c r="CD101">
        <v>2</v>
      </c>
      <c r="CE101">
        <v>3</v>
      </c>
      <c r="CF101">
        <v>1</v>
      </c>
      <c r="CG101">
        <v>0</v>
      </c>
      <c r="CH101">
        <v>1</v>
      </c>
      <c r="CI101">
        <v>0</v>
      </c>
      <c r="CJ101">
        <v>0</v>
      </c>
      <c r="CK101">
        <v>4</v>
      </c>
      <c r="CL101">
        <v>4</v>
      </c>
      <c r="CM101">
        <v>0</v>
      </c>
      <c r="CN101">
        <v>2</v>
      </c>
      <c r="CO101">
        <v>1.3</v>
      </c>
      <c r="CP101">
        <v>2</v>
      </c>
      <c r="CQ101">
        <v>0</v>
      </c>
      <c r="CR101">
        <v>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</row>
    <row r="102" spans="1:104" x14ac:dyDescent="0.25">
      <c r="A102" s="1" t="s">
        <v>804</v>
      </c>
      <c r="B102">
        <v>9237</v>
      </c>
      <c r="C102">
        <v>9238</v>
      </c>
      <c r="D102" s="2">
        <v>43876</v>
      </c>
      <c r="E102" s="3">
        <f t="shared" si="3"/>
        <v>2020</v>
      </c>
      <c r="F102" s="3">
        <f t="shared" si="4"/>
        <v>2</v>
      </c>
      <c r="G102" s="3">
        <f t="shared" si="5"/>
        <v>7</v>
      </c>
      <c r="H102" t="s">
        <v>805</v>
      </c>
      <c r="I102">
        <v>1221</v>
      </c>
      <c r="J102" t="s">
        <v>806</v>
      </c>
      <c r="K102" t="s">
        <v>158</v>
      </c>
      <c r="L102">
        <v>2019</v>
      </c>
      <c r="M102" t="s">
        <v>807</v>
      </c>
      <c r="Q102" t="s">
        <v>158</v>
      </c>
      <c r="R102">
        <v>2018</v>
      </c>
      <c r="S102" t="s">
        <v>808</v>
      </c>
      <c r="T102" t="s">
        <v>809</v>
      </c>
      <c r="U102">
        <v>2000</v>
      </c>
      <c r="V102" t="s">
        <v>158</v>
      </c>
      <c r="W102">
        <v>1968</v>
      </c>
      <c r="X102" t="s">
        <v>109</v>
      </c>
      <c r="Z102">
        <v>-2.5</v>
      </c>
      <c r="AA102">
        <v>-2.5</v>
      </c>
      <c r="AB102">
        <v>45</v>
      </c>
      <c r="AC102">
        <v>45</v>
      </c>
      <c r="AD102">
        <v>10</v>
      </c>
      <c r="AE102">
        <v>55</v>
      </c>
      <c r="AF102">
        <v>45</v>
      </c>
      <c r="AG102">
        <v>50</v>
      </c>
      <c r="AH102">
        <v>50</v>
      </c>
      <c r="AI102">
        <v>56</v>
      </c>
      <c r="AJ102">
        <v>44</v>
      </c>
      <c r="AK102">
        <v>49</v>
      </c>
      <c r="AL102">
        <v>51</v>
      </c>
      <c r="AM102">
        <v>100</v>
      </c>
      <c r="AN102">
        <v>0</v>
      </c>
      <c r="AO102">
        <v>75</v>
      </c>
      <c r="AP102">
        <v>25</v>
      </c>
      <c r="AQ102">
        <v>73</v>
      </c>
      <c r="AR102">
        <v>47</v>
      </c>
      <c r="AS102">
        <v>76</v>
      </c>
      <c r="AT102">
        <v>60</v>
      </c>
      <c r="AU102">
        <v>47</v>
      </c>
      <c r="AV102">
        <v>71</v>
      </c>
      <c r="AW102">
        <v>8</v>
      </c>
      <c r="AX102">
        <v>1.6</v>
      </c>
      <c r="AY102">
        <v>4</v>
      </c>
      <c r="AZ102">
        <v>0.8</v>
      </c>
      <c r="BA102">
        <v>8</v>
      </c>
      <c r="BB102">
        <v>10</v>
      </c>
      <c r="BC102">
        <v>5</v>
      </c>
      <c r="BD102">
        <v>6</v>
      </c>
      <c r="BE102">
        <v>2</v>
      </c>
      <c r="BF102">
        <v>3</v>
      </c>
      <c r="BG102">
        <v>1</v>
      </c>
      <c r="BH102">
        <v>1</v>
      </c>
      <c r="BI102">
        <v>15</v>
      </c>
      <c r="BJ102">
        <v>19</v>
      </c>
      <c r="BK102">
        <v>7</v>
      </c>
      <c r="BL102">
        <v>9</v>
      </c>
      <c r="BM102">
        <v>1.9</v>
      </c>
      <c r="BN102">
        <v>1.9</v>
      </c>
      <c r="BO102">
        <v>0.9</v>
      </c>
      <c r="BP102">
        <v>0.9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8</v>
      </c>
      <c r="BZ102">
        <v>1.6</v>
      </c>
      <c r="CA102">
        <v>5</v>
      </c>
      <c r="CB102">
        <v>1</v>
      </c>
      <c r="CC102">
        <v>10</v>
      </c>
      <c r="CD102">
        <v>8</v>
      </c>
      <c r="CE102">
        <v>3</v>
      </c>
      <c r="CF102">
        <v>5</v>
      </c>
      <c r="CG102">
        <v>1</v>
      </c>
      <c r="CH102">
        <v>2</v>
      </c>
      <c r="CI102">
        <v>6</v>
      </c>
      <c r="CJ102">
        <v>1</v>
      </c>
      <c r="CK102">
        <v>16</v>
      </c>
      <c r="CL102">
        <v>12</v>
      </c>
      <c r="CM102">
        <v>15</v>
      </c>
      <c r="CN102">
        <v>6</v>
      </c>
      <c r="CO102">
        <v>1.6</v>
      </c>
      <c r="CP102">
        <v>1.5</v>
      </c>
      <c r="CQ102">
        <v>1.5</v>
      </c>
      <c r="CR102">
        <v>0.8</v>
      </c>
      <c r="CS102">
        <v>1</v>
      </c>
      <c r="CT102">
        <v>1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1</v>
      </c>
    </row>
    <row r="103" spans="1:104" x14ac:dyDescent="0.25">
      <c r="A103" s="1" t="s">
        <v>810</v>
      </c>
      <c r="B103">
        <v>2740</v>
      </c>
      <c r="C103">
        <v>2733</v>
      </c>
      <c r="D103" s="2">
        <v>44049</v>
      </c>
      <c r="E103" s="3">
        <f t="shared" si="3"/>
        <v>2020</v>
      </c>
      <c r="F103" s="3">
        <f t="shared" si="4"/>
        <v>8</v>
      </c>
      <c r="G103" s="3">
        <f t="shared" si="5"/>
        <v>5</v>
      </c>
      <c r="H103" t="s">
        <v>811</v>
      </c>
      <c r="I103">
        <v>923</v>
      </c>
      <c r="J103" t="s">
        <v>812</v>
      </c>
      <c r="K103" t="s">
        <v>621</v>
      </c>
      <c r="L103">
        <v>2019</v>
      </c>
      <c r="M103" t="s">
        <v>373</v>
      </c>
      <c r="N103" t="s">
        <v>813</v>
      </c>
      <c r="O103" t="s">
        <v>814</v>
      </c>
      <c r="P103">
        <v>35000</v>
      </c>
      <c r="Q103" t="s">
        <v>621</v>
      </c>
      <c r="R103">
        <v>2013</v>
      </c>
      <c r="S103" t="s">
        <v>815</v>
      </c>
      <c r="T103" t="s">
        <v>816</v>
      </c>
      <c r="U103">
        <v>100000</v>
      </c>
      <c r="V103" t="s">
        <v>621</v>
      </c>
      <c r="W103">
        <v>1945</v>
      </c>
      <c r="X103" t="s">
        <v>125</v>
      </c>
      <c r="Y103">
        <v>-3.5</v>
      </c>
      <c r="Z103">
        <v>-2.5</v>
      </c>
      <c r="AA103">
        <v>-2.5</v>
      </c>
      <c r="AB103">
        <v>10</v>
      </c>
      <c r="AC103">
        <v>45</v>
      </c>
      <c r="AD103">
        <v>45</v>
      </c>
      <c r="AE103">
        <v>35</v>
      </c>
      <c r="AF103">
        <v>65</v>
      </c>
      <c r="AG103">
        <v>36</v>
      </c>
      <c r="AH103">
        <v>64</v>
      </c>
      <c r="AI103">
        <v>33</v>
      </c>
      <c r="AJ103">
        <v>67</v>
      </c>
      <c r="AK103">
        <v>50</v>
      </c>
      <c r="AL103">
        <v>50</v>
      </c>
      <c r="AM103">
        <v>62</v>
      </c>
      <c r="AN103">
        <v>38</v>
      </c>
      <c r="AO103">
        <v>75</v>
      </c>
      <c r="AP103">
        <v>25</v>
      </c>
      <c r="AQ103">
        <v>40</v>
      </c>
      <c r="AR103">
        <v>44</v>
      </c>
      <c r="AS103">
        <v>56</v>
      </c>
      <c r="AT103">
        <v>73</v>
      </c>
      <c r="AU103">
        <v>78</v>
      </c>
      <c r="AV103">
        <v>78</v>
      </c>
      <c r="AW103">
        <v>4</v>
      </c>
      <c r="AX103">
        <v>0.8</v>
      </c>
      <c r="AY103">
        <v>4</v>
      </c>
      <c r="AZ103">
        <v>0.8</v>
      </c>
      <c r="BA103">
        <v>13</v>
      </c>
      <c r="BB103">
        <v>14</v>
      </c>
      <c r="BC103">
        <v>8</v>
      </c>
      <c r="BD103">
        <v>4</v>
      </c>
      <c r="BE103">
        <v>3</v>
      </c>
      <c r="BF103">
        <v>5</v>
      </c>
      <c r="BG103">
        <v>2</v>
      </c>
      <c r="BH103">
        <v>5</v>
      </c>
      <c r="BI103">
        <v>15</v>
      </c>
      <c r="BJ103">
        <v>10</v>
      </c>
      <c r="BK103">
        <v>8</v>
      </c>
      <c r="BL103">
        <v>13</v>
      </c>
      <c r="BM103">
        <v>1.2</v>
      </c>
      <c r="BN103">
        <v>0.7</v>
      </c>
      <c r="BO103">
        <v>0.6</v>
      </c>
      <c r="BP103">
        <v>0.9</v>
      </c>
      <c r="BQ103">
        <v>4</v>
      </c>
      <c r="BR103">
        <v>4</v>
      </c>
      <c r="BS103">
        <v>1</v>
      </c>
      <c r="BT103">
        <v>1</v>
      </c>
      <c r="BU103">
        <v>2</v>
      </c>
      <c r="BV103">
        <v>1</v>
      </c>
      <c r="BW103">
        <v>1</v>
      </c>
      <c r="BX103">
        <v>2</v>
      </c>
      <c r="BY103">
        <v>7</v>
      </c>
      <c r="BZ103">
        <v>1.4</v>
      </c>
      <c r="CA103">
        <v>2</v>
      </c>
      <c r="CB103">
        <v>0.4</v>
      </c>
      <c r="CC103">
        <v>14</v>
      </c>
      <c r="CD103">
        <v>13</v>
      </c>
      <c r="CE103">
        <v>8</v>
      </c>
      <c r="CF103">
        <v>5</v>
      </c>
      <c r="CG103">
        <v>4</v>
      </c>
      <c r="CH103">
        <v>5</v>
      </c>
      <c r="CI103">
        <v>2</v>
      </c>
      <c r="CJ103">
        <v>3</v>
      </c>
      <c r="CK103">
        <v>24</v>
      </c>
      <c r="CL103">
        <v>24</v>
      </c>
      <c r="CM103">
        <v>11</v>
      </c>
      <c r="CN103">
        <v>16</v>
      </c>
      <c r="CO103">
        <v>1.7</v>
      </c>
      <c r="CP103">
        <v>1.8</v>
      </c>
      <c r="CQ103">
        <v>0.8</v>
      </c>
      <c r="CR103">
        <v>1.2</v>
      </c>
      <c r="CS103">
        <v>4</v>
      </c>
      <c r="CT103">
        <v>4</v>
      </c>
      <c r="CU103">
        <v>2</v>
      </c>
      <c r="CV103">
        <v>1</v>
      </c>
      <c r="CW103">
        <v>1</v>
      </c>
      <c r="CX103">
        <v>2</v>
      </c>
      <c r="CY103">
        <v>1</v>
      </c>
      <c r="CZ103">
        <v>1</v>
      </c>
    </row>
    <row r="104" spans="1:104" x14ac:dyDescent="0.25">
      <c r="A104" s="1" t="s">
        <v>817</v>
      </c>
      <c r="B104">
        <v>4138</v>
      </c>
      <c r="C104">
        <v>4141</v>
      </c>
      <c r="D104" s="2">
        <v>43750</v>
      </c>
      <c r="E104" s="3">
        <f t="shared" si="3"/>
        <v>2019</v>
      </c>
      <c r="F104" s="3">
        <f t="shared" si="4"/>
        <v>10</v>
      </c>
      <c r="G104" s="3">
        <f t="shared" si="5"/>
        <v>7</v>
      </c>
      <c r="H104" t="s">
        <v>818</v>
      </c>
      <c r="I104">
        <v>536</v>
      </c>
      <c r="J104" t="s">
        <v>819</v>
      </c>
      <c r="K104" t="s">
        <v>820</v>
      </c>
      <c r="L104">
        <v>2019</v>
      </c>
      <c r="M104" t="s">
        <v>346</v>
      </c>
      <c r="N104" t="s">
        <v>821</v>
      </c>
      <c r="O104" t="s">
        <v>822</v>
      </c>
      <c r="P104">
        <v>1000</v>
      </c>
      <c r="Q104" t="s">
        <v>820</v>
      </c>
      <c r="S104" t="s">
        <v>823</v>
      </c>
      <c r="T104" t="s">
        <v>824</v>
      </c>
      <c r="U104">
        <v>978</v>
      </c>
      <c r="V104" t="s">
        <v>820</v>
      </c>
      <c r="X104" t="s">
        <v>109</v>
      </c>
      <c r="Y104">
        <v>2.5</v>
      </c>
      <c r="Z104">
        <v>-3.5</v>
      </c>
      <c r="AA104">
        <v>-2.5</v>
      </c>
      <c r="AB104">
        <v>45</v>
      </c>
      <c r="AC104">
        <v>45</v>
      </c>
      <c r="AD104">
        <v>10</v>
      </c>
      <c r="AE104">
        <v>30</v>
      </c>
      <c r="AF104">
        <v>70</v>
      </c>
      <c r="AG104">
        <v>50</v>
      </c>
      <c r="AH104">
        <v>50</v>
      </c>
      <c r="AI104">
        <v>46</v>
      </c>
      <c r="AJ104">
        <v>54</v>
      </c>
      <c r="AK104">
        <v>65</v>
      </c>
      <c r="AL104">
        <v>35</v>
      </c>
      <c r="AM104">
        <v>60</v>
      </c>
      <c r="AN104">
        <v>40</v>
      </c>
      <c r="AO104">
        <v>48</v>
      </c>
      <c r="AP104">
        <v>52</v>
      </c>
      <c r="AQ104">
        <v>20</v>
      </c>
      <c r="AR104">
        <v>48</v>
      </c>
      <c r="AS104">
        <v>5</v>
      </c>
      <c r="AT104">
        <v>47</v>
      </c>
      <c r="AU104">
        <v>48</v>
      </c>
      <c r="AV104">
        <v>19</v>
      </c>
      <c r="AW104">
        <v>10</v>
      </c>
      <c r="AX104">
        <v>2</v>
      </c>
      <c r="AY104">
        <v>20</v>
      </c>
      <c r="AZ104">
        <v>4</v>
      </c>
      <c r="BA104">
        <v>10</v>
      </c>
      <c r="BB104">
        <v>12</v>
      </c>
      <c r="BC104">
        <v>6</v>
      </c>
      <c r="BD104">
        <v>2</v>
      </c>
      <c r="BE104">
        <v>0</v>
      </c>
      <c r="BF104">
        <v>0</v>
      </c>
      <c r="BG104">
        <v>4</v>
      </c>
      <c r="BH104">
        <v>10</v>
      </c>
      <c r="BI104">
        <v>32</v>
      </c>
      <c r="BJ104">
        <v>12</v>
      </c>
      <c r="BK104">
        <v>19</v>
      </c>
      <c r="BL104">
        <v>59</v>
      </c>
      <c r="BM104">
        <v>3.2</v>
      </c>
      <c r="BN104">
        <v>1</v>
      </c>
      <c r="BO104">
        <v>1.9</v>
      </c>
      <c r="BP104">
        <v>4.9000000000000004</v>
      </c>
      <c r="BQ104">
        <v>4</v>
      </c>
      <c r="BR104">
        <v>4</v>
      </c>
      <c r="BS104">
        <v>4</v>
      </c>
      <c r="BT104">
        <v>2</v>
      </c>
      <c r="BU104">
        <v>0</v>
      </c>
      <c r="BV104">
        <v>0</v>
      </c>
      <c r="BW104">
        <v>0</v>
      </c>
      <c r="BX104">
        <v>2</v>
      </c>
      <c r="BY104">
        <v>10</v>
      </c>
      <c r="BZ104">
        <v>2</v>
      </c>
      <c r="CA104">
        <v>17</v>
      </c>
      <c r="CB104">
        <v>3.4</v>
      </c>
      <c r="CC104">
        <v>11</v>
      </c>
      <c r="CD104">
        <v>11</v>
      </c>
      <c r="CE104">
        <v>6</v>
      </c>
      <c r="CF104">
        <v>4</v>
      </c>
      <c r="CG104">
        <v>2</v>
      </c>
      <c r="CH104">
        <v>2</v>
      </c>
      <c r="CI104">
        <v>3</v>
      </c>
      <c r="CJ104">
        <v>5</v>
      </c>
      <c r="CK104">
        <v>39</v>
      </c>
      <c r="CL104">
        <v>15</v>
      </c>
      <c r="CM104">
        <v>18</v>
      </c>
      <c r="CN104">
        <v>27</v>
      </c>
      <c r="CO104">
        <v>3.5</v>
      </c>
      <c r="CP104">
        <v>1.4</v>
      </c>
      <c r="CQ104">
        <v>1.6</v>
      </c>
      <c r="CR104">
        <v>2.5</v>
      </c>
      <c r="CS104">
        <v>4</v>
      </c>
      <c r="CT104">
        <v>4</v>
      </c>
      <c r="CU104">
        <v>2</v>
      </c>
      <c r="CV104">
        <v>0</v>
      </c>
      <c r="CW104">
        <v>0</v>
      </c>
      <c r="CX104">
        <v>0</v>
      </c>
      <c r="CY104">
        <v>2</v>
      </c>
      <c r="CZ104">
        <v>4</v>
      </c>
    </row>
    <row r="105" spans="1:104" x14ac:dyDescent="0.25">
      <c r="A105" s="1" t="s">
        <v>825</v>
      </c>
      <c r="B105">
        <v>1883</v>
      </c>
      <c r="C105">
        <v>1891</v>
      </c>
      <c r="D105" s="2">
        <v>43799</v>
      </c>
      <c r="E105" s="3">
        <f t="shared" si="3"/>
        <v>2019</v>
      </c>
      <c r="F105" s="3">
        <f t="shared" si="4"/>
        <v>11</v>
      </c>
      <c r="G105" s="3">
        <f t="shared" si="5"/>
        <v>7</v>
      </c>
      <c r="H105" t="s">
        <v>826</v>
      </c>
      <c r="I105">
        <v>977</v>
      </c>
      <c r="J105" t="s">
        <v>827</v>
      </c>
      <c r="K105" t="s">
        <v>338</v>
      </c>
      <c r="L105">
        <v>2019</v>
      </c>
      <c r="M105" t="s">
        <v>828</v>
      </c>
      <c r="Q105" t="s">
        <v>338</v>
      </c>
      <c r="V105" t="s">
        <v>338</v>
      </c>
      <c r="X105" t="s">
        <v>109</v>
      </c>
      <c r="Z105">
        <v>-2.5</v>
      </c>
      <c r="AA105">
        <v>-1.5</v>
      </c>
      <c r="AB105">
        <v>45</v>
      </c>
      <c r="AC105">
        <v>45</v>
      </c>
      <c r="AD105">
        <v>10</v>
      </c>
      <c r="AE105">
        <v>100</v>
      </c>
      <c r="AF105">
        <v>0</v>
      </c>
      <c r="AG105">
        <v>60</v>
      </c>
      <c r="AH105">
        <v>40</v>
      </c>
      <c r="AI105">
        <v>44</v>
      </c>
      <c r="AJ105">
        <v>56</v>
      </c>
      <c r="AK105">
        <v>65</v>
      </c>
      <c r="AL105">
        <v>35</v>
      </c>
      <c r="AM105">
        <v>50</v>
      </c>
      <c r="AN105">
        <v>50</v>
      </c>
      <c r="AO105">
        <v>57</v>
      </c>
      <c r="AP105">
        <v>43</v>
      </c>
      <c r="AQ105">
        <v>7</v>
      </c>
      <c r="AR105">
        <v>20</v>
      </c>
      <c r="AS105">
        <v>0</v>
      </c>
      <c r="AT105">
        <v>0</v>
      </c>
      <c r="AU105">
        <v>13</v>
      </c>
      <c r="AV105">
        <v>20</v>
      </c>
      <c r="AW105">
        <v>3</v>
      </c>
      <c r="AX105">
        <v>0.6</v>
      </c>
      <c r="AY105">
        <v>15</v>
      </c>
      <c r="AZ105">
        <v>3</v>
      </c>
      <c r="BA105">
        <v>3</v>
      </c>
      <c r="BB105">
        <v>4</v>
      </c>
      <c r="BC105">
        <v>1</v>
      </c>
      <c r="BD105">
        <v>0</v>
      </c>
      <c r="BE105">
        <v>0</v>
      </c>
      <c r="BF105">
        <v>2</v>
      </c>
      <c r="BG105">
        <v>2</v>
      </c>
      <c r="BH105">
        <v>2</v>
      </c>
      <c r="BI105">
        <v>3</v>
      </c>
      <c r="BJ105">
        <v>4</v>
      </c>
      <c r="BK105">
        <v>9</v>
      </c>
      <c r="BL105">
        <v>9</v>
      </c>
      <c r="BM105">
        <v>1</v>
      </c>
      <c r="BN105">
        <v>1</v>
      </c>
      <c r="BO105">
        <v>3</v>
      </c>
      <c r="BP105">
        <v>2.2999999999999998</v>
      </c>
      <c r="BQ105">
        <v>2</v>
      </c>
      <c r="BR105">
        <v>1</v>
      </c>
      <c r="BS105">
        <v>2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2</v>
      </c>
      <c r="BZ105">
        <v>0.4</v>
      </c>
      <c r="CA105">
        <v>12</v>
      </c>
      <c r="CB105">
        <v>2.4</v>
      </c>
      <c r="CC105">
        <v>4</v>
      </c>
      <c r="CD105">
        <v>3</v>
      </c>
      <c r="CE105">
        <v>0</v>
      </c>
      <c r="CF105">
        <v>0</v>
      </c>
      <c r="CG105">
        <v>1</v>
      </c>
      <c r="CH105">
        <v>0</v>
      </c>
      <c r="CI105">
        <v>3</v>
      </c>
      <c r="CJ105">
        <v>3</v>
      </c>
      <c r="CK105">
        <v>2</v>
      </c>
      <c r="CL105">
        <v>2</v>
      </c>
      <c r="CM105">
        <v>7</v>
      </c>
      <c r="CN105">
        <v>10</v>
      </c>
      <c r="CO105">
        <v>0.5</v>
      </c>
      <c r="CP105">
        <v>0.7</v>
      </c>
      <c r="CQ105">
        <v>1.8</v>
      </c>
      <c r="CR105">
        <v>3.3</v>
      </c>
      <c r="CS105">
        <v>1</v>
      </c>
      <c r="CT105">
        <v>2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2</v>
      </c>
    </row>
    <row r="106" spans="1:104" x14ac:dyDescent="0.25">
      <c r="A106" s="1" t="s">
        <v>829</v>
      </c>
      <c r="B106">
        <v>5493</v>
      </c>
      <c r="C106">
        <v>5498</v>
      </c>
      <c r="D106" s="2">
        <v>43769</v>
      </c>
      <c r="E106" s="3">
        <f t="shared" si="3"/>
        <v>2019</v>
      </c>
      <c r="F106" s="3">
        <f t="shared" si="4"/>
        <v>10</v>
      </c>
      <c r="G106" s="3">
        <f t="shared" si="5"/>
        <v>5</v>
      </c>
      <c r="H106" t="s">
        <v>830</v>
      </c>
      <c r="I106">
        <v>909</v>
      </c>
      <c r="J106" t="s">
        <v>831</v>
      </c>
      <c r="K106" t="s">
        <v>832</v>
      </c>
      <c r="L106">
        <v>2019</v>
      </c>
      <c r="M106" t="s">
        <v>168</v>
      </c>
      <c r="N106" t="s">
        <v>833</v>
      </c>
      <c r="O106" t="s">
        <v>834</v>
      </c>
      <c r="P106">
        <v>3000</v>
      </c>
      <c r="Q106" t="s">
        <v>832</v>
      </c>
      <c r="S106" t="s">
        <v>835</v>
      </c>
      <c r="T106" t="s">
        <v>834</v>
      </c>
      <c r="U106">
        <v>6000</v>
      </c>
      <c r="V106" t="s">
        <v>832</v>
      </c>
      <c r="X106">
        <v>2</v>
      </c>
      <c r="Z106">
        <v>-1.5</v>
      </c>
      <c r="AA106">
        <v>-4.5</v>
      </c>
      <c r="AB106">
        <v>10</v>
      </c>
      <c r="AC106">
        <v>45</v>
      </c>
      <c r="AD106">
        <v>45</v>
      </c>
      <c r="AE106">
        <v>32</v>
      </c>
      <c r="AF106">
        <v>68</v>
      </c>
      <c r="AG106">
        <v>27</v>
      </c>
      <c r="AH106">
        <v>73</v>
      </c>
      <c r="AI106">
        <v>36</v>
      </c>
      <c r="AJ106">
        <v>64</v>
      </c>
      <c r="AK106">
        <v>18</v>
      </c>
      <c r="AL106">
        <v>82</v>
      </c>
      <c r="AM106">
        <v>80</v>
      </c>
      <c r="AN106">
        <v>20</v>
      </c>
      <c r="AO106">
        <v>80</v>
      </c>
      <c r="AP106">
        <v>20</v>
      </c>
      <c r="AQ106">
        <v>40</v>
      </c>
      <c r="AR106">
        <v>38</v>
      </c>
      <c r="AS106">
        <v>56</v>
      </c>
      <c r="AT106">
        <v>87</v>
      </c>
      <c r="AU106">
        <v>100</v>
      </c>
      <c r="AV106">
        <v>75</v>
      </c>
      <c r="AW106">
        <v>6</v>
      </c>
      <c r="AX106">
        <v>1.2</v>
      </c>
      <c r="AY106">
        <v>7</v>
      </c>
      <c r="AZ106">
        <v>1.4</v>
      </c>
      <c r="BA106">
        <v>4</v>
      </c>
      <c r="BB106">
        <v>4</v>
      </c>
      <c r="BC106">
        <v>0</v>
      </c>
      <c r="BD106">
        <v>3</v>
      </c>
      <c r="BE106">
        <v>1</v>
      </c>
      <c r="BF106">
        <v>0</v>
      </c>
      <c r="BG106">
        <v>3</v>
      </c>
      <c r="BH106">
        <v>1</v>
      </c>
      <c r="BI106">
        <v>3</v>
      </c>
      <c r="BJ106">
        <v>7</v>
      </c>
      <c r="BK106">
        <v>6</v>
      </c>
      <c r="BL106">
        <v>3</v>
      </c>
      <c r="BM106">
        <v>0.8</v>
      </c>
      <c r="BN106">
        <v>1.8</v>
      </c>
      <c r="BO106">
        <v>1.5</v>
      </c>
      <c r="BP106">
        <v>0.8</v>
      </c>
      <c r="BQ106">
        <v>2</v>
      </c>
      <c r="BR106">
        <v>1</v>
      </c>
      <c r="BS106">
        <v>0</v>
      </c>
      <c r="BT106">
        <v>1</v>
      </c>
      <c r="BU106">
        <v>2</v>
      </c>
      <c r="BV106">
        <v>0</v>
      </c>
      <c r="BW106">
        <v>0</v>
      </c>
      <c r="BX106">
        <v>0</v>
      </c>
      <c r="BY106">
        <v>16</v>
      </c>
      <c r="BZ106">
        <v>3.2</v>
      </c>
      <c r="CA106">
        <v>4</v>
      </c>
      <c r="CB106">
        <v>0.8</v>
      </c>
      <c r="CC106">
        <v>4</v>
      </c>
      <c r="CD106">
        <v>3</v>
      </c>
      <c r="CE106">
        <v>2</v>
      </c>
      <c r="CF106">
        <v>3</v>
      </c>
      <c r="CG106">
        <v>1</v>
      </c>
      <c r="CH106">
        <v>0</v>
      </c>
      <c r="CI106">
        <v>1</v>
      </c>
      <c r="CJ106">
        <v>0</v>
      </c>
      <c r="CK106">
        <v>9</v>
      </c>
      <c r="CL106">
        <v>10</v>
      </c>
      <c r="CM106">
        <v>3</v>
      </c>
      <c r="CN106">
        <v>4</v>
      </c>
      <c r="CO106">
        <v>2.2999999999999998</v>
      </c>
      <c r="CP106">
        <v>3.3</v>
      </c>
      <c r="CQ106">
        <v>0.8</v>
      </c>
      <c r="CR106">
        <v>1.3</v>
      </c>
      <c r="CS106">
        <v>1</v>
      </c>
      <c r="CT106">
        <v>2</v>
      </c>
      <c r="CU106">
        <v>0</v>
      </c>
      <c r="CV106">
        <v>0</v>
      </c>
      <c r="CW106">
        <v>0</v>
      </c>
      <c r="CX106">
        <v>2</v>
      </c>
      <c r="CY106">
        <v>1</v>
      </c>
      <c r="CZ106">
        <v>0</v>
      </c>
    </row>
    <row r="107" spans="1:104" x14ac:dyDescent="0.25">
      <c r="A107" s="1" t="s">
        <v>836</v>
      </c>
      <c r="B107">
        <v>8614</v>
      </c>
      <c r="C107">
        <v>6237</v>
      </c>
      <c r="D107" s="2">
        <v>44069</v>
      </c>
      <c r="E107" s="3">
        <f t="shared" si="3"/>
        <v>2020</v>
      </c>
      <c r="F107" s="3">
        <f t="shared" si="4"/>
        <v>8</v>
      </c>
      <c r="G107" s="3">
        <f t="shared" si="5"/>
        <v>4</v>
      </c>
      <c r="H107" t="s">
        <v>837</v>
      </c>
      <c r="I107">
        <v>2923</v>
      </c>
      <c r="J107" t="s">
        <v>838</v>
      </c>
      <c r="K107" t="s">
        <v>839</v>
      </c>
      <c r="L107">
        <v>2020</v>
      </c>
      <c r="M107" t="s">
        <v>840</v>
      </c>
      <c r="N107" t="s">
        <v>837</v>
      </c>
      <c r="O107" t="s">
        <v>841</v>
      </c>
      <c r="P107">
        <v>1000</v>
      </c>
      <c r="Q107" t="s">
        <v>839</v>
      </c>
      <c r="S107" t="s">
        <v>842</v>
      </c>
      <c r="T107" t="s">
        <v>843</v>
      </c>
      <c r="U107">
        <v>5000</v>
      </c>
      <c r="V107" t="s">
        <v>839</v>
      </c>
      <c r="W107">
        <v>1919</v>
      </c>
      <c r="X107" t="s">
        <v>125</v>
      </c>
      <c r="Z107">
        <v>-1.5</v>
      </c>
      <c r="AA107">
        <v>-2.5</v>
      </c>
      <c r="AB107">
        <v>0</v>
      </c>
      <c r="AC107">
        <v>50</v>
      </c>
      <c r="AD107">
        <v>50</v>
      </c>
      <c r="AE107">
        <v>0</v>
      </c>
      <c r="AF107">
        <v>100</v>
      </c>
      <c r="AG107">
        <v>33</v>
      </c>
      <c r="AH107">
        <v>67</v>
      </c>
      <c r="AI107">
        <v>0</v>
      </c>
      <c r="AJ107">
        <v>100</v>
      </c>
      <c r="AK107">
        <v>0</v>
      </c>
      <c r="AL107">
        <v>0</v>
      </c>
      <c r="AM107">
        <v>20</v>
      </c>
      <c r="AN107">
        <v>80</v>
      </c>
      <c r="AO107">
        <v>13</v>
      </c>
      <c r="AP107">
        <v>88</v>
      </c>
      <c r="AQ107">
        <v>0</v>
      </c>
      <c r="AR107">
        <v>7</v>
      </c>
      <c r="AS107">
        <v>87</v>
      </c>
      <c r="AT107">
        <v>100</v>
      </c>
      <c r="AU107">
        <v>13</v>
      </c>
      <c r="AV107">
        <v>100</v>
      </c>
      <c r="AW107">
        <v>1</v>
      </c>
      <c r="AX107">
        <v>1</v>
      </c>
      <c r="AY107">
        <v>2</v>
      </c>
      <c r="AZ107">
        <v>2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1</v>
      </c>
      <c r="BK107">
        <v>0</v>
      </c>
      <c r="BL107">
        <v>2</v>
      </c>
      <c r="BM107">
        <v>0</v>
      </c>
      <c r="BN107">
        <v>1</v>
      </c>
      <c r="BO107">
        <v>0</v>
      </c>
      <c r="BP107">
        <v>2</v>
      </c>
      <c r="BQ107">
        <v>2</v>
      </c>
      <c r="BR107">
        <v>0</v>
      </c>
      <c r="BS107">
        <v>0</v>
      </c>
      <c r="BT107">
        <v>0</v>
      </c>
      <c r="BU107">
        <v>1</v>
      </c>
      <c r="BV107">
        <v>0</v>
      </c>
      <c r="BW107">
        <v>1</v>
      </c>
      <c r="BX107">
        <v>0</v>
      </c>
      <c r="BY107">
        <v>2</v>
      </c>
      <c r="BZ107">
        <v>2</v>
      </c>
      <c r="CA107">
        <v>0</v>
      </c>
      <c r="CB107">
        <v>0</v>
      </c>
      <c r="CC107">
        <v>1</v>
      </c>
      <c r="CD107">
        <v>0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2</v>
      </c>
      <c r="CL107">
        <v>0</v>
      </c>
      <c r="CM107">
        <v>0</v>
      </c>
      <c r="CN107">
        <v>0</v>
      </c>
      <c r="CO107">
        <v>2</v>
      </c>
      <c r="CP107">
        <v>0</v>
      </c>
      <c r="CQ107">
        <v>0</v>
      </c>
      <c r="CR107">
        <v>0</v>
      </c>
      <c r="CS107">
        <v>0</v>
      </c>
      <c r="CT107">
        <v>2</v>
      </c>
      <c r="CU107">
        <v>0</v>
      </c>
      <c r="CV107">
        <v>1</v>
      </c>
      <c r="CW107">
        <v>0</v>
      </c>
      <c r="CX107">
        <v>1</v>
      </c>
      <c r="CY107">
        <v>0</v>
      </c>
      <c r="CZ107">
        <v>0</v>
      </c>
    </row>
    <row r="108" spans="1:104" x14ac:dyDescent="0.25">
      <c r="A108" s="1" t="s">
        <v>844</v>
      </c>
      <c r="B108">
        <v>1825</v>
      </c>
      <c r="C108">
        <v>1831</v>
      </c>
      <c r="D108" s="2">
        <v>43869</v>
      </c>
      <c r="E108" s="3">
        <f t="shared" si="3"/>
        <v>2020</v>
      </c>
      <c r="F108" s="3">
        <f t="shared" si="4"/>
        <v>2</v>
      </c>
      <c r="G108" s="3">
        <f t="shared" si="5"/>
        <v>7</v>
      </c>
      <c r="H108" t="s">
        <v>845</v>
      </c>
      <c r="I108">
        <v>1169</v>
      </c>
      <c r="J108" t="s">
        <v>846</v>
      </c>
      <c r="K108" t="s">
        <v>241</v>
      </c>
      <c r="L108">
        <v>2019</v>
      </c>
      <c r="M108" t="s">
        <v>847</v>
      </c>
      <c r="N108" t="s">
        <v>848</v>
      </c>
      <c r="O108" t="s">
        <v>849</v>
      </c>
      <c r="P108">
        <v>4200</v>
      </c>
      <c r="Q108" t="s">
        <v>241</v>
      </c>
      <c r="R108">
        <v>1992</v>
      </c>
      <c r="S108" t="s">
        <v>850</v>
      </c>
      <c r="T108" t="s">
        <v>851</v>
      </c>
      <c r="U108">
        <v>4222</v>
      </c>
      <c r="V108" t="s">
        <v>241</v>
      </c>
      <c r="W108">
        <v>1898</v>
      </c>
      <c r="X108" t="s">
        <v>109</v>
      </c>
      <c r="Z108">
        <v>-2.5</v>
      </c>
      <c r="AA108">
        <v>-2.5</v>
      </c>
      <c r="AB108">
        <v>45</v>
      </c>
      <c r="AC108">
        <v>45</v>
      </c>
      <c r="AD108">
        <v>10</v>
      </c>
      <c r="AE108">
        <v>67</v>
      </c>
      <c r="AF108">
        <v>33</v>
      </c>
      <c r="AG108">
        <v>55</v>
      </c>
      <c r="AH108">
        <v>45</v>
      </c>
      <c r="AI108">
        <v>67</v>
      </c>
      <c r="AJ108">
        <v>33</v>
      </c>
      <c r="AK108">
        <v>69</v>
      </c>
      <c r="AL108">
        <v>31</v>
      </c>
      <c r="AM108">
        <v>62</v>
      </c>
      <c r="AN108">
        <v>38</v>
      </c>
      <c r="AO108">
        <v>50</v>
      </c>
      <c r="AP108">
        <v>50</v>
      </c>
      <c r="AQ108">
        <v>53</v>
      </c>
      <c r="AR108">
        <v>43</v>
      </c>
      <c r="AS108">
        <v>64</v>
      </c>
      <c r="AT108">
        <v>27</v>
      </c>
      <c r="AU108">
        <v>36</v>
      </c>
      <c r="AV108">
        <v>29</v>
      </c>
      <c r="AW108">
        <v>6</v>
      </c>
      <c r="AX108">
        <v>1.2</v>
      </c>
      <c r="AY108">
        <v>5</v>
      </c>
      <c r="AZ108">
        <v>1</v>
      </c>
      <c r="BA108">
        <v>13</v>
      </c>
      <c r="BB108">
        <v>13</v>
      </c>
      <c r="BC108">
        <v>5</v>
      </c>
      <c r="BD108">
        <v>5</v>
      </c>
      <c r="BE108">
        <v>6</v>
      </c>
      <c r="BF108">
        <v>3</v>
      </c>
      <c r="BG108">
        <v>2</v>
      </c>
      <c r="BH108">
        <v>5</v>
      </c>
      <c r="BI108">
        <v>24</v>
      </c>
      <c r="BJ108">
        <v>18</v>
      </c>
      <c r="BK108">
        <v>14</v>
      </c>
      <c r="BL108">
        <v>16</v>
      </c>
      <c r="BM108">
        <v>1.8</v>
      </c>
      <c r="BN108">
        <v>1.4</v>
      </c>
      <c r="BO108">
        <v>1.1000000000000001</v>
      </c>
      <c r="BP108">
        <v>1.2</v>
      </c>
      <c r="BQ108">
        <v>3</v>
      </c>
      <c r="BR108">
        <v>3</v>
      </c>
      <c r="BS108">
        <v>2</v>
      </c>
      <c r="BT108">
        <v>1</v>
      </c>
      <c r="BU108">
        <v>0</v>
      </c>
      <c r="BV108">
        <v>2</v>
      </c>
      <c r="BW108">
        <v>1</v>
      </c>
      <c r="BX108">
        <v>0</v>
      </c>
      <c r="BY108">
        <v>5</v>
      </c>
      <c r="BZ108">
        <v>1</v>
      </c>
      <c r="CA108">
        <v>10</v>
      </c>
      <c r="CB108">
        <v>2</v>
      </c>
      <c r="CC108">
        <v>15</v>
      </c>
      <c r="CD108">
        <v>14</v>
      </c>
      <c r="CE108">
        <v>4</v>
      </c>
      <c r="CF108">
        <v>5</v>
      </c>
      <c r="CG108">
        <v>3</v>
      </c>
      <c r="CH108">
        <v>1</v>
      </c>
      <c r="CI108">
        <v>8</v>
      </c>
      <c r="CJ108">
        <v>8</v>
      </c>
      <c r="CK108">
        <v>19</v>
      </c>
      <c r="CL108">
        <v>22</v>
      </c>
      <c r="CM108">
        <v>27</v>
      </c>
      <c r="CN108">
        <v>34</v>
      </c>
      <c r="CO108">
        <v>1.3</v>
      </c>
      <c r="CP108">
        <v>1.6</v>
      </c>
      <c r="CQ108">
        <v>1.8</v>
      </c>
      <c r="CR108">
        <v>2.4</v>
      </c>
      <c r="CS108">
        <v>3</v>
      </c>
      <c r="CT108">
        <v>3</v>
      </c>
      <c r="CU108">
        <v>0</v>
      </c>
      <c r="CV108">
        <v>1</v>
      </c>
      <c r="CW108">
        <v>2</v>
      </c>
      <c r="CX108">
        <v>0</v>
      </c>
      <c r="CY108">
        <v>1</v>
      </c>
      <c r="CZ108">
        <v>2</v>
      </c>
    </row>
    <row r="109" spans="1:104" x14ac:dyDescent="0.25">
      <c r="A109" s="1" t="s">
        <v>852</v>
      </c>
      <c r="B109">
        <v>4920</v>
      </c>
      <c r="C109">
        <v>4930</v>
      </c>
      <c r="D109" s="2">
        <v>43726</v>
      </c>
      <c r="E109" s="3">
        <f t="shared" si="3"/>
        <v>2019</v>
      </c>
      <c r="F109" s="3">
        <f t="shared" si="4"/>
        <v>9</v>
      </c>
      <c r="G109" s="3">
        <f t="shared" si="5"/>
        <v>4</v>
      </c>
      <c r="H109" t="s">
        <v>853</v>
      </c>
      <c r="I109">
        <v>790</v>
      </c>
      <c r="J109" t="s">
        <v>854</v>
      </c>
      <c r="K109" t="s">
        <v>855</v>
      </c>
      <c r="L109">
        <v>2019</v>
      </c>
      <c r="M109" t="s">
        <v>306</v>
      </c>
      <c r="N109" t="s">
        <v>856</v>
      </c>
      <c r="O109" t="s">
        <v>857</v>
      </c>
      <c r="P109">
        <v>7800</v>
      </c>
      <c r="Q109" t="s">
        <v>855</v>
      </c>
      <c r="R109">
        <v>1953</v>
      </c>
      <c r="S109" t="s">
        <v>858</v>
      </c>
      <c r="T109" t="s">
        <v>859</v>
      </c>
      <c r="U109">
        <v>10000</v>
      </c>
      <c r="V109" t="s">
        <v>855</v>
      </c>
      <c r="W109">
        <v>1944</v>
      </c>
      <c r="X109" t="s">
        <v>109</v>
      </c>
      <c r="Z109">
        <v>-2.5</v>
      </c>
      <c r="AA109">
        <v>-3.5</v>
      </c>
      <c r="AB109">
        <v>45</v>
      </c>
      <c r="AC109">
        <v>45</v>
      </c>
      <c r="AD109">
        <v>10</v>
      </c>
      <c r="AE109">
        <v>50</v>
      </c>
      <c r="AF109">
        <v>50</v>
      </c>
      <c r="AG109">
        <v>50</v>
      </c>
      <c r="AH109">
        <v>50</v>
      </c>
      <c r="AI109">
        <v>0</v>
      </c>
      <c r="AJ109">
        <v>100</v>
      </c>
      <c r="AK109">
        <v>0</v>
      </c>
      <c r="AL109">
        <v>0</v>
      </c>
      <c r="AM109">
        <v>62</v>
      </c>
      <c r="AN109">
        <v>38</v>
      </c>
      <c r="AO109">
        <v>70</v>
      </c>
      <c r="AP109">
        <v>30</v>
      </c>
      <c r="AQ109">
        <v>67</v>
      </c>
      <c r="AR109">
        <v>100</v>
      </c>
      <c r="AS109">
        <v>20</v>
      </c>
      <c r="AT109">
        <v>100</v>
      </c>
      <c r="AU109">
        <v>100</v>
      </c>
      <c r="AV109">
        <v>100</v>
      </c>
      <c r="AW109">
        <v>6</v>
      </c>
      <c r="AX109">
        <v>2</v>
      </c>
      <c r="AY109">
        <v>4</v>
      </c>
      <c r="AZ109">
        <v>1.3</v>
      </c>
      <c r="BA109">
        <v>1</v>
      </c>
      <c r="BB109">
        <v>2</v>
      </c>
      <c r="BC109">
        <v>1</v>
      </c>
      <c r="BD109">
        <v>1</v>
      </c>
      <c r="BE109">
        <v>0</v>
      </c>
      <c r="BF109">
        <v>0</v>
      </c>
      <c r="BG109">
        <v>0</v>
      </c>
      <c r="BH109">
        <v>1</v>
      </c>
      <c r="BI109">
        <v>3</v>
      </c>
      <c r="BJ109">
        <v>3</v>
      </c>
      <c r="BK109">
        <v>0</v>
      </c>
      <c r="BL109">
        <v>4</v>
      </c>
      <c r="BM109">
        <v>3</v>
      </c>
      <c r="BN109">
        <v>1.5</v>
      </c>
      <c r="BO109">
        <v>0</v>
      </c>
      <c r="BP109">
        <v>2</v>
      </c>
      <c r="BQ109">
        <v>8</v>
      </c>
      <c r="BR109">
        <v>9</v>
      </c>
      <c r="BS109">
        <v>5</v>
      </c>
      <c r="BT109">
        <v>3</v>
      </c>
      <c r="BU109">
        <v>3</v>
      </c>
      <c r="BV109">
        <v>3</v>
      </c>
      <c r="BW109">
        <v>0</v>
      </c>
      <c r="BX109">
        <v>3</v>
      </c>
      <c r="BY109">
        <v>6</v>
      </c>
      <c r="BZ109">
        <v>3</v>
      </c>
      <c r="CA109">
        <v>0</v>
      </c>
      <c r="CB109">
        <v>0</v>
      </c>
      <c r="CC109">
        <v>1</v>
      </c>
      <c r="CD109">
        <v>1</v>
      </c>
      <c r="CE109">
        <v>1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3</v>
      </c>
      <c r="CL109">
        <v>3</v>
      </c>
      <c r="CM109">
        <v>0</v>
      </c>
      <c r="CN109">
        <v>0</v>
      </c>
      <c r="CO109">
        <v>3</v>
      </c>
      <c r="CP109">
        <v>3</v>
      </c>
      <c r="CQ109">
        <v>0</v>
      </c>
      <c r="CR109">
        <v>0</v>
      </c>
      <c r="CS109">
        <v>9</v>
      </c>
      <c r="CT109">
        <v>8</v>
      </c>
      <c r="CU109">
        <v>3</v>
      </c>
      <c r="CV109">
        <v>0</v>
      </c>
      <c r="CW109">
        <v>3</v>
      </c>
      <c r="CX109">
        <v>3</v>
      </c>
      <c r="CY109">
        <v>3</v>
      </c>
      <c r="CZ109">
        <v>5</v>
      </c>
    </row>
    <row r="110" spans="1:104" x14ac:dyDescent="0.25">
      <c r="A110" s="1" t="s">
        <v>860</v>
      </c>
      <c r="B110">
        <v>9929</v>
      </c>
      <c r="C110">
        <v>3044</v>
      </c>
      <c r="D110" s="2">
        <v>43701</v>
      </c>
      <c r="E110" s="3">
        <f t="shared" si="3"/>
        <v>2019</v>
      </c>
      <c r="F110" s="3">
        <f t="shared" si="4"/>
        <v>8</v>
      </c>
      <c r="G110" s="3">
        <f t="shared" si="5"/>
        <v>7</v>
      </c>
      <c r="H110" t="s">
        <v>861</v>
      </c>
      <c r="I110">
        <v>1298</v>
      </c>
      <c r="J110" t="s">
        <v>657</v>
      </c>
      <c r="K110" t="s">
        <v>158</v>
      </c>
      <c r="L110">
        <v>2019</v>
      </c>
      <c r="M110" t="s">
        <v>862</v>
      </c>
      <c r="N110" t="s">
        <v>863</v>
      </c>
      <c r="O110" t="s">
        <v>864</v>
      </c>
      <c r="P110">
        <v>1000</v>
      </c>
      <c r="Q110" t="s">
        <v>158</v>
      </c>
      <c r="R110">
        <v>1910</v>
      </c>
      <c r="V110" t="s">
        <v>158</v>
      </c>
      <c r="X110" t="s">
        <v>109</v>
      </c>
      <c r="Z110">
        <v>-2.5</v>
      </c>
      <c r="AA110">
        <v>-1.5</v>
      </c>
      <c r="AB110">
        <v>45</v>
      </c>
      <c r="AC110">
        <v>45</v>
      </c>
      <c r="AD110">
        <v>10</v>
      </c>
      <c r="AE110">
        <v>75</v>
      </c>
      <c r="AF110">
        <v>25</v>
      </c>
      <c r="AG110">
        <v>67</v>
      </c>
      <c r="AH110">
        <v>33</v>
      </c>
      <c r="AI110">
        <v>50</v>
      </c>
      <c r="AJ110">
        <v>50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100</v>
      </c>
      <c r="AR110">
        <v>33</v>
      </c>
      <c r="AS110">
        <v>83</v>
      </c>
      <c r="AT110">
        <v>33</v>
      </c>
      <c r="AU110">
        <v>17</v>
      </c>
      <c r="AV110">
        <v>83</v>
      </c>
      <c r="AW110">
        <v>2</v>
      </c>
      <c r="AX110">
        <v>2</v>
      </c>
      <c r="AY110">
        <v>1</v>
      </c>
      <c r="AZ110">
        <v>1</v>
      </c>
      <c r="BA110">
        <v>0</v>
      </c>
      <c r="BB110">
        <v>1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2</v>
      </c>
      <c r="BK110">
        <v>0</v>
      </c>
      <c r="BL110">
        <v>1</v>
      </c>
      <c r="BM110">
        <v>0</v>
      </c>
      <c r="BN110">
        <v>2</v>
      </c>
      <c r="BO110">
        <v>0</v>
      </c>
      <c r="BP110">
        <v>1</v>
      </c>
      <c r="BQ110">
        <v>1</v>
      </c>
      <c r="BR110">
        <v>1</v>
      </c>
      <c r="BS110">
        <v>0</v>
      </c>
      <c r="BT110">
        <v>0</v>
      </c>
      <c r="BU110">
        <v>1</v>
      </c>
      <c r="BV110">
        <v>0</v>
      </c>
      <c r="BW110">
        <v>0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0</v>
      </c>
      <c r="CE110">
        <v>0</v>
      </c>
      <c r="CF110">
        <v>0</v>
      </c>
      <c r="CG110">
        <v>1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1</v>
      </c>
      <c r="CN110">
        <v>0</v>
      </c>
      <c r="CO110">
        <v>1</v>
      </c>
      <c r="CP110">
        <v>0</v>
      </c>
      <c r="CQ110">
        <v>1</v>
      </c>
      <c r="CR110">
        <v>0</v>
      </c>
      <c r="CS110">
        <v>1</v>
      </c>
      <c r="CT110">
        <v>1</v>
      </c>
      <c r="CU110">
        <v>1</v>
      </c>
      <c r="CV110">
        <v>0</v>
      </c>
      <c r="CW110">
        <v>0</v>
      </c>
      <c r="CX110">
        <v>1</v>
      </c>
      <c r="CY110">
        <v>0</v>
      </c>
      <c r="CZ110">
        <v>0</v>
      </c>
    </row>
    <row r="111" spans="1:104" x14ac:dyDescent="0.25">
      <c r="A111" s="1" t="s">
        <v>865</v>
      </c>
      <c r="B111">
        <v>1155</v>
      </c>
      <c r="C111">
        <v>1985</v>
      </c>
      <c r="D111" s="2">
        <v>43674</v>
      </c>
      <c r="E111" s="3">
        <f t="shared" si="3"/>
        <v>2019</v>
      </c>
      <c r="F111" s="3">
        <f t="shared" si="4"/>
        <v>7</v>
      </c>
      <c r="G111" s="3">
        <f t="shared" si="5"/>
        <v>1</v>
      </c>
      <c r="H111" t="s">
        <v>866</v>
      </c>
      <c r="I111">
        <v>292</v>
      </c>
      <c r="J111" t="s">
        <v>648</v>
      </c>
      <c r="K111" t="s">
        <v>649</v>
      </c>
      <c r="L111">
        <v>2019</v>
      </c>
      <c r="M111" t="s">
        <v>233</v>
      </c>
      <c r="N111" t="s">
        <v>653</v>
      </c>
      <c r="O111" t="s">
        <v>654</v>
      </c>
      <c r="P111">
        <v>16467</v>
      </c>
      <c r="Q111" t="s">
        <v>649</v>
      </c>
      <c r="R111">
        <v>1939</v>
      </c>
      <c r="S111" t="s">
        <v>867</v>
      </c>
      <c r="T111" t="s">
        <v>868</v>
      </c>
      <c r="U111">
        <v>18936</v>
      </c>
      <c r="V111" t="s">
        <v>649</v>
      </c>
      <c r="W111">
        <v>1919</v>
      </c>
      <c r="X111">
        <v>1</v>
      </c>
      <c r="Z111">
        <v>-3.5</v>
      </c>
      <c r="AA111">
        <v>-1.5</v>
      </c>
      <c r="AB111">
        <v>50</v>
      </c>
      <c r="AC111">
        <v>50</v>
      </c>
      <c r="AD111">
        <v>0</v>
      </c>
      <c r="AE111">
        <v>75</v>
      </c>
      <c r="AF111">
        <v>25</v>
      </c>
      <c r="AG111">
        <v>81</v>
      </c>
      <c r="AH111">
        <v>19</v>
      </c>
      <c r="AI111">
        <v>67</v>
      </c>
      <c r="AJ111">
        <v>33</v>
      </c>
      <c r="AK111">
        <v>86</v>
      </c>
      <c r="AL111">
        <v>14</v>
      </c>
      <c r="AM111">
        <v>75</v>
      </c>
      <c r="AN111">
        <v>25</v>
      </c>
      <c r="AO111">
        <v>64</v>
      </c>
      <c r="AP111">
        <v>36</v>
      </c>
      <c r="AQ111">
        <v>100</v>
      </c>
      <c r="AR111">
        <v>65</v>
      </c>
      <c r="AS111">
        <v>85</v>
      </c>
      <c r="AT111">
        <v>33</v>
      </c>
      <c r="AU111">
        <v>15</v>
      </c>
      <c r="AV111">
        <v>70</v>
      </c>
      <c r="AW111">
        <v>13</v>
      </c>
      <c r="AX111">
        <v>2.6</v>
      </c>
      <c r="AY111">
        <v>3</v>
      </c>
      <c r="AZ111">
        <v>0.6</v>
      </c>
      <c r="BA111">
        <v>9</v>
      </c>
      <c r="BB111">
        <v>9</v>
      </c>
      <c r="BC111">
        <v>6</v>
      </c>
      <c r="BD111">
        <v>6</v>
      </c>
      <c r="BE111">
        <v>3</v>
      </c>
      <c r="BF111">
        <v>2</v>
      </c>
      <c r="BG111">
        <v>0</v>
      </c>
      <c r="BH111">
        <v>1</v>
      </c>
      <c r="BI111">
        <v>18</v>
      </c>
      <c r="BJ111">
        <v>13</v>
      </c>
      <c r="BK111">
        <v>3</v>
      </c>
      <c r="BL111">
        <v>6</v>
      </c>
      <c r="BM111">
        <v>2</v>
      </c>
      <c r="BN111">
        <v>1.4</v>
      </c>
      <c r="BO111">
        <v>0.3</v>
      </c>
      <c r="BP111">
        <v>0.7</v>
      </c>
      <c r="BQ111">
        <v>6</v>
      </c>
      <c r="BR111">
        <v>7</v>
      </c>
      <c r="BS111">
        <v>2</v>
      </c>
      <c r="BT111">
        <v>3</v>
      </c>
      <c r="BU111">
        <v>4</v>
      </c>
      <c r="BV111">
        <v>3</v>
      </c>
      <c r="BW111">
        <v>0</v>
      </c>
      <c r="BX111">
        <v>1</v>
      </c>
      <c r="BY111">
        <v>3</v>
      </c>
      <c r="BZ111">
        <v>0.6</v>
      </c>
      <c r="CA111">
        <v>6</v>
      </c>
      <c r="CB111">
        <v>1.2</v>
      </c>
      <c r="CC111">
        <v>9</v>
      </c>
      <c r="CD111">
        <v>9</v>
      </c>
      <c r="CE111">
        <v>5</v>
      </c>
      <c r="CF111">
        <v>2</v>
      </c>
      <c r="CG111">
        <v>2</v>
      </c>
      <c r="CH111">
        <v>2</v>
      </c>
      <c r="CI111">
        <v>2</v>
      </c>
      <c r="CJ111">
        <v>5</v>
      </c>
      <c r="CK111">
        <v>11</v>
      </c>
      <c r="CL111">
        <v>12</v>
      </c>
      <c r="CM111">
        <v>9</v>
      </c>
      <c r="CN111">
        <v>16</v>
      </c>
      <c r="CO111">
        <v>1.2</v>
      </c>
      <c r="CP111">
        <v>1.3</v>
      </c>
      <c r="CQ111">
        <v>1</v>
      </c>
      <c r="CR111">
        <v>1.8</v>
      </c>
      <c r="CS111">
        <v>7</v>
      </c>
      <c r="CT111">
        <v>6</v>
      </c>
      <c r="CU111">
        <v>1</v>
      </c>
      <c r="CV111">
        <v>0</v>
      </c>
      <c r="CW111">
        <v>3</v>
      </c>
      <c r="CX111">
        <v>4</v>
      </c>
      <c r="CY111">
        <v>3</v>
      </c>
      <c r="CZ111">
        <v>2</v>
      </c>
    </row>
    <row r="112" spans="1:104" x14ac:dyDescent="0.25">
      <c r="A112" s="1" t="s">
        <v>869</v>
      </c>
      <c r="B112">
        <v>5242</v>
      </c>
      <c r="C112">
        <v>9113</v>
      </c>
      <c r="D112" s="2">
        <v>44040</v>
      </c>
      <c r="E112" s="3">
        <f t="shared" si="3"/>
        <v>2020</v>
      </c>
      <c r="F112" s="3">
        <f t="shared" si="4"/>
        <v>7</v>
      </c>
      <c r="G112" s="3">
        <f t="shared" si="5"/>
        <v>3</v>
      </c>
      <c r="H112" t="s">
        <v>870</v>
      </c>
      <c r="I112">
        <v>1183</v>
      </c>
      <c r="J112" t="s">
        <v>320</v>
      </c>
      <c r="K112" t="s">
        <v>871</v>
      </c>
      <c r="L112">
        <v>2019</v>
      </c>
      <c r="M112" t="s">
        <v>297</v>
      </c>
      <c r="N112" t="s">
        <v>872</v>
      </c>
      <c r="O112" t="s">
        <v>873</v>
      </c>
      <c r="P112">
        <v>40000</v>
      </c>
      <c r="Q112" t="s">
        <v>874</v>
      </c>
      <c r="S112" t="s">
        <v>875</v>
      </c>
      <c r="T112" t="s">
        <v>876</v>
      </c>
      <c r="U112">
        <v>25000</v>
      </c>
      <c r="V112" t="s">
        <v>871</v>
      </c>
      <c r="W112">
        <v>1941</v>
      </c>
      <c r="X112" t="s">
        <v>125</v>
      </c>
      <c r="Z112">
        <v>-1.5</v>
      </c>
      <c r="AA112">
        <v>-1.5</v>
      </c>
      <c r="AB112">
        <v>10</v>
      </c>
      <c r="AC112">
        <v>45</v>
      </c>
      <c r="AD112">
        <v>45</v>
      </c>
      <c r="AE112">
        <v>58</v>
      </c>
      <c r="AF112">
        <v>42</v>
      </c>
      <c r="AG112">
        <v>56</v>
      </c>
      <c r="AH112">
        <v>44</v>
      </c>
      <c r="AI112">
        <v>53</v>
      </c>
      <c r="AJ112">
        <v>47</v>
      </c>
      <c r="AK112">
        <v>41</v>
      </c>
      <c r="AL112">
        <v>59</v>
      </c>
      <c r="AM112">
        <v>50</v>
      </c>
      <c r="AN112">
        <v>50</v>
      </c>
      <c r="AO112">
        <v>50</v>
      </c>
      <c r="AP112">
        <v>50</v>
      </c>
      <c r="AQ112">
        <v>47</v>
      </c>
      <c r="AR112">
        <v>36</v>
      </c>
      <c r="AS112">
        <v>50</v>
      </c>
      <c r="AT112">
        <v>33</v>
      </c>
      <c r="AU112">
        <v>29</v>
      </c>
      <c r="AV112">
        <v>43</v>
      </c>
      <c r="AW112">
        <v>5</v>
      </c>
      <c r="AX112">
        <v>1</v>
      </c>
      <c r="AY112">
        <v>7</v>
      </c>
      <c r="AZ112">
        <v>1.4</v>
      </c>
      <c r="BA112">
        <v>12</v>
      </c>
      <c r="BB112">
        <v>13</v>
      </c>
      <c r="BC112">
        <v>4</v>
      </c>
      <c r="BD112">
        <v>5</v>
      </c>
      <c r="BE112">
        <v>3</v>
      </c>
      <c r="BF112">
        <v>2</v>
      </c>
      <c r="BG112">
        <v>5</v>
      </c>
      <c r="BH112">
        <v>6</v>
      </c>
      <c r="BI112">
        <v>12</v>
      </c>
      <c r="BJ112">
        <v>12</v>
      </c>
      <c r="BK112">
        <v>12</v>
      </c>
      <c r="BL112">
        <v>14</v>
      </c>
      <c r="BM112">
        <v>1</v>
      </c>
      <c r="BN112">
        <v>0.9</v>
      </c>
      <c r="BO112">
        <v>1</v>
      </c>
      <c r="BP112">
        <v>1.1000000000000001</v>
      </c>
      <c r="BQ112">
        <v>3</v>
      </c>
      <c r="BR112">
        <v>2</v>
      </c>
      <c r="BS112">
        <v>1</v>
      </c>
      <c r="BT112">
        <v>1</v>
      </c>
      <c r="BU112">
        <v>2</v>
      </c>
      <c r="BV112">
        <v>0</v>
      </c>
      <c r="BW112">
        <v>0</v>
      </c>
      <c r="BX112">
        <v>1</v>
      </c>
      <c r="BY112">
        <v>4</v>
      </c>
      <c r="BZ112">
        <v>0.8</v>
      </c>
      <c r="CA112">
        <v>8</v>
      </c>
      <c r="CB112">
        <v>1.6</v>
      </c>
      <c r="CC112">
        <v>13</v>
      </c>
      <c r="CD112">
        <v>12</v>
      </c>
      <c r="CE112">
        <v>3</v>
      </c>
      <c r="CF112">
        <v>4</v>
      </c>
      <c r="CG112">
        <v>4</v>
      </c>
      <c r="CH112">
        <v>4</v>
      </c>
      <c r="CI112">
        <v>6</v>
      </c>
      <c r="CJ112">
        <v>4</v>
      </c>
      <c r="CK112">
        <v>10</v>
      </c>
      <c r="CL112">
        <v>13</v>
      </c>
      <c r="CM112">
        <v>16</v>
      </c>
      <c r="CN112">
        <v>11</v>
      </c>
      <c r="CO112">
        <v>0.8</v>
      </c>
      <c r="CP112">
        <v>1.1000000000000001</v>
      </c>
      <c r="CQ112">
        <v>1.2</v>
      </c>
      <c r="CR112">
        <v>0.9</v>
      </c>
      <c r="CS112">
        <v>2</v>
      </c>
      <c r="CT112">
        <v>3</v>
      </c>
      <c r="CU112">
        <v>1</v>
      </c>
      <c r="CV112">
        <v>0</v>
      </c>
      <c r="CW112">
        <v>0</v>
      </c>
      <c r="CX112">
        <v>2</v>
      </c>
      <c r="CY112">
        <v>1</v>
      </c>
      <c r="CZ112">
        <v>1</v>
      </c>
    </row>
    <row r="113" spans="1:104" x14ac:dyDescent="0.25">
      <c r="A113" s="1" t="s">
        <v>877</v>
      </c>
      <c r="B113">
        <v>9356</v>
      </c>
      <c r="C113">
        <v>9353</v>
      </c>
      <c r="D113" s="2">
        <v>43868</v>
      </c>
      <c r="E113" s="3">
        <f t="shared" si="3"/>
        <v>2020</v>
      </c>
      <c r="F113" s="3">
        <f t="shared" si="4"/>
        <v>2</v>
      </c>
      <c r="G113" s="3">
        <f t="shared" si="5"/>
        <v>6</v>
      </c>
      <c r="H113" t="s">
        <v>878</v>
      </c>
      <c r="I113">
        <v>1242</v>
      </c>
      <c r="J113" t="s">
        <v>879</v>
      </c>
      <c r="K113" t="s">
        <v>558</v>
      </c>
      <c r="L113">
        <v>2019</v>
      </c>
      <c r="M113" t="s">
        <v>880</v>
      </c>
      <c r="N113" t="s">
        <v>881</v>
      </c>
      <c r="O113" t="s">
        <v>882</v>
      </c>
      <c r="P113">
        <v>5000</v>
      </c>
      <c r="Q113" t="s">
        <v>558</v>
      </c>
      <c r="R113">
        <v>1991</v>
      </c>
      <c r="S113" t="s">
        <v>883</v>
      </c>
      <c r="T113" t="s">
        <v>884</v>
      </c>
      <c r="U113">
        <v>5400</v>
      </c>
      <c r="V113" t="s">
        <v>558</v>
      </c>
      <c r="W113">
        <v>1892</v>
      </c>
      <c r="X113" t="s">
        <v>109</v>
      </c>
      <c r="Z113">
        <v>-2.5</v>
      </c>
      <c r="AA113">
        <v>-2.5</v>
      </c>
      <c r="AB113">
        <v>35</v>
      </c>
      <c r="AC113">
        <v>35</v>
      </c>
      <c r="AD113">
        <v>30</v>
      </c>
      <c r="AE113">
        <v>70</v>
      </c>
      <c r="AF113">
        <v>30</v>
      </c>
      <c r="AG113">
        <v>60</v>
      </c>
      <c r="AH113">
        <v>40</v>
      </c>
      <c r="AI113">
        <v>59</v>
      </c>
      <c r="AJ113">
        <v>41</v>
      </c>
      <c r="AK113">
        <v>31</v>
      </c>
      <c r="AL113">
        <v>69</v>
      </c>
      <c r="AM113">
        <v>0</v>
      </c>
      <c r="AN113">
        <v>100</v>
      </c>
      <c r="AO113">
        <v>0</v>
      </c>
      <c r="AP113">
        <v>100</v>
      </c>
      <c r="AQ113">
        <v>47</v>
      </c>
      <c r="AR113">
        <v>60</v>
      </c>
      <c r="AS113">
        <v>30</v>
      </c>
      <c r="AT113">
        <v>20</v>
      </c>
      <c r="AU113">
        <v>40</v>
      </c>
      <c r="AV113">
        <v>0</v>
      </c>
      <c r="AW113">
        <v>6</v>
      </c>
      <c r="AX113">
        <v>1.2</v>
      </c>
      <c r="AY113">
        <v>7</v>
      </c>
      <c r="AZ113">
        <v>1.4</v>
      </c>
      <c r="BA113">
        <v>8</v>
      </c>
      <c r="BB113">
        <v>11</v>
      </c>
      <c r="BC113">
        <v>3</v>
      </c>
      <c r="BD113">
        <v>1</v>
      </c>
      <c r="BE113">
        <v>2</v>
      </c>
      <c r="BF113">
        <v>3</v>
      </c>
      <c r="BG113">
        <v>3</v>
      </c>
      <c r="BH113">
        <v>7</v>
      </c>
      <c r="BI113">
        <v>10</v>
      </c>
      <c r="BJ113">
        <v>8</v>
      </c>
      <c r="BK113">
        <v>11</v>
      </c>
      <c r="BL113">
        <v>28</v>
      </c>
      <c r="BM113">
        <v>1.3</v>
      </c>
      <c r="BN113">
        <v>0.7</v>
      </c>
      <c r="BO113">
        <v>1.4</v>
      </c>
      <c r="BP113">
        <v>2.5</v>
      </c>
      <c r="BQ113">
        <v>1</v>
      </c>
      <c r="BR113">
        <v>1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1</v>
      </c>
      <c r="BY113">
        <v>4</v>
      </c>
      <c r="BZ113">
        <v>0.8</v>
      </c>
      <c r="CA113">
        <v>10</v>
      </c>
      <c r="CB113">
        <v>2</v>
      </c>
      <c r="CC113">
        <v>9</v>
      </c>
      <c r="CD113">
        <v>10</v>
      </c>
      <c r="CE113">
        <v>4</v>
      </c>
      <c r="CF113">
        <v>6</v>
      </c>
      <c r="CG113">
        <v>1</v>
      </c>
      <c r="CH113">
        <v>1</v>
      </c>
      <c r="CI113">
        <v>4</v>
      </c>
      <c r="CJ113">
        <v>3</v>
      </c>
      <c r="CK113">
        <v>23</v>
      </c>
      <c r="CL113">
        <v>27</v>
      </c>
      <c r="CM113">
        <v>16</v>
      </c>
      <c r="CN113">
        <v>16</v>
      </c>
      <c r="CO113">
        <v>2.6</v>
      </c>
      <c r="CP113">
        <v>2.7</v>
      </c>
      <c r="CQ113">
        <v>1.8</v>
      </c>
      <c r="CR113">
        <v>1.6</v>
      </c>
      <c r="CS113">
        <v>1</v>
      </c>
      <c r="CT113">
        <v>1</v>
      </c>
      <c r="CU113">
        <v>1</v>
      </c>
      <c r="CV113">
        <v>1</v>
      </c>
      <c r="CW113">
        <v>0</v>
      </c>
      <c r="CX113">
        <v>0</v>
      </c>
      <c r="CY113">
        <v>0</v>
      </c>
      <c r="CZ113">
        <v>0</v>
      </c>
    </row>
    <row r="114" spans="1:104" x14ac:dyDescent="0.25">
      <c r="A114" s="1" t="s">
        <v>885</v>
      </c>
      <c r="B114">
        <v>728</v>
      </c>
      <c r="C114">
        <v>534</v>
      </c>
      <c r="D114" s="2">
        <v>44029</v>
      </c>
      <c r="E114" s="3">
        <f t="shared" si="3"/>
        <v>2020</v>
      </c>
      <c r="F114" s="3">
        <f t="shared" si="4"/>
        <v>7</v>
      </c>
      <c r="G114" s="3">
        <f t="shared" si="5"/>
        <v>6</v>
      </c>
      <c r="H114" t="s">
        <v>886</v>
      </c>
      <c r="I114">
        <v>776</v>
      </c>
      <c r="J114" t="s">
        <v>578</v>
      </c>
      <c r="K114" t="s">
        <v>380</v>
      </c>
      <c r="L114">
        <v>2019</v>
      </c>
      <c r="M114" t="s">
        <v>887</v>
      </c>
      <c r="N114" t="s">
        <v>886</v>
      </c>
      <c r="O114" t="s">
        <v>888</v>
      </c>
      <c r="P114">
        <v>15500</v>
      </c>
      <c r="Q114" t="s">
        <v>380</v>
      </c>
      <c r="R114">
        <v>1924</v>
      </c>
      <c r="S114" t="s">
        <v>889</v>
      </c>
      <c r="T114" t="s">
        <v>890</v>
      </c>
      <c r="U114">
        <v>31250</v>
      </c>
      <c r="V114" t="s">
        <v>380</v>
      </c>
      <c r="W114">
        <v>1949</v>
      </c>
      <c r="X114" t="s">
        <v>109</v>
      </c>
      <c r="Z114">
        <v>-3.5</v>
      </c>
      <c r="AA114">
        <v>-2.5</v>
      </c>
      <c r="AB114">
        <v>45</v>
      </c>
      <c r="AC114">
        <v>45</v>
      </c>
      <c r="AD114">
        <v>10</v>
      </c>
      <c r="AE114">
        <v>50</v>
      </c>
      <c r="AF114">
        <v>50</v>
      </c>
      <c r="AG114">
        <v>65</v>
      </c>
      <c r="AH114">
        <v>35</v>
      </c>
      <c r="AI114">
        <v>29</v>
      </c>
      <c r="AJ114">
        <v>71</v>
      </c>
      <c r="AK114">
        <v>0</v>
      </c>
      <c r="AL114">
        <v>0</v>
      </c>
      <c r="AM114">
        <v>88</v>
      </c>
      <c r="AN114">
        <v>13</v>
      </c>
      <c r="AO114">
        <v>80</v>
      </c>
      <c r="AP114">
        <v>20</v>
      </c>
      <c r="AQ114">
        <v>47</v>
      </c>
      <c r="AR114">
        <v>69</v>
      </c>
      <c r="AS114">
        <v>38</v>
      </c>
      <c r="AT114">
        <v>47</v>
      </c>
      <c r="AU114">
        <v>38</v>
      </c>
      <c r="AV114">
        <v>75</v>
      </c>
      <c r="AW114">
        <v>11</v>
      </c>
      <c r="AX114">
        <v>2.2000000000000002</v>
      </c>
      <c r="AY114">
        <v>10</v>
      </c>
      <c r="AZ114">
        <v>2</v>
      </c>
      <c r="BA114">
        <v>20</v>
      </c>
      <c r="BB114">
        <v>20</v>
      </c>
      <c r="BC114">
        <v>9</v>
      </c>
      <c r="BD114">
        <v>3</v>
      </c>
      <c r="BE114">
        <v>8</v>
      </c>
      <c r="BF114">
        <v>12</v>
      </c>
      <c r="BG114">
        <v>3</v>
      </c>
      <c r="BH114">
        <v>5</v>
      </c>
      <c r="BI114">
        <v>27</v>
      </c>
      <c r="BJ114">
        <v>29</v>
      </c>
      <c r="BK114">
        <v>19</v>
      </c>
      <c r="BL114">
        <v>28</v>
      </c>
      <c r="BM114">
        <v>1.4</v>
      </c>
      <c r="BN114">
        <v>1.5</v>
      </c>
      <c r="BO114">
        <v>1</v>
      </c>
      <c r="BP114">
        <v>1.4</v>
      </c>
      <c r="BQ114">
        <v>2</v>
      </c>
      <c r="BR114">
        <v>2</v>
      </c>
      <c r="BS114">
        <v>1</v>
      </c>
      <c r="BT114">
        <v>1</v>
      </c>
      <c r="BU114">
        <v>1</v>
      </c>
      <c r="BV114">
        <v>1</v>
      </c>
      <c r="BW114">
        <v>0</v>
      </c>
      <c r="BX114">
        <v>0</v>
      </c>
      <c r="BY114">
        <v>6</v>
      </c>
      <c r="BZ114">
        <v>1.2</v>
      </c>
      <c r="CA114">
        <v>4</v>
      </c>
      <c r="CB114">
        <v>0.8</v>
      </c>
      <c r="CC114">
        <v>20</v>
      </c>
      <c r="CD114">
        <v>20</v>
      </c>
      <c r="CE114">
        <v>8</v>
      </c>
      <c r="CF114">
        <v>5</v>
      </c>
      <c r="CG114">
        <v>7</v>
      </c>
      <c r="CH114">
        <v>7</v>
      </c>
      <c r="CI114">
        <v>5</v>
      </c>
      <c r="CJ114">
        <v>8</v>
      </c>
      <c r="CK114">
        <v>26</v>
      </c>
      <c r="CL114">
        <v>16</v>
      </c>
      <c r="CM114">
        <v>20</v>
      </c>
      <c r="CN114">
        <v>23</v>
      </c>
      <c r="CO114">
        <v>1.3</v>
      </c>
      <c r="CP114">
        <v>0.8</v>
      </c>
      <c r="CQ114">
        <v>1</v>
      </c>
      <c r="CR114">
        <v>1.2</v>
      </c>
      <c r="CS114">
        <v>2</v>
      </c>
      <c r="CT114">
        <v>2</v>
      </c>
      <c r="CU114">
        <v>0</v>
      </c>
      <c r="CV114">
        <v>0</v>
      </c>
      <c r="CW114">
        <v>1</v>
      </c>
      <c r="CX114">
        <v>1</v>
      </c>
      <c r="CY114">
        <v>1</v>
      </c>
      <c r="CZ114">
        <v>1</v>
      </c>
    </row>
    <row r="115" spans="1:104" x14ac:dyDescent="0.25">
      <c r="A115" s="1" t="s">
        <v>891</v>
      </c>
      <c r="B115">
        <v>7328</v>
      </c>
      <c r="C115">
        <v>7364</v>
      </c>
      <c r="D115" s="2">
        <v>43771</v>
      </c>
      <c r="E115" s="3">
        <f t="shared" si="3"/>
        <v>2019</v>
      </c>
      <c r="F115" s="3">
        <f t="shared" si="4"/>
        <v>11</v>
      </c>
      <c r="G115" s="3">
        <f t="shared" si="5"/>
        <v>7</v>
      </c>
      <c r="H115" t="s">
        <v>892</v>
      </c>
      <c r="I115">
        <v>1157</v>
      </c>
      <c r="J115" t="s">
        <v>893</v>
      </c>
      <c r="K115" t="s">
        <v>121</v>
      </c>
      <c r="L115">
        <v>2019</v>
      </c>
      <c r="M115" t="s">
        <v>520</v>
      </c>
      <c r="N115" t="s">
        <v>894</v>
      </c>
      <c r="O115" t="s">
        <v>895</v>
      </c>
      <c r="P115">
        <v>2000</v>
      </c>
      <c r="Q115" t="s">
        <v>121</v>
      </c>
      <c r="S115" t="s">
        <v>896</v>
      </c>
      <c r="T115" t="s">
        <v>897</v>
      </c>
      <c r="U115">
        <v>2000</v>
      </c>
      <c r="V115" t="s">
        <v>121</v>
      </c>
      <c r="X115" t="s">
        <v>109</v>
      </c>
      <c r="Y115">
        <v>1.5</v>
      </c>
      <c r="Z115">
        <v>-3.5</v>
      </c>
      <c r="AA115">
        <v>-2.5</v>
      </c>
      <c r="AB115">
        <v>45</v>
      </c>
      <c r="AC115">
        <v>45</v>
      </c>
      <c r="AD115">
        <v>10</v>
      </c>
      <c r="AE115">
        <v>71</v>
      </c>
      <c r="AF115">
        <v>29</v>
      </c>
      <c r="AG115">
        <v>63</v>
      </c>
      <c r="AH115">
        <v>37</v>
      </c>
      <c r="AI115">
        <v>53</v>
      </c>
      <c r="AJ115">
        <v>47</v>
      </c>
      <c r="AK115">
        <v>79</v>
      </c>
      <c r="AL115">
        <v>21</v>
      </c>
      <c r="AM115">
        <v>0</v>
      </c>
      <c r="AN115">
        <v>0</v>
      </c>
      <c r="AO115">
        <v>0</v>
      </c>
      <c r="AP115">
        <v>0</v>
      </c>
      <c r="AQ115">
        <v>67</v>
      </c>
      <c r="AR115">
        <v>80</v>
      </c>
      <c r="AS115">
        <v>40</v>
      </c>
      <c r="AT115">
        <v>27</v>
      </c>
      <c r="AU115">
        <v>47</v>
      </c>
      <c r="AV115">
        <v>33</v>
      </c>
      <c r="AW115">
        <v>12</v>
      </c>
      <c r="AX115">
        <v>2.4</v>
      </c>
      <c r="AY115">
        <v>9</v>
      </c>
      <c r="AZ115">
        <v>1.8</v>
      </c>
      <c r="BA115">
        <v>6</v>
      </c>
      <c r="BB115">
        <v>6</v>
      </c>
      <c r="BC115">
        <v>4</v>
      </c>
      <c r="BD115">
        <v>2</v>
      </c>
      <c r="BE115">
        <v>2</v>
      </c>
      <c r="BF115">
        <v>3</v>
      </c>
      <c r="BG115">
        <v>0</v>
      </c>
      <c r="BH115">
        <v>1</v>
      </c>
      <c r="BI115">
        <v>13</v>
      </c>
      <c r="BJ115">
        <v>8</v>
      </c>
      <c r="BK115">
        <v>5</v>
      </c>
      <c r="BL115">
        <v>6</v>
      </c>
      <c r="BM115">
        <v>2.2000000000000002</v>
      </c>
      <c r="BN115">
        <v>1.3</v>
      </c>
      <c r="BO115">
        <v>0.8</v>
      </c>
      <c r="BP115">
        <v>1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>
        <v>7</v>
      </c>
      <c r="BZ115">
        <v>1.4</v>
      </c>
      <c r="CA115">
        <v>10</v>
      </c>
      <c r="CB115">
        <v>2</v>
      </c>
      <c r="CC115">
        <v>7</v>
      </c>
      <c r="CD115">
        <v>5</v>
      </c>
      <c r="CE115">
        <v>1</v>
      </c>
      <c r="CF115">
        <v>1</v>
      </c>
      <c r="CG115">
        <v>1</v>
      </c>
      <c r="CH115">
        <v>2</v>
      </c>
      <c r="CI115">
        <v>5</v>
      </c>
      <c r="CJ115">
        <v>2</v>
      </c>
      <c r="CK115">
        <v>9</v>
      </c>
      <c r="CL115">
        <v>5</v>
      </c>
      <c r="CM115">
        <v>14</v>
      </c>
      <c r="CN115">
        <v>11</v>
      </c>
      <c r="CO115">
        <v>1.3</v>
      </c>
      <c r="CP115">
        <v>1</v>
      </c>
      <c r="CQ115">
        <v>2</v>
      </c>
      <c r="CR115">
        <v>2.2000000000000002</v>
      </c>
      <c r="CS115">
        <v>0</v>
      </c>
      <c r="CT115">
        <v>1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0</v>
      </c>
    </row>
    <row r="116" spans="1:104" x14ac:dyDescent="0.25">
      <c r="A116" s="1" t="s">
        <v>898</v>
      </c>
      <c r="B116">
        <v>4221</v>
      </c>
      <c r="C116">
        <v>4225</v>
      </c>
      <c r="D116" s="2">
        <v>43897</v>
      </c>
      <c r="E116" s="3">
        <f t="shared" si="3"/>
        <v>2020</v>
      </c>
      <c r="F116" s="3">
        <f t="shared" si="4"/>
        <v>3</v>
      </c>
      <c r="G116" s="3">
        <f t="shared" si="5"/>
        <v>7</v>
      </c>
      <c r="H116" t="s">
        <v>899</v>
      </c>
      <c r="I116">
        <v>1370</v>
      </c>
      <c r="J116" t="s">
        <v>761</v>
      </c>
      <c r="K116" t="s">
        <v>900</v>
      </c>
      <c r="L116">
        <v>2020</v>
      </c>
      <c r="M116" t="s">
        <v>405</v>
      </c>
      <c r="N116" t="s">
        <v>899</v>
      </c>
      <c r="O116" t="s">
        <v>901</v>
      </c>
      <c r="P116">
        <v>15000</v>
      </c>
      <c r="Q116" t="s">
        <v>900</v>
      </c>
      <c r="R116">
        <v>1967</v>
      </c>
      <c r="S116" t="s">
        <v>902</v>
      </c>
      <c r="T116" t="s">
        <v>903</v>
      </c>
      <c r="U116">
        <v>15000</v>
      </c>
      <c r="V116" t="s">
        <v>900</v>
      </c>
      <c r="X116" t="s">
        <v>125</v>
      </c>
      <c r="Y116">
        <v>1.5</v>
      </c>
      <c r="Z116">
        <v>-1.5</v>
      </c>
      <c r="AA116">
        <v>-1.5</v>
      </c>
      <c r="AB116">
        <v>10</v>
      </c>
      <c r="AC116">
        <v>45</v>
      </c>
      <c r="AD116">
        <v>45</v>
      </c>
      <c r="AE116">
        <v>0</v>
      </c>
      <c r="AF116">
        <v>0</v>
      </c>
      <c r="AG116">
        <v>50</v>
      </c>
      <c r="AH116">
        <v>50</v>
      </c>
      <c r="AI116">
        <v>50</v>
      </c>
      <c r="AJ116">
        <v>50</v>
      </c>
      <c r="AK116">
        <v>0</v>
      </c>
      <c r="AL116">
        <v>0</v>
      </c>
      <c r="AM116">
        <v>20</v>
      </c>
      <c r="AN116">
        <v>80</v>
      </c>
      <c r="AO116">
        <v>25</v>
      </c>
      <c r="AP116">
        <v>75</v>
      </c>
      <c r="AQ116">
        <v>0</v>
      </c>
      <c r="AR116">
        <v>8</v>
      </c>
      <c r="AS116">
        <v>75</v>
      </c>
      <c r="AT116">
        <v>0</v>
      </c>
      <c r="AU116">
        <v>8</v>
      </c>
      <c r="AV116">
        <v>75</v>
      </c>
      <c r="AW116">
        <v>1</v>
      </c>
      <c r="AX116">
        <v>1</v>
      </c>
      <c r="AY116">
        <v>3</v>
      </c>
      <c r="AZ116">
        <v>3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3</v>
      </c>
      <c r="BL116">
        <v>0</v>
      </c>
      <c r="BM116">
        <v>1</v>
      </c>
      <c r="BN116">
        <v>0</v>
      </c>
      <c r="BO116">
        <v>3</v>
      </c>
      <c r="BP116">
        <v>0</v>
      </c>
      <c r="BQ116">
        <v>2</v>
      </c>
      <c r="BR116">
        <v>1</v>
      </c>
      <c r="BS116">
        <v>0</v>
      </c>
      <c r="BT116">
        <v>0</v>
      </c>
      <c r="BU116">
        <v>0</v>
      </c>
      <c r="BV116">
        <v>1</v>
      </c>
      <c r="BW116">
        <v>2</v>
      </c>
      <c r="BX116">
        <v>0</v>
      </c>
      <c r="BY116">
        <v>1</v>
      </c>
      <c r="BZ116">
        <v>1</v>
      </c>
      <c r="CA116">
        <v>3</v>
      </c>
      <c r="CB116">
        <v>3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1</v>
      </c>
      <c r="CL116">
        <v>0</v>
      </c>
      <c r="CM116">
        <v>3</v>
      </c>
      <c r="CN116">
        <v>0</v>
      </c>
      <c r="CO116">
        <v>1</v>
      </c>
      <c r="CP116">
        <v>0</v>
      </c>
      <c r="CQ116">
        <v>3</v>
      </c>
      <c r="CR116">
        <v>0</v>
      </c>
      <c r="CS116">
        <v>1</v>
      </c>
      <c r="CT116">
        <v>2</v>
      </c>
      <c r="CU116">
        <v>0</v>
      </c>
      <c r="CV116">
        <v>2</v>
      </c>
      <c r="CW116">
        <v>1</v>
      </c>
      <c r="CX116">
        <v>0</v>
      </c>
      <c r="CY116">
        <v>0</v>
      </c>
      <c r="CZ116">
        <v>0</v>
      </c>
    </row>
    <row r="117" spans="1:104" x14ac:dyDescent="0.25">
      <c r="A117" s="1" t="s">
        <v>904</v>
      </c>
      <c r="B117">
        <v>131</v>
      </c>
      <c r="C117">
        <v>120</v>
      </c>
      <c r="D117" s="2">
        <v>43694</v>
      </c>
      <c r="E117" s="3">
        <f t="shared" si="3"/>
        <v>2019</v>
      </c>
      <c r="F117" s="3">
        <f t="shared" si="4"/>
        <v>8</v>
      </c>
      <c r="G117" s="3">
        <f t="shared" si="5"/>
        <v>7</v>
      </c>
      <c r="H117" t="s">
        <v>905</v>
      </c>
      <c r="I117">
        <v>357</v>
      </c>
      <c r="J117" t="s">
        <v>648</v>
      </c>
      <c r="K117" t="s">
        <v>264</v>
      </c>
      <c r="L117">
        <v>2019</v>
      </c>
      <c r="M117" t="s">
        <v>906</v>
      </c>
      <c r="N117" t="s">
        <v>905</v>
      </c>
      <c r="O117" t="s">
        <v>907</v>
      </c>
      <c r="P117">
        <v>47605</v>
      </c>
      <c r="Q117" t="s">
        <v>264</v>
      </c>
      <c r="R117">
        <v>1910</v>
      </c>
      <c r="S117" t="s">
        <v>908</v>
      </c>
      <c r="T117" t="s">
        <v>909</v>
      </c>
      <c r="U117">
        <v>46931</v>
      </c>
      <c r="V117" t="s">
        <v>264</v>
      </c>
      <c r="W117">
        <v>1904</v>
      </c>
      <c r="X117" t="s">
        <v>109</v>
      </c>
      <c r="Y117">
        <v>-3.5</v>
      </c>
      <c r="Z117">
        <v>-2.5</v>
      </c>
      <c r="AA117">
        <v>-1.5</v>
      </c>
      <c r="AB117">
        <v>45</v>
      </c>
      <c r="AC117">
        <v>45</v>
      </c>
      <c r="AD117">
        <v>10</v>
      </c>
      <c r="AE117">
        <v>56</v>
      </c>
      <c r="AF117">
        <v>44</v>
      </c>
      <c r="AG117">
        <v>54</v>
      </c>
      <c r="AH117">
        <v>46</v>
      </c>
      <c r="AI117">
        <v>63</v>
      </c>
      <c r="AJ117">
        <v>38</v>
      </c>
      <c r="AK117">
        <v>67</v>
      </c>
      <c r="AL117">
        <v>33</v>
      </c>
      <c r="AM117">
        <v>40</v>
      </c>
      <c r="AN117">
        <v>60</v>
      </c>
      <c r="AO117">
        <v>44</v>
      </c>
      <c r="AP117">
        <v>56</v>
      </c>
      <c r="AQ117">
        <v>60</v>
      </c>
      <c r="AR117">
        <v>50</v>
      </c>
      <c r="AS117">
        <v>79</v>
      </c>
      <c r="AT117">
        <v>47</v>
      </c>
      <c r="AU117">
        <v>43</v>
      </c>
      <c r="AV117">
        <v>64</v>
      </c>
      <c r="AW117">
        <v>7</v>
      </c>
      <c r="AX117">
        <v>1.4</v>
      </c>
      <c r="AY117">
        <v>3</v>
      </c>
      <c r="AZ117">
        <v>0.6</v>
      </c>
      <c r="BA117">
        <v>7</v>
      </c>
      <c r="BB117">
        <v>7</v>
      </c>
      <c r="BC117">
        <v>4</v>
      </c>
      <c r="BD117">
        <v>2</v>
      </c>
      <c r="BE117">
        <v>3</v>
      </c>
      <c r="BF117">
        <v>3</v>
      </c>
      <c r="BG117">
        <v>0</v>
      </c>
      <c r="BH117">
        <v>2</v>
      </c>
      <c r="BI117">
        <v>7</v>
      </c>
      <c r="BJ117">
        <v>8</v>
      </c>
      <c r="BK117">
        <v>2</v>
      </c>
      <c r="BL117">
        <v>6</v>
      </c>
      <c r="BM117">
        <v>1</v>
      </c>
      <c r="BN117">
        <v>1.1000000000000001</v>
      </c>
      <c r="BO117">
        <v>0.3</v>
      </c>
      <c r="BP117">
        <v>0.9</v>
      </c>
      <c r="BQ117">
        <v>9</v>
      </c>
      <c r="BR117">
        <v>9</v>
      </c>
      <c r="BS117">
        <v>4</v>
      </c>
      <c r="BT117">
        <v>1</v>
      </c>
      <c r="BU117">
        <v>3</v>
      </c>
      <c r="BV117">
        <v>2</v>
      </c>
      <c r="BW117">
        <v>2</v>
      </c>
      <c r="BX117">
        <v>6</v>
      </c>
      <c r="BY117">
        <v>6</v>
      </c>
      <c r="BZ117">
        <v>1.2</v>
      </c>
      <c r="CA117">
        <v>5</v>
      </c>
      <c r="CB117">
        <v>1</v>
      </c>
      <c r="CC117">
        <v>7</v>
      </c>
      <c r="CD117">
        <v>7</v>
      </c>
      <c r="CE117">
        <v>4</v>
      </c>
      <c r="CF117">
        <v>3</v>
      </c>
      <c r="CG117">
        <v>0</v>
      </c>
      <c r="CH117">
        <v>1</v>
      </c>
      <c r="CI117">
        <v>3</v>
      </c>
      <c r="CJ117">
        <v>3</v>
      </c>
      <c r="CK117">
        <v>7</v>
      </c>
      <c r="CL117">
        <v>7</v>
      </c>
      <c r="CM117">
        <v>6</v>
      </c>
      <c r="CN117">
        <v>7</v>
      </c>
      <c r="CO117">
        <v>1</v>
      </c>
      <c r="CP117">
        <v>1</v>
      </c>
      <c r="CQ117">
        <v>0.9</v>
      </c>
      <c r="CR117">
        <v>1</v>
      </c>
      <c r="CS117">
        <v>9</v>
      </c>
      <c r="CT117">
        <v>9</v>
      </c>
      <c r="CU117">
        <v>6</v>
      </c>
      <c r="CV117">
        <v>2</v>
      </c>
      <c r="CW117">
        <v>2</v>
      </c>
      <c r="CX117">
        <v>3</v>
      </c>
      <c r="CY117">
        <v>1</v>
      </c>
      <c r="CZ117">
        <v>4</v>
      </c>
    </row>
    <row r="118" spans="1:104" x14ac:dyDescent="0.25">
      <c r="A118" s="1" t="s">
        <v>910</v>
      </c>
      <c r="B118">
        <v>1620</v>
      </c>
      <c r="C118">
        <v>1315</v>
      </c>
      <c r="D118" s="2">
        <v>43984</v>
      </c>
      <c r="E118" s="3">
        <f t="shared" si="3"/>
        <v>2020</v>
      </c>
      <c r="F118" s="3">
        <f t="shared" si="4"/>
        <v>6</v>
      </c>
      <c r="G118" s="3">
        <f t="shared" si="5"/>
        <v>3</v>
      </c>
      <c r="H118" t="s">
        <v>911</v>
      </c>
      <c r="I118">
        <v>753</v>
      </c>
      <c r="J118" t="s">
        <v>912</v>
      </c>
      <c r="K118" t="s">
        <v>558</v>
      </c>
      <c r="L118">
        <v>2019</v>
      </c>
      <c r="M118" t="s">
        <v>787</v>
      </c>
      <c r="N118" t="s">
        <v>911</v>
      </c>
      <c r="O118" t="s">
        <v>913</v>
      </c>
      <c r="P118">
        <v>10001</v>
      </c>
      <c r="Q118" t="s">
        <v>558</v>
      </c>
      <c r="R118">
        <v>1904</v>
      </c>
      <c r="S118" t="s">
        <v>914</v>
      </c>
      <c r="T118" t="s">
        <v>915</v>
      </c>
      <c r="U118">
        <v>10134</v>
      </c>
      <c r="V118" t="s">
        <v>558</v>
      </c>
      <c r="W118">
        <v>1912</v>
      </c>
      <c r="X118" t="s">
        <v>125</v>
      </c>
      <c r="Z118">
        <v>-2.5</v>
      </c>
      <c r="AA118">
        <v>-2.5</v>
      </c>
      <c r="AB118">
        <v>10</v>
      </c>
      <c r="AC118">
        <v>45</v>
      </c>
      <c r="AD118">
        <v>45</v>
      </c>
      <c r="AE118">
        <v>67</v>
      </c>
      <c r="AF118">
        <v>33</v>
      </c>
      <c r="AG118">
        <v>54</v>
      </c>
      <c r="AH118">
        <v>46</v>
      </c>
      <c r="AI118">
        <v>57</v>
      </c>
      <c r="AJ118">
        <v>43</v>
      </c>
      <c r="AK118">
        <v>49</v>
      </c>
      <c r="AL118">
        <v>51</v>
      </c>
      <c r="AM118">
        <v>0</v>
      </c>
      <c r="AN118">
        <v>100</v>
      </c>
      <c r="AO118">
        <v>0</v>
      </c>
      <c r="AP118">
        <v>100</v>
      </c>
      <c r="AQ118">
        <v>67</v>
      </c>
      <c r="AR118">
        <v>37</v>
      </c>
      <c r="AS118">
        <v>68</v>
      </c>
      <c r="AT118">
        <v>33</v>
      </c>
      <c r="AU118">
        <v>32</v>
      </c>
      <c r="AV118">
        <v>58</v>
      </c>
      <c r="AW118">
        <v>7</v>
      </c>
      <c r="AX118">
        <v>1.4</v>
      </c>
      <c r="AY118">
        <v>6</v>
      </c>
      <c r="AZ118">
        <v>1.2</v>
      </c>
      <c r="BA118">
        <v>14</v>
      </c>
      <c r="BB118">
        <v>14</v>
      </c>
      <c r="BC118">
        <v>4</v>
      </c>
      <c r="BD118">
        <v>5</v>
      </c>
      <c r="BE118">
        <v>4</v>
      </c>
      <c r="BF118">
        <v>4</v>
      </c>
      <c r="BG118">
        <v>6</v>
      </c>
      <c r="BH118">
        <v>5</v>
      </c>
      <c r="BI118">
        <v>19</v>
      </c>
      <c r="BJ118">
        <v>29</v>
      </c>
      <c r="BK118">
        <v>26</v>
      </c>
      <c r="BL118">
        <v>31</v>
      </c>
      <c r="BM118">
        <v>1.4</v>
      </c>
      <c r="BN118">
        <v>2.1</v>
      </c>
      <c r="BO118">
        <v>1.9</v>
      </c>
      <c r="BP118">
        <v>2.2000000000000002</v>
      </c>
      <c r="BQ118">
        <v>1</v>
      </c>
      <c r="BR118">
        <v>1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6</v>
      </c>
      <c r="BZ118">
        <v>1.2</v>
      </c>
      <c r="CA118">
        <v>8</v>
      </c>
      <c r="CB118">
        <v>1.6</v>
      </c>
      <c r="CC118">
        <v>14</v>
      </c>
      <c r="CD118">
        <v>14</v>
      </c>
      <c r="CE118">
        <v>5</v>
      </c>
      <c r="CF118">
        <v>3</v>
      </c>
      <c r="CG118">
        <v>4</v>
      </c>
      <c r="CH118">
        <v>5</v>
      </c>
      <c r="CI118">
        <v>5</v>
      </c>
      <c r="CJ118">
        <v>6</v>
      </c>
      <c r="CK118">
        <v>25</v>
      </c>
      <c r="CL118">
        <v>17</v>
      </c>
      <c r="CM118">
        <v>19</v>
      </c>
      <c r="CN118">
        <v>24</v>
      </c>
      <c r="CO118">
        <v>1.8</v>
      </c>
      <c r="CP118">
        <v>1.2</v>
      </c>
      <c r="CQ118">
        <v>1.4</v>
      </c>
      <c r="CR118">
        <v>1.7</v>
      </c>
      <c r="CS118">
        <v>1</v>
      </c>
      <c r="CT118">
        <v>1</v>
      </c>
      <c r="CU118">
        <v>1</v>
      </c>
      <c r="CV118">
        <v>0</v>
      </c>
      <c r="CW118">
        <v>0</v>
      </c>
      <c r="CX118">
        <v>0</v>
      </c>
      <c r="CY118">
        <v>0</v>
      </c>
      <c r="CZ118">
        <v>1</v>
      </c>
    </row>
    <row r="119" spans="1:104" x14ac:dyDescent="0.25">
      <c r="A119" s="1" t="s">
        <v>916</v>
      </c>
      <c r="B119">
        <v>9359</v>
      </c>
      <c r="C119">
        <v>1634</v>
      </c>
      <c r="D119" s="2">
        <v>43701</v>
      </c>
      <c r="E119" s="3">
        <f t="shared" si="3"/>
        <v>2019</v>
      </c>
      <c r="F119" s="3">
        <f t="shared" si="4"/>
        <v>8</v>
      </c>
      <c r="G119" s="3">
        <f t="shared" si="5"/>
        <v>7</v>
      </c>
      <c r="H119" t="s">
        <v>917</v>
      </c>
      <c r="I119">
        <v>1243</v>
      </c>
      <c r="J119" t="s">
        <v>918</v>
      </c>
      <c r="K119" t="s">
        <v>558</v>
      </c>
      <c r="L119">
        <v>2019</v>
      </c>
      <c r="M119" t="s">
        <v>919</v>
      </c>
      <c r="N119" t="s">
        <v>917</v>
      </c>
      <c r="O119" t="s">
        <v>920</v>
      </c>
      <c r="P119">
        <v>5000</v>
      </c>
      <c r="Q119" t="s">
        <v>558</v>
      </c>
      <c r="S119" t="s">
        <v>921</v>
      </c>
      <c r="T119" t="s">
        <v>922</v>
      </c>
      <c r="U119">
        <v>21813</v>
      </c>
      <c r="V119" t="s">
        <v>558</v>
      </c>
      <c r="W119">
        <v>1908</v>
      </c>
      <c r="X119" t="s">
        <v>125</v>
      </c>
      <c r="Y119">
        <v>1.5</v>
      </c>
      <c r="Z119">
        <v>-2.5</v>
      </c>
      <c r="AA119">
        <v>-2.5</v>
      </c>
      <c r="AB119">
        <v>10</v>
      </c>
      <c r="AC119">
        <v>45</v>
      </c>
      <c r="AD119">
        <v>45</v>
      </c>
      <c r="AE119">
        <v>36</v>
      </c>
      <c r="AF119">
        <v>64</v>
      </c>
      <c r="AG119">
        <v>59</v>
      </c>
      <c r="AH119">
        <v>41</v>
      </c>
      <c r="AI119">
        <v>28</v>
      </c>
      <c r="AJ119">
        <v>72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27</v>
      </c>
      <c r="AR119">
        <v>83</v>
      </c>
      <c r="AS119">
        <v>0</v>
      </c>
      <c r="AT119">
        <v>58</v>
      </c>
      <c r="AU119">
        <v>58</v>
      </c>
      <c r="AV119">
        <v>58</v>
      </c>
      <c r="AW119">
        <v>10</v>
      </c>
      <c r="AX119">
        <v>2</v>
      </c>
      <c r="AY119">
        <v>13</v>
      </c>
      <c r="AZ119">
        <v>2.6</v>
      </c>
      <c r="BA119">
        <v>2</v>
      </c>
      <c r="BB119">
        <v>3</v>
      </c>
      <c r="BC119">
        <v>1</v>
      </c>
      <c r="BD119">
        <v>0</v>
      </c>
      <c r="BE119">
        <v>0</v>
      </c>
      <c r="BF119">
        <v>1</v>
      </c>
      <c r="BG119">
        <v>1</v>
      </c>
      <c r="BH119">
        <v>2</v>
      </c>
      <c r="BI119">
        <v>3</v>
      </c>
      <c r="BJ119">
        <v>7</v>
      </c>
      <c r="BK119">
        <v>2</v>
      </c>
      <c r="BL119">
        <v>11</v>
      </c>
      <c r="BM119">
        <v>1.5</v>
      </c>
      <c r="BN119">
        <v>2.2999999999999998</v>
      </c>
      <c r="BO119">
        <v>1</v>
      </c>
      <c r="BP119">
        <v>3.7</v>
      </c>
      <c r="BQ119">
        <v>1</v>
      </c>
      <c r="BR119">
        <v>1</v>
      </c>
      <c r="BS119">
        <v>1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7</v>
      </c>
      <c r="BZ119">
        <v>1.8</v>
      </c>
      <c r="CA119">
        <v>5</v>
      </c>
      <c r="CB119">
        <v>1.3</v>
      </c>
      <c r="CC119">
        <v>2</v>
      </c>
      <c r="CD119">
        <v>2</v>
      </c>
      <c r="CE119">
        <v>1</v>
      </c>
      <c r="CF119">
        <v>1</v>
      </c>
      <c r="CG119">
        <v>0</v>
      </c>
      <c r="CH119">
        <v>1</v>
      </c>
      <c r="CI119">
        <v>1</v>
      </c>
      <c r="CJ119">
        <v>0</v>
      </c>
      <c r="CK119">
        <v>3</v>
      </c>
      <c r="CL119">
        <v>4</v>
      </c>
      <c r="CM119">
        <v>3</v>
      </c>
      <c r="CN119">
        <v>2</v>
      </c>
      <c r="CO119">
        <v>1.5</v>
      </c>
      <c r="CP119">
        <v>2</v>
      </c>
      <c r="CQ119">
        <v>1.5</v>
      </c>
      <c r="CR119">
        <v>1</v>
      </c>
      <c r="CS119">
        <v>1</v>
      </c>
      <c r="CT119">
        <v>1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1</v>
      </c>
    </row>
    <row r="120" spans="1:104" x14ac:dyDescent="0.25">
      <c r="A120" s="1" t="s">
        <v>923</v>
      </c>
      <c r="B120">
        <v>10377</v>
      </c>
      <c r="C120">
        <v>10330</v>
      </c>
      <c r="D120" s="2">
        <v>43667</v>
      </c>
      <c r="E120" s="3">
        <f t="shared" si="3"/>
        <v>2019</v>
      </c>
      <c r="F120" s="3">
        <f t="shared" si="4"/>
        <v>7</v>
      </c>
      <c r="G120" s="3">
        <f t="shared" si="5"/>
        <v>1</v>
      </c>
      <c r="H120" t="s">
        <v>924</v>
      </c>
      <c r="I120">
        <v>1420</v>
      </c>
      <c r="J120" t="s">
        <v>187</v>
      </c>
      <c r="K120" t="s">
        <v>129</v>
      </c>
      <c r="L120">
        <v>2019</v>
      </c>
      <c r="M120" t="s">
        <v>925</v>
      </c>
      <c r="Q120" t="s">
        <v>674</v>
      </c>
      <c r="S120" t="s">
        <v>926</v>
      </c>
      <c r="T120" t="s">
        <v>927</v>
      </c>
      <c r="U120">
        <v>20854</v>
      </c>
      <c r="V120" t="s">
        <v>121</v>
      </c>
      <c r="W120">
        <v>1901</v>
      </c>
      <c r="X120" t="s">
        <v>109</v>
      </c>
      <c r="Z120">
        <v>-3.5</v>
      </c>
      <c r="AA120">
        <v>-2.5</v>
      </c>
      <c r="AB120">
        <v>50</v>
      </c>
      <c r="AC120">
        <v>50</v>
      </c>
      <c r="AD120">
        <v>0</v>
      </c>
      <c r="AE120">
        <v>59</v>
      </c>
      <c r="AF120">
        <v>41</v>
      </c>
      <c r="AG120">
        <v>61</v>
      </c>
      <c r="AH120">
        <v>39</v>
      </c>
      <c r="AI120">
        <v>75</v>
      </c>
      <c r="AJ120">
        <v>25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67</v>
      </c>
      <c r="AR120">
        <v>92</v>
      </c>
      <c r="AS120">
        <v>75</v>
      </c>
      <c r="AT120">
        <v>47</v>
      </c>
      <c r="AU120">
        <v>58</v>
      </c>
      <c r="AV120">
        <v>25</v>
      </c>
      <c r="AW120">
        <v>11</v>
      </c>
      <c r="AX120">
        <v>2.2000000000000002</v>
      </c>
      <c r="AY120">
        <v>3</v>
      </c>
      <c r="AZ120">
        <v>0.6</v>
      </c>
      <c r="BA120">
        <v>5</v>
      </c>
      <c r="BB120">
        <v>3</v>
      </c>
      <c r="BC120">
        <v>4</v>
      </c>
      <c r="BD120">
        <v>2</v>
      </c>
      <c r="BE120">
        <v>0</v>
      </c>
      <c r="BF120">
        <v>1</v>
      </c>
      <c r="BG120">
        <v>1</v>
      </c>
      <c r="BH120">
        <v>0</v>
      </c>
      <c r="BI120">
        <v>13</v>
      </c>
      <c r="BJ120">
        <v>6</v>
      </c>
      <c r="BK120">
        <v>3</v>
      </c>
      <c r="BL120">
        <v>2</v>
      </c>
      <c r="BM120">
        <v>2.6</v>
      </c>
      <c r="BN120">
        <v>2</v>
      </c>
      <c r="BO120">
        <v>0.6</v>
      </c>
      <c r="BP120">
        <v>0.7</v>
      </c>
      <c r="BQ120">
        <v>1</v>
      </c>
      <c r="BR120">
        <v>0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7</v>
      </c>
      <c r="BZ120">
        <v>1.4</v>
      </c>
      <c r="CA120">
        <v>9</v>
      </c>
      <c r="CB120">
        <v>1.8</v>
      </c>
      <c r="CC120">
        <v>6</v>
      </c>
      <c r="CD120">
        <v>2</v>
      </c>
      <c r="CE120">
        <v>4</v>
      </c>
      <c r="CF120">
        <v>0</v>
      </c>
      <c r="CG120">
        <v>1</v>
      </c>
      <c r="CH120">
        <v>1</v>
      </c>
      <c r="CI120">
        <v>1</v>
      </c>
      <c r="CJ120">
        <v>1</v>
      </c>
      <c r="CK120">
        <v>10</v>
      </c>
      <c r="CL120">
        <v>3</v>
      </c>
      <c r="CM120">
        <v>7</v>
      </c>
      <c r="CN120">
        <v>6</v>
      </c>
      <c r="CO120">
        <v>1.7</v>
      </c>
      <c r="CP120">
        <v>1.5</v>
      </c>
      <c r="CQ120">
        <v>1.2</v>
      </c>
      <c r="CR120">
        <v>3</v>
      </c>
      <c r="CS120">
        <v>0</v>
      </c>
      <c r="CT120">
        <v>1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1</v>
      </c>
    </row>
    <row r="121" spans="1:104" x14ac:dyDescent="0.25">
      <c r="A121" s="1" t="s">
        <v>928</v>
      </c>
      <c r="B121">
        <v>7598</v>
      </c>
      <c r="C121">
        <v>7589</v>
      </c>
      <c r="D121" s="2">
        <v>43785</v>
      </c>
      <c r="E121" s="3">
        <f t="shared" si="3"/>
        <v>2019</v>
      </c>
      <c r="F121" s="3">
        <f t="shared" si="4"/>
        <v>11</v>
      </c>
      <c r="G121" s="3">
        <f t="shared" si="5"/>
        <v>7</v>
      </c>
      <c r="H121" t="s">
        <v>929</v>
      </c>
      <c r="I121">
        <v>983</v>
      </c>
      <c r="J121" t="s">
        <v>930</v>
      </c>
      <c r="K121" t="s">
        <v>931</v>
      </c>
      <c r="L121">
        <v>2019</v>
      </c>
      <c r="M121" t="s">
        <v>932</v>
      </c>
      <c r="N121" t="s">
        <v>929</v>
      </c>
      <c r="O121" t="s">
        <v>933</v>
      </c>
      <c r="P121">
        <v>1000</v>
      </c>
      <c r="Q121" t="s">
        <v>931</v>
      </c>
      <c r="R121">
        <v>1947</v>
      </c>
      <c r="V121" t="s">
        <v>931</v>
      </c>
      <c r="X121" t="s">
        <v>109</v>
      </c>
      <c r="Y121">
        <v>1.5</v>
      </c>
      <c r="Z121">
        <v>-3.5</v>
      </c>
      <c r="AA121">
        <v>-2.5</v>
      </c>
      <c r="AB121">
        <v>35</v>
      </c>
      <c r="AC121">
        <v>35</v>
      </c>
      <c r="AD121">
        <v>30</v>
      </c>
      <c r="AE121">
        <v>50</v>
      </c>
      <c r="AF121">
        <v>50</v>
      </c>
      <c r="AG121">
        <v>60</v>
      </c>
      <c r="AH121">
        <v>40</v>
      </c>
      <c r="AI121">
        <v>33</v>
      </c>
      <c r="AJ121">
        <v>67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100</v>
      </c>
      <c r="AR121">
        <v>19</v>
      </c>
      <c r="AS121">
        <v>88</v>
      </c>
      <c r="AT121">
        <v>100</v>
      </c>
      <c r="AU121">
        <v>13</v>
      </c>
      <c r="AV121">
        <v>94</v>
      </c>
      <c r="AW121">
        <v>3</v>
      </c>
      <c r="AX121">
        <v>3</v>
      </c>
      <c r="AY121">
        <v>2</v>
      </c>
      <c r="AZ121">
        <v>2</v>
      </c>
      <c r="BA121">
        <v>0</v>
      </c>
      <c r="BB121">
        <v>1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3</v>
      </c>
      <c r="BK121">
        <v>0</v>
      </c>
      <c r="BL121">
        <v>2</v>
      </c>
      <c r="BM121">
        <v>0</v>
      </c>
      <c r="BN121">
        <v>3</v>
      </c>
      <c r="BO121">
        <v>0</v>
      </c>
      <c r="BP121">
        <v>2</v>
      </c>
      <c r="BQ121">
        <v>1</v>
      </c>
      <c r="BR121">
        <v>0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2</v>
      </c>
      <c r="BZ121">
        <v>2</v>
      </c>
      <c r="CA121">
        <v>1</v>
      </c>
      <c r="CB121">
        <v>1</v>
      </c>
      <c r="CC121">
        <v>1</v>
      </c>
      <c r="CD121">
        <v>0</v>
      </c>
      <c r="CE121">
        <v>1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2</v>
      </c>
      <c r="CL121">
        <v>0</v>
      </c>
      <c r="CM121">
        <v>1</v>
      </c>
      <c r="CN121">
        <v>0</v>
      </c>
      <c r="CO121">
        <v>2</v>
      </c>
      <c r="CP121">
        <v>0</v>
      </c>
      <c r="CQ121">
        <v>1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1</v>
      </c>
    </row>
    <row r="122" spans="1:104" x14ac:dyDescent="0.25">
      <c r="A122" s="1" t="s">
        <v>934</v>
      </c>
      <c r="B122">
        <v>1934</v>
      </c>
      <c r="C122">
        <v>3945</v>
      </c>
      <c r="D122" s="2">
        <v>43763</v>
      </c>
      <c r="E122" s="3">
        <f t="shared" si="3"/>
        <v>2019</v>
      </c>
      <c r="F122" s="3">
        <f t="shared" si="4"/>
        <v>10</v>
      </c>
      <c r="G122" s="3">
        <f t="shared" si="5"/>
        <v>6</v>
      </c>
      <c r="H122" t="s">
        <v>935</v>
      </c>
      <c r="I122">
        <v>1102</v>
      </c>
      <c r="J122" t="s">
        <v>936</v>
      </c>
      <c r="K122" t="s">
        <v>345</v>
      </c>
      <c r="L122">
        <v>2019</v>
      </c>
      <c r="M122" t="s">
        <v>937</v>
      </c>
      <c r="N122" t="s">
        <v>938</v>
      </c>
      <c r="O122" t="s">
        <v>939</v>
      </c>
      <c r="P122">
        <v>5650</v>
      </c>
      <c r="Q122" t="s">
        <v>345</v>
      </c>
      <c r="R122">
        <v>1948</v>
      </c>
      <c r="S122" t="s">
        <v>940</v>
      </c>
      <c r="T122" t="s">
        <v>941</v>
      </c>
      <c r="U122">
        <v>6000</v>
      </c>
      <c r="V122" t="s">
        <v>345</v>
      </c>
      <c r="W122">
        <v>1917</v>
      </c>
      <c r="X122" t="s">
        <v>109</v>
      </c>
      <c r="Y122">
        <v>-3.5</v>
      </c>
      <c r="Z122">
        <v>-1.5</v>
      </c>
      <c r="AA122">
        <v>-1.5</v>
      </c>
      <c r="AB122">
        <v>45</v>
      </c>
      <c r="AC122">
        <v>45</v>
      </c>
      <c r="AD122">
        <v>10</v>
      </c>
      <c r="AE122">
        <v>60</v>
      </c>
      <c r="AF122">
        <v>40</v>
      </c>
      <c r="AG122">
        <v>60</v>
      </c>
      <c r="AH122">
        <v>40</v>
      </c>
      <c r="AI122">
        <v>57</v>
      </c>
      <c r="AJ122">
        <v>43</v>
      </c>
      <c r="AK122">
        <v>0</v>
      </c>
      <c r="AL122">
        <v>0</v>
      </c>
      <c r="AM122">
        <v>50</v>
      </c>
      <c r="AN122">
        <v>50</v>
      </c>
      <c r="AO122">
        <v>50</v>
      </c>
      <c r="AP122">
        <v>50</v>
      </c>
      <c r="AQ122">
        <v>20</v>
      </c>
      <c r="AR122">
        <v>30</v>
      </c>
      <c r="AS122">
        <v>40</v>
      </c>
      <c r="AT122">
        <v>13</v>
      </c>
      <c r="AU122">
        <v>20</v>
      </c>
      <c r="AV122">
        <v>20</v>
      </c>
      <c r="AW122">
        <v>3</v>
      </c>
      <c r="AX122">
        <v>0.6</v>
      </c>
      <c r="AY122">
        <v>6</v>
      </c>
      <c r="AZ122">
        <v>1.2</v>
      </c>
      <c r="BA122">
        <v>3</v>
      </c>
      <c r="BB122">
        <v>4</v>
      </c>
      <c r="BC122">
        <v>1</v>
      </c>
      <c r="BD122">
        <v>1</v>
      </c>
      <c r="BE122">
        <v>0</v>
      </c>
      <c r="BF122">
        <v>3</v>
      </c>
      <c r="BG122">
        <v>2</v>
      </c>
      <c r="BH122">
        <v>0</v>
      </c>
      <c r="BI122">
        <v>3</v>
      </c>
      <c r="BJ122">
        <v>5</v>
      </c>
      <c r="BK122">
        <v>3</v>
      </c>
      <c r="BL122">
        <v>3</v>
      </c>
      <c r="BM122">
        <v>1</v>
      </c>
      <c r="BN122">
        <v>1.3</v>
      </c>
      <c r="BO122">
        <v>1</v>
      </c>
      <c r="BP122">
        <v>0.8</v>
      </c>
      <c r="BQ122">
        <v>6</v>
      </c>
      <c r="BR122">
        <v>6</v>
      </c>
      <c r="BS122">
        <v>5</v>
      </c>
      <c r="BT122">
        <v>0</v>
      </c>
      <c r="BU122">
        <v>1</v>
      </c>
      <c r="BV122">
        <v>3</v>
      </c>
      <c r="BW122">
        <v>0</v>
      </c>
      <c r="BX122">
        <v>3</v>
      </c>
      <c r="BY122">
        <v>2</v>
      </c>
      <c r="BZ122">
        <v>0.4</v>
      </c>
      <c r="CA122">
        <v>8</v>
      </c>
      <c r="CB122">
        <v>1.6</v>
      </c>
      <c r="CC122">
        <v>4</v>
      </c>
      <c r="CD122">
        <v>4</v>
      </c>
      <c r="CE122">
        <v>1</v>
      </c>
      <c r="CF122">
        <v>0</v>
      </c>
      <c r="CG122">
        <v>2</v>
      </c>
      <c r="CH122">
        <v>0</v>
      </c>
      <c r="CI122">
        <v>1</v>
      </c>
      <c r="CJ122">
        <v>4</v>
      </c>
      <c r="CK122">
        <v>4</v>
      </c>
      <c r="CL122">
        <v>1</v>
      </c>
      <c r="CM122">
        <v>4</v>
      </c>
      <c r="CN122">
        <v>8</v>
      </c>
      <c r="CO122">
        <v>1</v>
      </c>
      <c r="CP122">
        <v>0.3</v>
      </c>
      <c r="CQ122">
        <v>1</v>
      </c>
      <c r="CR122">
        <v>2</v>
      </c>
      <c r="CS122">
        <v>6</v>
      </c>
      <c r="CT122">
        <v>6</v>
      </c>
      <c r="CU122">
        <v>3</v>
      </c>
      <c r="CV122">
        <v>0</v>
      </c>
      <c r="CW122">
        <v>3</v>
      </c>
      <c r="CX122">
        <v>1</v>
      </c>
      <c r="CY122">
        <v>0</v>
      </c>
      <c r="CZ122">
        <v>5</v>
      </c>
    </row>
    <row r="123" spans="1:104" x14ac:dyDescent="0.25">
      <c r="A123" s="1" t="s">
        <v>942</v>
      </c>
      <c r="B123">
        <v>525</v>
      </c>
      <c r="C123">
        <v>1693</v>
      </c>
      <c r="D123" s="2">
        <v>43688</v>
      </c>
      <c r="E123" s="3">
        <f t="shared" si="3"/>
        <v>2019</v>
      </c>
      <c r="F123" s="3">
        <f t="shared" si="4"/>
        <v>8</v>
      </c>
      <c r="G123" s="3">
        <f t="shared" si="5"/>
        <v>1</v>
      </c>
      <c r="H123" t="s">
        <v>943</v>
      </c>
      <c r="I123">
        <v>869</v>
      </c>
      <c r="J123" t="s">
        <v>944</v>
      </c>
      <c r="K123" t="s">
        <v>338</v>
      </c>
      <c r="L123">
        <v>2019</v>
      </c>
      <c r="M123" t="s">
        <v>932</v>
      </c>
      <c r="N123" t="s">
        <v>943</v>
      </c>
      <c r="O123" t="s">
        <v>945</v>
      </c>
      <c r="P123">
        <v>20476</v>
      </c>
      <c r="Q123" t="s">
        <v>338</v>
      </c>
      <c r="R123">
        <v>1936</v>
      </c>
      <c r="S123" t="s">
        <v>946</v>
      </c>
      <c r="T123" t="s">
        <v>947</v>
      </c>
      <c r="U123">
        <v>14854</v>
      </c>
      <c r="V123" t="s">
        <v>338</v>
      </c>
      <c r="W123">
        <v>1906</v>
      </c>
      <c r="X123">
        <v>2</v>
      </c>
      <c r="Y123">
        <v>-3.5</v>
      </c>
      <c r="AA123">
        <v>-2.5</v>
      </c>
      <c r="AB123">
        <v>0</v>
      </c>
      <c r="AC123">
        <v>50</v>
      </c>
      <c r="AD123">
        <v>50</v>
      </c>
      <c r="AE123">
        <v>0</v>
      </c>
      <c r="AF123">
        <v>100</v>
      </c>
      <c r="AG123">
        <v>0</v>
      </c>
      <c r="AH123">
        <v>100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100</v>
      </c>
      <c r="AU123">
        <v>10</v>
      </c>
      <c r="AV123">
        <v>100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2</v>
      </c>
      <c r="BZ123">
        <v>2</v>
      </c>
      <c r="CA123">
        <v>0</v>
      </c>
      <c r="CB123">
        <v>0</v>
      </c>
      <c r="CC123">
        <v>0</v>
      </c>
      <c r="CD123">
        <v>1</v>
      </c>
      <c r="CE123">
        <v>0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2</v>
      </c>
      <c r="CM123">
        <v>0</v>
      </c>
      <c r="CN123">
        <v>0</v>
      </c>
      <c r="CO123">
        <v>0</v>
      </c>
      <c r="CP123">
        <v>2</v>
      </c>
      <c r="CQ123">
        <v>0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</row>
    <row r="124" spans="1:104" x14ac:dyDescent="0.25">
      <c r="A124" s="1" t="s">
        <v>948</v>
      </c>
      <c r="B124">
        <v>3429</v>
      </c>
      <c r="C124">
        <v>3426</v>
      </c>
      <c r="D124" s="2">
        <v>43750</v>
      </c>
      <c r="E124" s="3">
        <f t="shared" si="3"/>
        <v>2019</v>
      </c>
      <c r="F124" s="3">
        <f t="shared" si="4"/>
        <v>10</v>
      </c>
      <c r="G124" s="3">
        <f t="shared" si="5"/>
        <v>7</v>
      </c>
      <c r="H124" t="s">
        <v>949</v>
      </c>
      <c r="I124">
        <v>932</v>
      </c>
      <c r="J124" t="s">
        <v>950</v>
      </c>
      <c r="K124" t="s">
        <v>449</v>
      </c>
      <c r="L124">
        <v>2019</v>
      </c>
      <c r="M124" t="s">
        <v>209</v>
      </c>
      <c r="Q124" t="s">
        <v>449</v>
      </c>
      <c r="R124">
        <v>1948</v>
      </c>
      <c r="V124" t="s">
        <v>449</v>
      </c>
      <c r="W124">
        <v>2009</v>
      </c>
      <c r="X124" t="s">
        <v>125</v>
      </c>
      <c r="Z124">
        <v>-3.5</v>
      </c>
      <c r="AA124">
        <v>-2.5</v>
      </c>
      <c r="AB124">
        <v>10</v>
      </c>
      <c r="AC124">
        <v>45</v>
      </c>
      <c r="AD124">
        <v>45</v>
      </c>
      <c r="AE124">
        <v>50</v>
      </c>
      <c r="AF124">
        <v>50</v>
      </c>
      <c r="AG124">
        <v>63</v>
      </c>
      <c r="AH124">
        <v>38</v>
      </c>
      <c r="AI124">
        <v>0</v>
      </c>
      <c r="AJ124">
        <v>100</v>
      </c>
      <c r="AK124">
        <v>0</v>
      </c>
      <c r="AL124">
        <v>100</v>
      </c>
      <c r="AM124">
        <v>20</v>
      </c>
      <c r="AN124">
        <v>80</v>
      </c>
      <c r="AO124">
        <v>40</v>
      </c>
      <c r="AP124">
        <v>60</v>
      </c>
      <c r="AQ124">
        <v>100</v>
      </c>
      <c r="AR124">
        <v>31</v>
      </c>
      <c r="AS124">
        <v>81</v>
      </c>
      <c r="AT124">
        <v>100</v>
      </c>
      <c r="AU124">
        <v>19</v>
      </c>
      <c r="AV124">
        <v>100</v>
      </c>
      <c r="AW124">
        <v>5</v>
      </c>
      <c r="AX124">
        <v>2.5</v>
      </c>
      <c r="AY124">
        <v>3</v>
      </c>
      <c r="AZ124">
        <v>1.5</v>
      </c>
      <c r="BA124">
        <v>1</v>
      </c>
      <c r="BB124">
        <v>1</v>
      </c>
      <c r="BC124">
        <v>1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3</v>
      </c>
      <c r="BK124">
        <v>1</v>
      </c>
      <c r="BL124">
        <v>2</v>
      </c>
      <c r="BM124">
        <v>2</v>
      </c>
      <c r="BN124">
        <v>3</v>
      </c>
      <c r="BO124">
        <v>1</v>
      </c>
      <c r="BP124">
        <v>2</v>
      </c>
      <c r="BQ124">
        <v>2</v>
      </c>
      <c r="BR124">
        <v>2</v>
      </c>
      <c r="BS124">
        <v>1</v>
      </c>
      <c r="BT124">
        <v>1</v>
      </c>
      <c r="BU124">
        <v>1</v>
      </c>
      <c r="BV124">
        <v>0</v>
      </c>
      <c r="BW124">
        <v>0</v>
      </c>
      <c r="BX124">
        <v>1</v>
      </c>
      <c r="BY124">
        <v>3</v>
      </c>
      <c r="BZ124">
        <v>1.5</v>
      </c>
      <c r="CA124">
        <v>0</v>
      </c>
      <c r="CB124">
        <v>0</v>
      </c>
      <c r="CC124">
        <v>1</v>
      </c>
      <c r="CD124">
        <v>1</v>
      </c>
      <c r="CE124">
        <v>1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2</v>
      </c>
      <c r="CL124">
        <v>1</v>
      </c>
      <c r="CM124">
        <v>0</v>
      </c>
      <c r="CN124">
        <v>0</v>
      </c>
      <c r="CO124">
        <v>2</v>
      </c>
      <c r="CP124">
        <v>1</v>
      </c>
      <c r="CQ124">
        <v>0</v>
      </c>
      <c r="CR124">
        <v>0</v>
      </c>
      <c r="CS124">
        <v>2</v>
      </c>
      <c r="CT124">
        <v>2</v>
      </c>
      <c r="CU124">
        <v>1</v>
      </c>
      <c r="CV124">
        <v>0</v>
      </c>
      <c r="CW124">
        <v>0</v>
      </c>
      <c r="CX124">
        <v>1</v>
      </c>
      <c r="CY124">
        <v>1</v>
      </c>
      <c r="CZ124">
        <v>1</v>
      </c>
    </row>
    <row r="125" spans="1:104" x14ac:dyDescent="0.25">
      <c r="A125" s="1" t="s">
        <v>951</v>
      </c>
      <c r="B125">
        <v>13104</v>
      </c>
      <c r="C125">
        <v>7782</v>
      </c>
      <c r="D125" s="2">
        <v>44016</v>
      </c>
      <c r="E125" s="3">
        <f t="shared" si="3"/>
        <v>2020</v>
      </c>
      <c r="F125" s="3">
        <f t="shared" si="4"/>
        <v>7</v>
      </c>
      <c r="G125" s="3">
        <f t="shared" si="5"/>
        <v>7</v>
      </c>
      <c r="H125" t="s">
        <v>952</v>
      </c>
      <c r="I125">
        <v>2269</v>
      </c>
      <c r="J125" t="s">
        <v>953</v>
      </c>
      <c r="K125" t="s">
        <v>264</v>
      </c>
      <c r="L125">
        <v>2020</v>
      </c>
      <c r="M125" t="s">
        <v>954</v>
      </c>
      <c r="N125" t="s">
        <v>952</v>
      </c>
      <c r="O125" t="s">
        <v>955</v>
      </c>
      <c r="P125">
        <v>13544</v>
      </c>
      <c r="Q125" t="s">
        <v>264</v>
      </c>
      <c r="R125">
        <v>1904</v>
      </c>
      <c r="S125" t="s">
        <v>956</v>
      </c>
      <c r="T125" t="s">
        <v>957</v>
      </c>
      <c r="U125">
        <v>3500</v>
      </c>
      <c r="V125" t="s">
        <v>264</v>
      </c>
      <c r="W125">
        <v>1990</v>
      </c>
      <c r="X125" t="s">
        <v>109</v>
      </c>
      <c r="Z125">
        <v>-2.5</v>
      </c>
      <c r="AA125">
        <v>-1.5</v>
      </c>
      <c r="AB125">
        <v>45</v>
      </c>
      <c r="AC125">
        <v>45</v>
      </c>
      <c r="AD125">
        <v>10</v>
      </c>
      <c r="AE125">
        <v>88</v>
      </c>
      <c r="AF125">
        <v>13</v>
      </c>
      <c r="AG125">
        <v>60</v>
      </c>
      <c r="AH125">
        <v>40</v>
      </c>
      <c r="AI125">
        <v>64</v>
      </c>
      <c r="AJ125">
        <v>36</v>
      </c>
      <c r="AK125">
        <v>0</v>
      </c>
      <c r="AL125">
        <v>0</v>
      </c>
      <c r="AM125">
        <v>36</v>
      </c>
      <c r="AN125">
        <v>64</v>
      </c>
      <c r="AO125">
        <v>38</v>
      </c>
      <c r="AP125">
        <v>62</v>
      </c>
      <c r="AQ125">
        <v>47</v>
      </c>
      <c r="AR125">
        <v>100</v>
      </c>
      <c r="AS125">
        <v>17</v>
      </c>
      <c r="AT125">
        <v>7</v>
      </c>
      <c r="AU125">
        <v>67</v>
      </c>
      <c r="AV125">
        <v>0</v>
      </c>
      <c r="AW125">
        <v>6</v>
      </c>
      <c r="AX125">
        <v>1.2</v>
      </c>
      <c r="AY125">
        <v>5</v>
      </c>
      <c r="AZ125">
        <v>1</v>
      </c>
      <c r="BA125">
        <v>6</v>
      </c>
      <c r="BB125">
        <v>8</v>
      </c>
      <c r="BC125">
        <v>2</v>
      </c>
      <c r="BD125">
        <v>2</v>
      </c>
      <c r="BE125">
        <v>2</v>
      </c>
      <c r="BF125">
        <v>4</v>
      </c>
      <c r="BG125">
        <v>2</v>
      </c>
      <c r="BH125">
        <v>2</v>
      </c>
      <c r="BI125">
        <v>11</v>
      </c>
      <c r="BJ125">
        <v>8</v>
      </c>
      <c r="BK125">
        <v>7</v>
      </c>
      <c r="BL125">
        <v>10</v>
      </c>
      <c r="BM125">
        <v>1.8</v>
      </c>
      <c r="BN125">
        <v>1</v>
      </c>
      <c r="BO125">
        <v>1.2</v>
      </c>
      <c r="BP125">
        <v>1.3</v>
      </c>
      <c r="BQ125">
        <v>2</v>
      </c>
      <c r="BR125">
        <v>3</v>
      </c>
      <c r="BS125">
        <v>0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4</v>
      </c>
      <c r="BZ125">
        <v>0.8</v>
      </c>
      <c r="CA125">
        <v>9</v>
      </c>
      <c r="CB125">
        <v>1.8</v>
      </c>
      <c r="CC125">
        <v>8</v>
      </c>
      <c r="CD125">
        <v>6</v>
      </c>
      <c r="CE125">
        <v>2</v>
      </c>
      <c r="CF125">
        <v>1</v>
      </c>
      <c r="CG125">
        <v>1</v>
      </c>
      <c r="CH125">
        <v>1</v>
      </c>
      <c r="CI125">
        <v>5</v>
      </c>
      <c r="CJ125">
        <v>4</v>
      </c>
      <c r="CK125">
        <v>11</v>
      </c>
      <c r="CL125">
        <v>5</v>
      </c>
      <c r="CM125">
        <v>14</v>
      </c>
      <c r="CN125">
        <v>9</v>
      </c>
      <c r="CO125">
        <v>1.4</v>
      </c>
      <c r="CP125">
        <v>0.8</v>
      </c>
      <c r="CQ125">
        <v>1.8</v>
      </c>
      <c r="CR125">
        <v>1.5</v>
      </c>
      <c r="CS125">
        <v>3</v>
      </c>
      <c r="CT125">
        <v>2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</row>
    <row r="126" spans="1:104" x14ac:dyDescent="0.25">
      <c r="A126" s="1" t="s">
        <v>958</v>
      </c>
      <c r="B126">
        <v>5723</v>
      </c>
      <c r="C126">
        <v>8615</v>
      </c>
      <c r="D126" s="2">
        <v>43726</v>
      </c>
      <c r="E126" s="3">
        <f t="shared" si="3"/>
        <v>2019</v>
      </c>
      <c r="F126" s="3">
        <f t="shared" si="4"/>
        <v>9</v>
      </c>
      <c r="G126" s="3">
        <f t="shared" si="5"/>
        <v>4</v>
      </c>
      <c r="H126" t="s">
        <v>959</v>
      </c>
      <c r="I126">
        <v>1152</v>
      </c>
      <c r="J126" t="s">
        <v>838</v>
      </c>
      <c r="K126" t="s">
        <v>839</v>
      </c>
      <c r="L126">
        <v>2019</v>
      </c>
      <c r="M126" t="s">
        <v>960</v>
      </c>
      <c r="N126" t="s">
        <v>959</v>
      </c>
      <c r="O126" t="s">
        <v>961</v>
      </c>
      <c r="P126">
        <v>700</v>
      </c>
      <c r="Q126" t="s">
        <v>839</v>
      </c>
      <c r="R126">
        <v>1926</v>
      </c>
      <c r="S126" t="s">
        <v>962</v>
      </c>
      <c r="T126" t="s">
        <v>963</v>
      </c>
      <c r="U126">
        <v>1000</v>
      </c>
      <c r="V126" t="s">
        <v>839</v>
      </c>
      <c r="X126" t="s">
        <v>125</v>
      </c>
      <c r="Z126">
        <v>-2.5</v>
      </c>
      <c r="AA126">
        <v>-1.5</v>
      </c>
      <c r="AB126">
        <v>10</v>
      </c>
      <c r="AC126">
        <v>45</v>
      </c>
      <c r="AD126">
        <v>45</v>
      </c>
      <c r="AE126">
        <v>0</v>
      </c>
      <c r="AF126">
        <v>100</v>
      </c>
      <c r="AG126">
        <v>56</v>
      </c>
      <c r="AH126">
        <v>44</v>
      </c>
      <c r="AI126">
        <v>0</v>
      </c>
      <c r="AJ126">
        <v>100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29</v>
      </c>
      <c r="AS126">
        <v>35</v>
      </c>
      <c r="AT126">
        <v>67</v>
      </c>
      <c r="AU126">
        <v>24</v>
      </c>
      <c r="AV126">
        <v>100</v>
      </c>
      <c r="AW126">
        <v>5</v>
      </c>
      <c r="AX126">
        <v>1.3</v>
      </c>
      <c r="AY126">
        <v>11</v>
      </c>
      <c r="AZ126">
        <v>2.8</v>
      </c>
      <c r="BA126">
        <v>2</v>
      </c>
      <c r="BB126">
        <v>2</v>
      </c>
      <c r="BC126">
        <v>0</v>
      </c>
      <c r="BD126">
        <v>0</v>
      </c>
      <c r="BE126">
        <v>0</v>
      </c>
      <c r="BF126">
        <v>0</v>
      </c>
      <c r="BG126">
        <v>2</v>
      </c>
      <c r="BH126">
        <v>2</v>
      </c>
      <c r="BI126">
        <v>2</v>
      </c>
      <c r="BJ126">
        <v>3</v>
      </c>
      <c r="BK126">
        <v>5</v>
      </c>
      <c r="BL126">
        <v>6</v>
      </c>
      <c r="BM126">
        <v>1</v>
      </c>
      <c r="BN126">
        <v>1.5</v>
      </c>
      <c r="BO126">
        <v>2.5</v>
      </c>
      <c r="BP126">
        <v>3</v>
      </c>
      <c r="BQ126">
        <v>1</v>
      </c>
      <c r="BR126">
        <v>0</v>
      </c>
      <c r="BS126">
        <v>0</v>
      </c>
      <c r="BT126">
        <v>0</v>
      </c>
      <c r="BU126">
        <v>1</v>
      </c>
      <c r="BV126">
        <v>0</v>
      </c>
      <c r="BW126">
        <v>0</v>
      </c>
      <c r="BX126">
        <v>0</v>
      </c>
      <c r="BY126">
        <v>4</v>
      </c>
      <c r="BZ126">
        <v>1</v>
      </c>
      <c r="CA126">
        <v>0</v>
      </c>
      <c r="CB126">
        <v>0</v>
      </c>
      <c r="CC126">
        <v>2</v>
      </c>
      <c r="CD126">
        <v>2</v>
      </c>
      <c r="CE126">
        <v>2</v>
      </c>
      <c r="CF126">
        <v>0</v>
      </c>
      <c r="CG126">
        <v>0</v>
      </c>
      <c r="CH126">
        <v>2</v>
      </c>
      <c r="CI126">
        <v>0</v>
      </c>
      <c r="CJ126">
        <v>0</v>
      </c>
      <c r="CK126">
        <v>4</v>
      </c>
      <c r="CL126">
        <v>0</v>
      </c>
      <c r="CM126">
        <v>0</v>
      </c>
      <c r="CN126">
        <v>0</v>
      </c>
      <c r="CO126">
        <v>2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1</v>
      </c>
      <c r="CY126">
        <v>0</v>
      </c>
      <c r="CZ126">
        <v>0</v>
      </c>
    </row>
    <row r="127" spans="1:104" x14ac:dyDescent="0.25">
      <c r="A127" s="1" t="s">
        <v>964</v>
      </c>
      <c r="B127">
        <v>3864</v>
      </c>
      <c r="C127">
        <v>3869</v>
      </c>
      <c r="D127" s="2">
        <v>43673</v>
      </c>
      <c r="E127" s="3">
        <f t="shared" si="3"/>
        <v>2019</v>
      </c>
      <c r="F127" s="3">
        <f t="shared" si="4"/>
        <v>7</v>
      </c>
      <c r="G127" s="3">
        <f t="shared" si="5"/>
        <v>7</v>
      </c>
      <c r="H127" t="s">
        <v>965</v>
      </c>
      <c r="I127">
        <v>494</v>
      </c>
      <c r="J127" t="s">
        <v>966</v>
      </c>
      <c r="K127" t="s">
        <v>967</v>
      </c>
      <c r="L127">
        <v>2019</v>
      </c>
      <c r="M127" t="s">
        <v>968</v>
      </c>
      <c r="N127" t="s">
        <v>969</v>
      </c>
      <c r="O127" t="s">
        <v>970</v>
      </c>
      <c r="P127">
        <v>500</v>
      </c>
      <c r="Q127" t="s">
        <v>967</v>
      </c>
      <c r="R127">
        <v>1931</v>
      </c>
      <c r="S127" t="s">
        <v>971</v>
      </c>
      <c r="T127" t="s">
        <v>972</v>
      </c>
      <c r="U127">
        <v>5422</v>
      </c>
      <c r="V127" t="s">
        <v>967</v>
      </c>
      <c r="W127">
        <v>2012</v>
      </c>
      <c r="X127" t="s">
        <v>125</v>
      </c>
      <c r="Y127">
        <v>1.5</v>
      </c>
      <c r="Z127">
        <v>-2.5</v>
      </c>
      <c r="AA127">
        <v>-3.5</v>
      </c>
      <c r="AB127">
        <v>10</v>
      </c>
      <c r="AC127">
        <v>45</v>
      </c>
      <c r="AD127">
        <v>45</v>
      </c>
      <c r="AE127">
        <v>25</v>
      </c>
      <c r="AF127">
        <v>75</v>
      </c>
      <c r="AG127">
        <v>48</v>
      </c>
      <c r="AH127">
        <v>52</v>
      </c>
      <c r="AI127">
        <v>33</v>
      </c>
      <c r="AJ127">
        <v>67</v>
      </c>
      <c r="AK127">
        <v>38</v>
      </c>
      <c r="AL127">
        <v>62</v>
      </c>
      <c r="AM127">
        <v>0</v>
      </c>
      <c r="AN127">
        <v>100</v>
      </c>
      <c r="AO127">
        <v>0</v>
      </c>
      <c r="AP127">
        <v>100</v>
      </c>
      <c r="AQ127">
        <v>13</v>
      </c>
      <c r="AR127">
        <v>45</v>
      </c>
      <c r="AS127">
        <v>27</v>
      </c>
      <c r="AT127">
        <v>40</v>
      </c>
      <c r="AU127">
        <v>50</v>
      </c>
      <c r="AV127">
        <v>64</v>
      </c>
      <c r="AW127">
        <v>10</v>
      </c>
      <c r="AX127">
        <v>2</v>
      </c>
      <c r="AY127">
        <v>16</v>
      </c>
      <c r="AZ127">
        <v>3.2</v>
      </c>
      <c r="BA127">
        <v>8</v>
      </c>
      <c r="BB127">
        <v>7</v>
      </c>
      <c r="BC127">
        <v>1</v>
      </c>
      <c r="BD127">
        <v>2</v>
      </c>
      <c r="BE127">
        <v>3</v>
      </c>
      <c r="BF127">
        <v>1</v>
      </c>
      <c r="BG127">
        <v>4</v>
      </c>
      <c r="BH127">
        <v>4</v>
      </c>
      <c r="BI127">
        <v>9</v>
      </c>
      <c r="BJ127">
        <v>9</v>
      </c>
      <c r="BK127">
        <v>15</v>
      </c>
      <c r="BL127">
        <v>19</v>
      </c>
      <c r="BM127">
        <v>1.1000000000000001</v>
      </c>
      <c r="BN127">
        <v>1.3</v>
      </c>
      <c r="BO127">
        <v>1.9</v>
      </c>
      <c r="BP127">
        <v>2.7</v>
      </c>
      <c r="BQ127">
        <v>2</v>
      </c>
      <c r="BR127">
        <v>3</v>
      </c>
      <c r="BS127">
        <v>0</v>
      </c>
      <c r="BT127">
        <v>0</v>
      </c>
      <c r="BU127">
        <v>1</v>
      </c>
      <c r="BV127">
        <v>0</v>
      </c>
      <c r="BW127">
        <v>1</v>
      </c>
      <c r="BX127">
        <v>3</v>
      </c>
      <c r="BY127">
        <v>11</v>
      </c>
      <c r="BZ127">
        <v>2.2000000000000002</v>
      </c>
      <c r="CA127">
        <v>8</v>
      </c>
      <c r="CB127">
        <v>1.6</v>
      </c>
      <c r="CC127">
        <v>6</v>
      </c>
      <c r="CD127">
        <v>8</v>
      </c>
      <c r="CE127">
        <v>3</v>
      </c>
      <c r="CF127">
        <v>2</v>
      </c>
      <c r="CG127">
        <v>1</v>
      </c>
      <c r="CH127">
        <v>1</v>
      </c>
      <c r="CI127">
        <v>2</v>
      </c>
      <c r="CJ127">
        <v>5</v>
      </c>
      <c r="CK127">
        <v>9</v>
      </c>
      <c r="CL127">
        <v>15</v>
      </c>
      <c r="CM127">
        <v>5</v>
      </c>
      <c r="CN127">
        <v>16</v>
      </c>
      <c r="CO127">
        <v>1.5</v>
      </c>
      <c r="CP127">
        <v>1.9</v>
      </c>
      <c r="CQ127">
        <v>0.8</v>
      </c>
      <c r="CR127">
        <v>2</v>
      </c>
      <c r="CS127">
        <v>3</v>
      </c>
      <c r="CT127">
        <v>2</v>
      </c>
      <c r="CU127">
        <v>3</v>
      </c>
      <c r="CV127">
        <v>1</v>
      </c>
      <c r="CW127">
        <v>0</v>
      </c>
      <c r="CX127">
        <v>1</v>
      </c>
      <c r="CY127">
        <v>0</v>
      </c>
      <c r="CZ127">
        <v>0</v>
      </c>
    </row>
    <row r="128" spans="1:104" x14ac:dyDescent="0.25">
      <c r="A128" s="1" t="s">
        <v>973</v>
      </c>
      <c r="B128">
        <v>6945</v>
      </c>
      <c r="C128">
        <v>9134</v>
      </c>
      <c r="D128" s="2">
        <v>44031</v>
      </c>
      <c r="E128" s="3">
        <f t="shared" si="3"/>
        <v>2020</v>
      </c>
      <c r="F128" s="3">
        <f t="shared" si="4"/>
        <v>7</v>
      </c>
      <c r="G128" s="3">
        <f t="shared" si="5"/>
        <v>1</v>
      </c>
      <c r="H128" t="s">
        <v>974</v>
      </c>
      <c r="I128">
        <v>1191</v>
      </c>
      <c r="J128" t="s">
        <v>166</v>
      </c>
      <c r="K128" t="s">
        <v>167</v>
      </c>
      <c r="L128">
        <v>2019</v>
      </c>
      <c r="M128" t="s">
        <v>975</v>
      </c>
      <c r="Q128" t="s">
        <v>167</v>
      </c>
      <c r="R128">
        <v>1945</v>
      </c>
      <c r="V128" t="s">
        <v>167</v>
      </c>
      <c r="X128" t="s">
        <v>125</v>
      </c>
      <c r="Z128">
        <v>-1.5</v>
      </c>
      <c r="AA128">
        <v>-2.5</v>
      </c>
      <c r="AB128">
        <v>10</v>
      </c>
      <c r="AC128">
        <v>45</v>
      </c>
      <c r="AD128">
        <v>45</v>
      </c>
      <c r="AE128">
        <v>43</v>
      </c>
      <c r="AF128">
        <v>57</v>
      </c>
      <c r="AG128">
        <v>20</v>
      </c>
      <c r="AH128">
        <v>80</v>
      </c>
      <c r="AI128">
        <v>58</v>
      </c>
      <c r="AJ128">
        <v>42</v>
      </c>
      <c r="AK128">
        <v>0</v>
      </c>
      <c r="AL128">
        <v>0</v>
      </c>
      <c r="AM128">
        <v>50</v>
      </c>
      <c r="AN128">
        <v>50</v>
      </c>
      <c r="AO128">
        <v>50</v>
      </c>
      <c r="AP128">
        <v>50</v>
      </c>
      <c r="AQ128">
        <v>20</v>
      </c>
      <c r="AR128">
        <v>18</v>
      </c>
      <c r="AS128">
        <v>27</v>
      </c>
      <c r="AT128">
        <v>27</v>
      </c>
      <c r="AU128">
        <v>73</v>
      </c>
      <c r="AV128">
        <v>0</v>
      </c>
      <c r="AW128">
        <v>2</v>
      </c>
      <c r="AX128">
        <v>0.4</v>
      </c>
      <c r="AY128">
        <v>8</v>
      </c>
      <c r="AZ128">
        <v>1.6</v>
      </c>
      <c r="BA128">
        <v>16</v>
      </c>
      <c r="BB128">
        <v>16</v>
      </c>
      <c r="BC128">
        <v>7</v>
      </c>
      <c r="BD128">
        <v>5</v>
      </c>
      <c r="BE128">
        <v>4</v>
      </c>
      <c r="BF128">
        <v>7</v>
      </c>
      <c r="BG128">
        <v>5</v>
      </c>
      <c r="BH128">
        <v>4</v>
      </c>
      <c r="BI128">
        <v>22</v>
      </c>
      <c r="BJ128">
        <v>20</v>
      </c>
      <c r="BK128">
        <v>18</v>
      </c>
      <c r="BL128">
        <v>16</v>
      </c>
      <c r="BM128">
        <v>1.4</v>
      </c>
      <c r="BN128">
        <v>1.3</v>
      </c>
      <c r="BO128">
        <v>1.1000000000000001</v>
      </c>
      <c r="BP128">
        <v>1</v>
      </c>
      <c r="BQ128">
        <v>1</v>
      </c>
      <c r="BR128">
        <v>1</v>
      </c>
      <c r="BS128">
        <v>1</v>
      </c>
      <c r="BT128">
        <v>0</v>
      </c>
      <c r="BU128">
        <v>0</v>
      </c>
      <c r="BV128">
        <v>1</v>
      </c>
      <c r="BW128">
        <v>0</v>
      </c>
      <c r="BX128">
        <v>0</v>
      </c>
      <c r="BY128">
        <v>8</v>
      </c>
      <c r="BZ128">
        <v>1.6</v>
      </c>
      <c r="CA128">
        <v>11</v>
      </c>
      <c r="CB128">
        <v>2.2000000000000002</v>
      </c>
      <c r="CC128">
        <v>16</v>
      </c>
      <c r="CD128">
        <v>16</v>
      </c>
      <c r="CE128">
        <v>2</v>
      </c>
      <c r="CF128">
        <v>4</v>
      </c>
      <c r="CG128">
        <v>6</v>
      </c>
      <c r="CH128">
        <v>0</v>
      </c>
      <c r="CI128">
        <v>8</v>
      </c>
      <c r="CJ128">
        <v>12</v>
      </c>
      <c r="CK128">
        <v>15</v>
      </c>
      <c r="CL128">
        <v>17</v>
      </c>
      <c r="CM128">
        <v>23</v>
      </c>
      <c r="CN128">
        <v>37</v>
      </c>
      <c r="CO128">
        <v>0.9</v>
      </c>
      <c r="CP128">
        <v>1.1000000000000001</v>
      </c>
      <c r="CQ128">
        <v>1.4</v>
      </c>
      <c r="CR128">
        <v>2.2999999999999998</v>
      </c>
      <c r="CS128">
        <v>1</v>
      </c>
      <c r="CT128">
        <v>1</v>
      </c>
      <c r="CU128">
        <v>0</v>
      </c>
      <c r="CV128">
        <v>0</v>
      </c>
      <c r="CW128">
        <v>1</v>
      </c>
      <c r="CX128">
        <v>0</v>
      </c>
      <c r="CY128">
        <v>0</v>
      </c>
      <c r="CZ128">
        <v>1</v>
      </c>
    </row>
    <row r="129" spans="1:104" x14ac:dyDescent="0.25">
      <c r="A129" s="1" t="s">
        <v>976</v>
      </c>
      <c r="B129">
        <v>8515</v>
      </c>
      <c r="C129">
        <v>8509</v>
      </c>
      <c r="D129" s="2">
        <v>43799</v>
      </c>
      <c r="E129" s="3">
        <f t="shared" si="3"/>
        <v>2019</v>
      </c>
      <c r="F129" s="3">
        <f t="shared" si="4"/>
        <v>11</v>
      </c>
      <c r="G129" s="3">
        <f t="shared" si="5"/>
        <v>7</v>
      </c>
      <c r="H129" t="s">
        <v>977</v>
      </c>
      <c r="I129">
        <v>1138</v>
      </c>
      <c r="J129" t="s">
        <v>978</v>
      </c>
      <c r="K129" t="s">
        <v>172</v>
      </c>
      <c r="L129">
        <v>2019</v>
      </c>
      <c r="M129" t="s">
        <v>979</v>
      </c>
      <c r="Q129" t="s">
        <v>172</v>
      </c>
      <c r="R129">
        <v>2007</v>
      </c>
      <c r="V129" t="s">
        <v>172</v>
      </c>
      <c r="X129" t="s">
        <v>109</v>
      </c>
      <c r="Z129">
        <v>-2.5</v>
      </c>
      <c r="AA129">
        <v>-1.5</v>
      </c>
      <c r="AB129">
        <v>45</v>
      </c>
      <c r="AC129">
        <v>45</v>
      </c>
      <c r="AD129">
        <v>10</v>
      </c>
      <c r="AE129">
        <v>67</v>
      </c>
      <c r="AF129">
        <v>33</v>
      </c>
      <c r="AG129">
        <v>83</v>
      </c>
      <c r="AH129">
        <v>17</v>
      </c>
      <c r="AI129">
        <v>56</v>
      </c>
      <c r="AJ129">
        <v>44</v>
      </c>
      <c r="AK129">
        <v>76</v>
      </c>
      <c r="AL129">
        <v>24</v>
      </c>
      <c r="AM129">
        <v>100</v>
      </c>
      <c r="AN129">
        <v>0</v>
      </c>
      <c r="AO129">
        <v>83</v>
      </c>
      <c r="AP129">
        <v>17</v>
      </c>
      <c r="AQ129">
        <v>13</v>
      </c>
      <c r="AR129">
        <v>45</v>
      </c>
      <c r="AS129">
        <v>0</v>
      </c>
      <c r="AT129">
        <v>7</v>
      </c>
      <c r="AU129">
        <v>9</v>
      </c>
      <c r="AV129">
        <v>0</v>
      </c>
      <c r="AW129">
        <v>5</v>
      </c>
      <c r="AX129">
        <v>1</v>
      </c>
      <c r="AY129">
        <v>12</v>
      </c>
      <c r="AZ129">
        <v>2.4</v>
      </c>
      <c r="BA129">
        <v>5</v>
      </c>
      <c r="BB129">
        <v>7</v>
      </c>
      <c r="BC129">
        <v>1</v>
      </c>
      <c r="BD129">
        <v>2</v>
      </c>
      <c r="BE129">
        <v>2</v>
      </c>
      <c r="BF129">
        <v>2</v>
      </c>
      <c r="BG129">
        <v>2</v>
      </c>
      <c r="BH129">
        <v>3</v>
      </c>
      <c r="BI129">
        <v>5</v>
      </c>
      <c r="BJ129">
        <v>13</v>
      </c>
      <c r="BK129">
        <v>8</v>
      </c>
      <c r="BL129">
        <v>12</v>
      </c>
      <c r="BM129">
        <v>1</v>
      </c>
      <c r="BN129">
        <v>1.9</v>
      </c>
      <c r="BO129">
        <v>1.6</v>
      </c>
      <c r="BP129">
        <v>1.7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1</v>
      </c>
      <c r="BZ129">
        <v>0.2</v>
      </c>
      <c r="CA129">
        <v>15</v>
      </c>
      <c r="CB129">
        <v>3</v>
      </c>
      <c r="CC129">
        <v>7</v>
      </c>
      <c r="CD129">
        <v>5</v>
      </c>
      <c r="CE129">
        <v>0</v>
      </c>
      <c r="CF129">
        <v>0</v>
      </c>
      <c r="CG129">
        <v>1</v>
      </c>
      <c r="CH129">
        <v>1</v>
      </c>
      <c r="CI129">
        <v>6</v>
      </c>
      <c r="CJ129">
        <v>4</v>
      </c>
      <c r="CK129">
        <v>2</v>
      </c>
      <c r="CL129">
        <v>2</v>
      </c>
      <c r="CM129">
        <v>17</v>
      </c>
      <c r="CN129">
        <v>16</v>
      </c>
      <c r="CO129">
        <v>0.3</v>
      </c>
      <c r="CP129">
        <v>0.4</v>
      </c>
      <c r="CQ129">
        <v>2.4</v>
      </c>
      <c r="CR129">
        <v>3.2</v>
      </c>
      <c r="CS129">
        <v>1</v>
      </c>
      <c r="CT129">
        <v>1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1</v>
      </c>
    </row>
    <row r="130" spans="1:104" x14ac:dyDescent="0.25">
      <c r="A130" s="1" t="s">
        <v>980</v>
      </c>
      <c r="B130">
        <v>7218</v>
      </c>
      <c r="C130">
        <v>7207</v>
      </c>
      <c r="D130" s="2">
        <v>43799</v>
      </c>
      <c r="E130" s="3">
        <f t="shared" si="3"/>
        <v>2019</v>
      </c>
      <c r="F130" s="3">
        <f t="shared" si="4"/>
        <v>11</v>
      </c>
      <c r="G130" s="3">
        <f t="shared" si="5"/>
        <v>7</v>
      </c>
      <c r="H130" t="s">
        <v>981</v>
      </c>
      <c r="I130">
        <v>1170</v>
      </c>
      <c r="J130" t="s">
        <v>982</v>
      </c>
      <c r="K130" t="s">
        <v>241</v>
      </c>
      <c r="L130">
        <v>2019</v>
      </c>
      <c r="M130" t="s">
        <v>983</v>
      </c>
      <c r="N130" t="s">
        <v>984</v>
      </c>
      <c r="O130" t="s">
        <v>985</v>
      </c>
      <c r="P130">
        <v>3750</v>
      </c>
      <c r="Q130" t="s">
        <v>241</v>
      </c>
      <c r="R130">
        <v>1908</v>
      </c>
      <c r="S130" t="s">
        <v>986</v>
      </c>
      <c r="T130" t="s">
        <v>987</v>
      </c>
      <c r="U130">
        <v>1500</v>
      </c>
      <c r="V130" t="s">
        <v>241</v>
      </c>
      <c r="W130">
        <v>1927</v>
      </c>
      <c r="X130">
        <v>2</v>
      </c>
      <c r="Y130">
        <v>1.5</v>
      </c>
      <c r="Z130">
        <v>-2.5</v>
      </c>
      <c r="AA130">
        <v>-4.5</v>
      </c>
      <c r="AB130">
        <v>10</v>
      </c>
      <c r="AC130">
        <v>45</v>
      </c>
      <c r="AD130">
        <v>45</v>
      </c>
      <c r="AE130">
        <v>43</v>
      </c>
      <c r="AF130">
        <v>57</v>
      </c>
      <c r="AG130">
        <v>36</v>
      </c>
      <c r="AH130">
        <v>64</v>
      </c>
      <c r="AI130">
        <v>43</v>
      </c>
      <c r="AJ130">
        <v>57</v>
      </c>
      <c r="AK130">
        <v>26</v>
      </c>
      <c r="AL130">
        <v>74</v>
      </c>
      <c r="AM130">
        <v>0</v>
      </c>
      <c r="AN130">
        <v>0</v>
      </c>
      <c r="AO130">
        <v>0</v>
      </c>
      <c r="AP130">
        <v>0</v>
      </c>
      <c r="AQ130">
        <v>60</v>
      </c>
      <c r="AR130">
        <v>82</v>
      </c>
      <c r="AS130">
        <v>27</v>
      </c>
      <c r="AT130">
        <v>80</v>
      </c>
      <c r="AU130">
        <v>100</v>
      </c>
      <c r="AV130">
        <v>45</v>
      </c>
      <c r="AW130">
        <v>9</v>
      </c>
      <c r="AX130">
        <v>1.8</v>
      </c>
      <c r="AY130">
        <v>8</v>
      </c>
      <c r="AZ130">
        <v>1.6</v>
      </c>
      <c r="BA130">
        <v>6</v>
      </c>
      <c r="BB130">
        <v>6</v>
      </c>
      <c r="BC130">
        <v>2</v>
      </c>
      <c r="BD130">
        <v>3</v>
      </c>
      <c r="BE130">
        <v>1</v>
      </c>
      <c r="BF130">
        <v>0</v>
      </c>
      <c r="BG130">
        <v>3</v>
      </c>
      <c r="BH130">
        <v>3</v>
      </c>
      <c r="BI130">
        <v>10</v>
      </c>
      <c r="BJ130">
        <v>7</v>
      </c>
      <c r="BK130">
        <v>11</v>
      </c>
      <c r="BL130">
        <v>10</v>
      </c>
      <c r="BM130">
        <v>1.7</v>
      </c>
      <c r="BN130">
        <v>1.2</v>
      </c>
      <c r="BO130">
        <v>1.8</v>
      </c>
      <c r="BP130">
        <v>1.7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0</v>
      </c>
      <c r="BY130">
        <v>16</v>
      </c>
      <c r="BZ130">
        <v>3.2</v>
      </c>
      <c r="CA130">
        <v>6</v>
      </c>
      <c r="CB130">
        <v>1.2</v>
      </c>
      <c r="CC130">
        <v>6</v>
      </c>
      <c r="CD130">
        <v>5</v>
      </c>
      <c r="CE130">
        <v>3</v>
      </c>
      <c r="CF130">
        <v>3</v>
      </c>
      <c r="CG130">
        <v>1</v>
      </c>
      <c r="CH130">
        <v>2</v>
      </c>
      <c r="CI130">
        <v>2</v>
      </c>
      <c r="CJ130">
        <v>0</v>
      </c>
      <c r="CK130">
        <v>14</v>
      </c>
      <c r="CL130">
        <v>12</v>
      </c>
      <c r="CM130">
        <v>7</v>
      </c>
      <c r="CN130">
        <v>6</v>
      </c>
      <c r="CO130">
        <v>2.2999999999999998</v>
      </c>
      <c r="CP130">
        <v>2.4</v>
      </c>
      <c r="CQ130">
        <v>1.2</v>
      </c>
      <c r="CR130">
        <v>1.2</v>
      </c>
      <c r="CS130">
        <v>0</v>
      </c>
      <c r="CT130">
        <v>1</v>
      </c>
      <c r="CU130">
        <v>0</v>
      </c>
      <c r="CV130">
        <v>1</v>
      </c>
      <c r="CW130">
        <v>0</v>
      </c>
      <c r="CX130">
        <v>0</v>
      </c>
      <c r="CY130">
        <v>0</v>
      </c>
      <c r="CZ130">
        <v>0</v>
      </c>
    </row>
    <row r="131" spans="1:104" x14ac:dyDescent="0.25">
      <c r="A131" s="1" t="s">
        <v>988</v>
      </c>
      <c r="B131">
        <v>4317</v>
      </c>
      <c r="C131">
        <v>4316</v>
      </c>
      <c r="D131" s="2">
        <v>43786</v>
      </c>
      <c r="E131" s="3">
        <f t="shared" ref="E131:E194" si="6">YEAR(D131)</f>
        <v>2019</v>
      </c>
      <c r="F131" s="3">
        <f t="shared" ref="F131:F194" si="7">MONTH(D131)</f>
        <v>11</v>
      </c>
      <c r="G131" s="3">
        <f t="shared" ref="G131:G194" si="8">WEEKDAY(D131)</f>
        <v>1</v>
      </c>
      <c r="H131" t="s">
        <v>989</v>
      </c>
      <c r="I131">
        <v>601</v>
      </c>
      <c r="J131" t="s">
        <v>990</v>
      </c>
      <c r="K131" t="s">
        <v>149</v>
      </c>
      <c r="L131">
        <v>2019</v>
      </c>
      <c r="M131" t="s">
        <v>742</v>
      </c>
      <c r="N131" t="s">
        <v>991</v>
      </c>
      <c r="O131" t="s">
        <v>992</v>
      </c>
      <c r="P131">
        <v>13000</v>
      </c>
      <c r="Q131" t="s">
        <v>149</v>
      </c>
      <c r="R131">
        <v>2004</v>
      </c>
      <c r="S131" t="s">
        <v>993</v>
      </c>
      <c r="T131" t="s">
        <v>994</v>
      </c>
      <c r="U131">
        <v>50000</v>
      </c>
      <c r="V131" t="s">
        <v>149</v>
      </c>
      <c r="X131" t="s">
        <v>109</v>
      </c>
      <c r="Z131">
        <v>-2.5</v>
      </c>
      <c r="AA131">
        <v>-2.5</v>
      </c>
      <c r="AB131">
        <v>45</v>
      </c>
      <c r="AC131">
        <v>45</v>
      </c>
      <c r="AD131">
        <v>10</v>
      </c>
      <c r="AE131">
        <v>61</v>
      </c>
      <c r="AF131">
        <v>39</v>
      </c>
      <c r="AG131">
        <v>42</v>
      </c>
      <c r="AH131">
        <v>58</v>
      </c>
      <c r="AI131">
        <v>82</v>
      </c>
      <c r="AJ131">
        <v>18</v>
      </c>
      <c r="AK131">
        <v>79</v>
      </c>
      <c r="AL131">
        <v>21</v>
      </c>
      <c r="AM131">
        <v>50</v>
      </c>
      <c r="AN131">
        <v>50</v>
      </c>
      <c r="AO131">
        <v>36</v>
      </c>
      <c r="AP131">
        <v>64</v>
      </c>
      <c r="AQ131">
        <v>73</v>
      </c>
      <c r="AR131">
        <v>38</v>
      </c>
      <c r="AS131">
        <v>85</v>
      </c>
      <c r="AT131">
        <v>47</v>
      </c>
      <c r="AU131">
        <v>54</v>
      </c>
      <c r="AV131">
        <v>31</v>
      </c>
      <c r="AW131">
        <v>5</v>
      </c>
      <c r="AX131">
        <v>1</v>
      </c>
      <c r="AY131">
        <v>2</v>
      </c>
      <c r="AZ131">
        <v>0.4</v>
      </c>
      <c r="BA131">
        <v>14</v>
      </c>
      <c r="BB131">
        <v>16</v>
      </c>
      <c r="BC131">
        <v>10</v>
      </c>
      <c r="BD131">
        <v>6</v>
      </c>
      <c r="BE131">
        <v>3</v>
      </c>
      <c r="BF131">
        <v>6</v>
      </c>
      <c r="BG131">
        <v>1</v>
      </c>
      <c r="BH131">
        <v>4</v>
      </c>
      <c r="BI131">
        <v>22</v>
      </c>
      <c r="BJ131">
        <v>18</v>
      </c>
      <c r="BK131">
        <v>9</v>
      </c>
      <c r="BL131">
        <v>18</v>
      </c>
      <c r="BM131">
        <v>1.6</v>
      </c>
      <c r="BN131">
        <v>1.1000000000000001</v>
      </c>
      <c r="BO131">
        <v>0.6</v>
      </c>
      <c r="BP131">
        <v>1.1000000000000001</v>
      </c>
      <c r="BQ131">
        <v>5</v>
      </c>
      <c r="BR131">
        <v>4</v>
      </c>
      <c r="BS131">
        <v>3</v>
      </c>
      <c r="BT131">
        <v>1</v>
      </c>
      <c r="BU131">
        <v>0</v>
      </c>
      <c r="BV131">
        <v>1</v>
      </c>
      <c r="BW131">
        <v>2</v>
      </c>
      <c r="BX131">
        <v>2</v>
      </c>
      <c r="BY131">
        <v>7</v>
      </c>
      <c r="BZ131">
        <v>1.4</v>
      </c>
      <c r="CA131">
        <v>9</v>
      </c>
      <c r="CB131">
        <v>1.8</v>
      </c>
      <c r="CC131">
        <v>15</v>
      </c>
      <c r="CD131">
        <v>15</v>
      </c>
      <c r="CE131">
        <v>8</v>
      </c>
      <c r="CF131">
        <v>5</v>
      </c>
      <c r="CG131">
        <v>2</v>
      </c>
      <c r="CH131">
        <v>2</v>
      </c>
      <c r="CI131">
        <v>5</v>
      </c>
      <c r="CJ131">
        <v>8</v>
      </c>
      <c r="CK131">
        <v>24</v>
      </c>
      <c r="CL131">
        <v>18</v>
      </c>
      <c r="CM131">
        <v>19</v>
      </c>
      <c r="CN131">
        <v>32</v>
      </c>
      <c r="CO131">
        <v>1.6</v>
      </c>
      <c r="CP131">
        <v>1.2</v>
      </c>
      <c r="CQ131">
        <v>1.3</v>
      </c>
      <c r="CR131">
        <v>2.1</v>
      </c>
      <c r="CS131">
        <v>4</v>
      </c>
      <c r="CT131">
        <v>5</v>
      </c>
      <c r="CU131">
        <v>2</v>
      </c>
      <c r="CV131">
        <v>2</v>
      </c>
      <c r="CW131">
        <v>1</v>
      </c>
      <c r="CX131">
        <v>0</v>
      </c>
      <c r="CY131">
        <v>1</v>
      </c>
      <c r="CZ131">
        <v>3</v>
      </c>
    </row>
    <row r="132" spans="1:104" x14ac:dyDescent="0.25">
      <c r="A132" s="1" t="s">
        <v>995</v>
      </c>
      <c r="B132">
        <v>10586</v>
      </c>
      <c r="C132">
        <v>6646</v>
      </c>
      <c r="D132" s="2">
        <v>43715</v>
      </c>
      <c r="E132" s="3">
        <f t="shared" si="6"/>
        <v>2019</v>
      </c>
      <c r="F132" s="3">
        <f t="shared" si="7"/>
        <v>9</v>
      </c>
      <c r="G132" s="3">
        <f t="shared" si="8"/>
        <v>7</v>
      </c>
      <c r="H132" t="s">
        <v>996</v>
      </c>
      <c r="I132">
        <v>1466</v>
      </c>
      <c r="J132" t="s">
        <v>997</v>
      </c>
      <c r="K132" t="s">
        <v>442</v>
      </c>
      <c r="L132">
        <v>2019</v>
      </c>
      <c r="M132" t="s">
        <v>598</v>
      </c>
      <c r="N132" t="s">
        <v>996</v>
      </c>
      <c r="O132" t="s">
        <v>441</v>
      </c>
      <c r="P132">
        <v>3500</v>
      </c>
      <c r="Q132" t="s">
        <v>442</v>
      </c>
      <c r="R132">
        <v>1994</v>
      </c>
      <c r="S132" t="s">
        <v>998</v>
      </c>
      <c r="T132" t="s">
        <v>999</v>
      </c>
      <c r="U132">
        <v>7200</v>
      </c>
      <c r="V132" t="s">
        <v>442</v>
      </c>
      <c r="W132">
        <v>1905</v>
      </c>
      <c r="X132" t="s">
        <v>125</v>
      </c>
      <c r="Z132">
        <v>-2.5</v>
      </c>
      <c r="AA132">
        <v>-2.5</v>
      </c>
      <c r="AB132">
        <v>10</v>
      </c>
      <c r="AC132">
        <v>45</v>
      </c>
      <c r="AD132">
        <v>45</v>
      </c>
      <c r="AE132">
        <v>33</v>
      </c>
      <c r="AF132">
        <v>67</v>
      </c>
      <c r="AG132">
        <v>50</v>
      </c>
      <c r="AH132">
        <v>50</v>
      </c>
      <c r="AI132">
        <v>42</v>
      </c>
      <c r="AJ132">
        <v>58</v>
      </c>
      <c r="AK132">
        <v>0</v>
      </c>
      <c r="AL132">
        <v>0</v>
      </c>
      <c r="AM132">
        <v>25</v>
      </c>
      <c r="AN132">
        <v>75</v>
      </c>
      <c r="AO132">
        <v>25</v>
      </c>
      <c r="AP132">
        <v>75</v>
      </c>
      <c r="AQ132">
        <v>13</v>
      </c>
      <c r="AR132">
        <v>33</v>
      </c>
      <c r="AS132">
        <v>48</v>
      </c>
      <c r="AT132">
        <v>27</v>
      </c>
      <c r="AU132">
        <v>33</v>
      </c>
      <c r="AV132">
        <v>62</v>
      </c>
      <c r="AW132">
        <v>7</v>
      </c>
      <c r="AX132">
        <v>1.4</v>
      </c>
      <c r="AY132">
        <v>11</v>
      </c>
      <c r="AZ132">
        <v>2.2000000000000002</v>
      </c>
      <c r="BA132">
        <v>4</v>
      </c>
      <c r="BB132">
        <v>2</v>
      </c>
      <c r="BC132">
        <v>1</v>
      </c>
      <c r="BD132">
        <v>0</v>
      </c>
      <c r="BE132">
        <v>1</v>
      </c>
      <c r="BF132">
        <v>1</v>
      </c>
      <c r="BG132">
        <v>2</v>
      </c>
      <c r="BH132">
        <v>1</v>
      </c>
      <c r="BI132">
        <v>8</v>
      </c>
      <c r="BJ132">
        <v>2</v>
      </c>
      <c r="BK132">
        <v>8</v>
      </c>
      <c r="BL132">
        <v>4</v>
      </c>
      <c r="BM132">
        <v>2</v>
      </c>
      <c r="BN132">
        <v>1</v>
      </c>
      <c r="BO132">
        <v>2</v>
      </c>
      <c r="BP132">
        <v>2</v>
      </c>
      <c r="BQ132">
        <v>3</v>
      </c>
      <c r="BR132">
        <v>2</v>
      </c>
      <c r="BS132">
        <v>1</v>
      </c>
      <c r="BT132">
        <v>0</v>
      </c>
      <c r="BU132">
        <v>0</v>
      </c>
      <c r="BV132">
        <v>0</v>
      </c>
      <c r="BW132">
        <v>2</v>
      </c>
      <c r="BX132">
        <v>2</v>
      </c>
      <c r="BY132">
        <v>7</v>
      </c>
      <c r="BZ132">
        <v>1.4</v>
      </c>
      <c r="CA132">
        <v>8</v>
      </c>
      <c r="CB132">
        <v>1.6</v>
      </c>
      <c r="CC132">
        <v>4</v>
      </c>
      <c r="CD132">
        <v>2</v>
      </c>
      <c r="CE132">
        <v>2</v>
      </c>
      <c r="CF132">
        <v>0</v>
      </c>
      <c r="CG132">
        <v>0</v>
      </c>
      <c r="CH132">
        <v>1</v>
      </c>
      <c r="CI132">
        <v>2</v>
      </c>
      <c r="CJ132">
        <v>1</v>
      </c>
      <c r="CK132">
        <v>7</v>
      </c>
      <c r="CL132">
        <v>2</v>
      </c>
      <c r="CM132">
        <v>6</v>
      </c>
      <c r="CN132">
        <v>3</v>
      </c>
      <c r="CO132">
        <v>1.8</v>
      </c>
      <c r="CP132">
        <v>1</v>
      </c>
      <c r="CQ132">
        <v>1.5</v>
      </c>
      <c r="CR132">
        <v>1.5</v>
      </c>
      <c r="CS132">
        <v>2</v>
      </c>
      <c r="CT132">
        <v>3</v>
      </c>
      <c r="CU132">
        <v>2</v>
      </c>
      <c r="CV132">
        <v>2</v>
      </c>
      <c r="CW132">
        <v>0</v>
      </c>
      <c r="CX132">
        <v>0</v>
      </c>
      <c r="CY132">
        <v>0</v>
      </c>
      <c r="CZ132">
        <v>1</v>
      </c>
    </row>
    <row r="133" spans="1:104" x14ac:dyDescent="0.25">
      <c r="A133" s="1" t="s">
        <v>1000</v>
      </c>
      <c r="B133">
        <v>8364</v>
      </c>
      <c r="C133">
        <v>4984</v>
      </c>
      <c r="D133" s="2">
        <v>43785</v>
      </c>
      <c r="E133" s="3">
        <f t="shared" si="6"/>
        <v>2019</v>
      </c>
      <c r="F133" s="3">
        <f t="shared" si="7"/>
        <v>11</v>
      </c>
      <c r="G133" s="3">
        <f t="shared" si="8"/>
        <v>7</v>
      </c>
      <c r="H133" t="s">
        <v>1001</v>
      </c>
      <c r="I133">
        <v>1095</v>
      </c>
      <c r="J133" t="s">
        <v>1002</v>
      </c>
      <c r="K133" t="s">
        <v>547</v>
      </c>
      <c r="L133">
        <v>2019</v>
      </c>
      <c r="M133" t="s">
        <v>1003</v>
      </c>
      <c r="N133" t="s">
        <v>1001</v>
      </c>
      <c r="O133" t="s">
        <v>1004</v>
      </c>
      <c r="P133">
        <v>1000</v>
      </c>
      <c r="Q133" t="s">
        <v>547</v>
      </c>
      <c r="R133">
        <v>1947</v>
      </c>
      <c r="S133" t="s">
        <v>1005</v>
      </c>
      <c r="T133" t="s">
        <v>1004</v>
      </c>
      <c r="U133">
        <v>6000</v>
      </c>
      <c r="V133" t="s">
        <v>547</v>
      </c>
      <c r="X133" t="s">
        <v>125</v>
      </c>
      <c r="Y133">
        <v>1.5</v>
      </c>
      <c r="Z133">
        <v>-2.5</v>
      </c>
      <c r="AA133">
        <v>-3.5</v>
      </c>
      <c r="AB133">
        <v>10</v>
      </c>
      <c r="AC133">
        <v>45</v>
      </c>
      <c r="AD133">
        <v>45</v>
      </c>
      <c r="AE133">
        <v>36</v>
      </c>
      <c r="AF133">
        <v>64</v>
      </c>
      <c r="AG133">
        <v>36</v>
      </c>
      <c r="AH133">
        <v>64</v>
      </c>
      <c r="AI133">
        <v>48</v>
      </c>
      <c r="AJ133">
        <v>52</v>
      </c>
      <c r="AK133">
        <v>32</v>
      </c>
      <c r="AL133">
        <v>68</v>
      </c>
      <c r="AM133">
        <v>0</v>
      </c>
      <c r="AN133">
        <v>0</v>
      </c>
      <c r="AO133">
        <v>0</v>
      </c>
      <c r="AP133">
        <v>0</v>
      </c>
      <c r="AQ133">
        <v>27</v>
      </c>
      <c r="AR133">
        <v>36</v>
      </c>
      <c r="AS133">
        <v>14</v>
      </c>
      <c r="AT133">
        <v>47</v>
      </c>
      <c r="AU133">
        <v>64</v>
      </c>
      <c r="AV133">
        <v>21</v>
      </c>
      <c r="AW133">
        <v>5</v>
      </c>
      <c r="AX133">
        <v>1</v>
      </c>
      <c r="AY133">
        <v>12</v>
      </c>
      <c r="AZ133">
        <v>2.4</v>
      </c>
      <c r="BA133">
        <v>7</v>
      </c>
      <c r="BB133">
        <v>6</v>
      </c>
      <c r="BC133">
        <v>3</v>
      </c>
      <c r="BD133">
        <v>2</v>
      </c>
      <c r="BE133">
        <v>0</v>
      </c>
      <c r="BF133">
        <v>1</v>
      </c>
      <c r="BG133">
        <v>4</v>
      </c>
      <c r="BH133">
        <v>3</v>
      </c>
      <c r="BI133">
        <v>11</v>
      </c>
      <c r="BJ133">
        <v>9</v>
      </c>
      <c r="BK133">
        <v>17</v>
      </c>
      <c r="BL133">
        <v>19</v>
      </c>
      <c r="BM133">
        <v>1.6</v>
      </c>
      <c r="BN133">
        <v>1.5</v>
      </c>
      <c r="BO133">
        <v>2.4</v>
      </c>
      <c r="BP133">
        <v>3.2</v>
      </c>
      <c r="BQ133">
        <v>1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9</v>
      </c>
      <c r="BZ133">
        <v>1.8</v>
      </c>
      <c r="CA133">
        <v>11</v>
      </c>
      <c r="CB133">
        <v>2.2000000000000002</v>
      </c>
      <c r="CC133">
        <v>6</v>
      </c>
      <c r="CD133">
        <v>7</v>
      </c>
      <c r="CE133">
        <v>0</v>
      </c>
      <c r="CF133">
        <v>3</v>
      </c>
      <c r="CG133">
        <v>0</v>
      </c>
      <c r="CH133">
        <v>2</v>
      </c>
      <c r="CI133">
        <v>6</v>
      </c>
      <c r="CJ133">
        <v>2</v>
      </c>
      <c r="CK133">
        <v>4</v>
      </c>
      <c r="CL133">
        <v>15</v>
      </c>
      <c r="CM133">
        <v>17</v>
      </c>
      <c r="CN133">
        <v>11</v>
      </c>
      <c r="CO133">
        <v>0.7</v>
      </c>
      <c r="CP133">
        <v>2.1</v>
      </c>
      <c r="CQ133">
        <v>2.8</v>
      </c>
      <c r="CR133">
        <v>1.6</v>
      </c>
      <c r="CS133">
        <v>0</v>
      </c>
      <c r="CT133">
        <v>1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</v>
      </c>
    </row>
    <row r="134" spans="1:104" x14ac:dyDescent="0.25">
      <c r="A134" s="1" t="s">
        <v>1006</v>
      </c>
      <c r="B134">
        <v>182</v>
      </c>
      <c r="C134">
        <v>164</v>
      </c>
      <c r="D134" s="2">
        <v>43978</v>
      </c>
      <c r="E134" s="3">
        <f t="shared" si="6"/>
        <v>2020</v>
      </c>
      <c r="F134" s="3">
        <f t="shared" si="7"/>
        <v>5</v>
      </c>
      <c r="G134" s="3">
        <f t="shared" si="8"/>
        <v>4</v>
      </c>
      <c r="H134" t="s">
        <v>1007</v>
      </c>
      <c r="I134">
        <v>754</v>
      </c>
      <c r="J134" t="s">
        <v>1008</v>
      </c>
      <c r="K134" t="s">
        <v>558</v>
      </c>
      <c r="L134">
        <v>2019</v>
      </c>
      <c r="M134" t="s">
        <v>373</v>
      </c>
      <c r="Q134" t="s">
        <v>558</v>
      </c>
      <c r="R134">
        <v>1966</v>
      </c>
      <c r="S134" t="s">
        <v>1009</v>
      </c>
      <c r="T134" t="s">
        <v>1010</v>
      </c>
      <c r="U134">
        <v>34034</v>
      </c>
      <c r="V134" t="s">
        <v>558</v>
      </c>
      <c r="W134">
        <v>1905</v>
      </c>
      <c r="X134" t="s">
        <v>109</v>
      </c>
      <c r="Z134">
        <v>-2.5</v>
      </c>
      <c r="AA134">
        <v>-2.5</v>
      </c>
      <c r="AB134">
        <v>45</v>
      </c>
      <c r="AC134">
        <v>45</v>
      </c>
      <c r="AD134">
        <v>10</v>
      </c>
      <c r="AE134">
        <v>44</v>
      </c>
      <c r="AF134">
        <v>56</v>
      </c>
      <c r="AG134">
        <v>50</v>
      </c>
      <c r="AH134">
        <v>50</v>
      </c>
      <c r="AI134">
        <v>50</v>
      </c>
      <c r="AJ134">
        <v>50</v>
      </c>
      <c r="AK134">
        <v>60</v>
      </c>
      <c r="AL134">
        <v>40</v>
      </c>
      <c r="AM134">
        <v>100</v>
      </c>
      <c r="AN134">
        <v>0</v>
      </c>
      <c r="AO134">
        <v>60</v>
      </c>
      <c r="AP134">
        <v>40</v>
      </c>
      <c r="AQ134">
        <v>27</v>
      </c>
      <c r="AR134">
        <v>31</v>
      </c>
      <c r="AS134">
        <v>25</v>
      </c>
      <c r="AT134">
        <v>33</v>
      </c>
      <c r="AU134">
        <v>31</v>
      </c>
      <c r="AV134">
        <v>25</v>
      </c>
      <c r="AW134">
        <v>5</v>
      </c>
      <c r="AX134">
        <v>1</v>
      </c>
      <c r="AY134">
        <v>12</v>
      </c>
      <c r="AZ134">
        <v>2.4</v>
      </c>
      <c r="BA134">
        <v>13</v>
      </c>
      <c r="BB134">
        <v>14</v>
      </c>
      <c r="BC134">
        <v>6</v>
      </c>
      <c r="BD134">
        <v>3</v>
      </c>
      <c r="BE134">
        <v>1</v>
      </c>
      <c r="BF134">
        <v>2</v>
      </c>
      <c r="BG134">
        <v>6</v>
      </c>
      <c r="BH134">
        <v>9</v>
      </c>
      <c r="BI134">
        <v>18</v>
      </c>
      <c r="BJ134">
        <v>14</v>
      </c>
      <c r="BK134">
        <v>18</v>
      </c>
      <c r="BL134">
        <v>29</v>
      </c>
      <c r="BM134">
        <v>1.4</v>
      </c>
      <c r="BN134">
        <v>1</v>
      </c>
      <c r="BO134">
        <v>1.4</v>
      </c>
      <c r="BP134">
        <v>2.1</v>
      </c>
      <c r="BQ134">
        <v>1</v>
      </c>
      <c r="BR134">
        <v>1</v>
      </c>
      <c r="BS134">
        <v>0</v>
      </c>
      <c r="BT134">
        <v>1</v>
      </c>
      <c r="BU134">
        <v>1</v>
      </c>
      <c r="BV134">
        <v>0</v>
      </c>
      <c r="BW134">
        <v>0</v>
      </c>
      <c r="BX134">
        <v>0</v>
      </c>
      <c r="BY134">
        <v>5</v>
      </c>
      <c r="BZ134">
        <v>1</v>
      </c>
      <c r="CA134">
        <v>12</v>
      </c>
      <c r="CB134">
        <v>2.4</v>
      </c>
      <c r="CC134">
        <v>14</v>
      </c>
      <c r="CD134">
        <v>13</v>
      </c>
      <c r="CE134">
        <v>4</v>
      </c>
      <c r="CF134">
        <v>4</v>
      </c>
      <c r="CG134">
        <v>2</v>
      </c>
      <c r="CH134">
        <v>1</v>
      </c>
      <c r="CI134">
        <v>8</v>
      </c>
      <c r="CJ134">
        <v>8</v>
      </c>
      <c r="CK134">
        <v>15</v>
      </c>
      <c r="CL134">
        <v>21</v>
      </c>
      <c r="CM134">
        <v>26</v>
      </c>
      <c r="CN134">
        <v>34</v>
      </c>
      <c r="CO134">
        <v>1.1000000000000001</v>
      </c>
      <c r="CP134">
        <v>1.6</v>
      </c>
      <c r="CQ134">
        <v>1.9</v>
      </c>
      <c r="CR134">
        <v>2.6</v>
      </c>
      <c r="CS134">
        <v>1</v>
      </c>
      <c r="CT134">
        <v>1</v>
      </c>
      <c r="CU134">
        <v>0</v>
      </c>
      <c r="CV134">
        <v>0</v>
      </c>
      <c r="CW134">
        <v>0</v>
      </c>
      <c r="CX134">
        <v>1</v>
      </c>
      <c r="CY134">
        <v>1</v>
      </c>
      <c r="CZ134">
        <v>0</v>
      </c>
    </row>
    <row r="135" spans="1:104" x14ac:dyDescent="0.25">
      <c r="A135" s="1" t="s">
        <v>1011</v>
      </c>
      <c r="B135">
        <v>2244</v>
      </c>
      <c r="C135">
        <v>2084</v>
      </c>
      <c r="D135" s="2">
        <v>43736</v>
      </c>
      <c r="E135" s="3">
        <f t="shared" si="6"/>
        <v>2019</v>
      </c>
      <c r="F135" s="3">
        <f t="shared" si="7"/>
        <v>9</v>
      </c>
      <c r="G135" s="3">
        <f t="shared" si="8"/>
        <v>7</v>
      </c>
      <c r="H135" t="s">
        <v>1012</v>
      </c>
      <c r="I135">
        <v>295</v>
      </c>
      <c r="J135" t="s">
        <v>702</v>
      </c>
      <c r="K135" t="s">
        <v>180</v>
      </c>
      <c r="L135">
        <v>2019</v>
      </c>
      <c r="M135" t="s">
        <v>520</v>
      </c>
      <c r="N135" t="s">
        <v>181</v>
      </c>
      <c r="O135" t="s">
        <v>182</v>
      </c>
      <c r="P135">
        <v>5060</v>
      </c>
      <c r="Q135" t="s">
        <v>180</v>
      </c>
      <c r="R135">
        <v>1930</v>
      </c>
      <c r="S135" t="s">
        <v>1013</v>
      </c>
      <c r="T135" t="s">
        <v>1014</v>
      </c>
      <c r="U135">
        <v>1200</v>
      </c>
      <c r="V135" t="s">
        <v>180</v>
      </c>
      <c r="W135">
        <v>2006</v>
      </c>
      <c r="X135" t="s">
        <v>109</v>
      </c>
      <c r="Z135">
        <v>-2.5</v>
      </c>
      <c r="AA135">
        <v>-2.5</v>
      </c>
      <c r="AB135">
        <v>45</v>
      </c>
      <c r="AC135">
        <v>45</v>
      </c>
      <c r="AD135">
        <v>10</v>
      </c>
      <c r="AE135">
        <v>50</v>
      </c>
      <c r="AF135">
        <v>50</v>
      </c>
      <c r="AG135">
        <v>41</v>
      </c>
      <c r="AH135">
        <v>59</v>
      </c>
      <c r="AI135">
        <v>59</v>
      </c>
      <c r="AJ135">
        <v>41</v>
      </c>
      <c r="AK135">
        <v>44</v>
      </c>
      <c r="AL135">
        <v>56</v>
      </c>
      <c r="AM135">
        <v>50</v>
      </c>
      <c r="AN135">
        <v>50</v>
      </c>
      <c r="AO135">
        <v>64</v>
      </c>
      <c r="AP135">
        <v>36</v>
      </c>
      <c r="AQ135">
        <v>27</v>
      </c>
      <c r="AR135">
        <v>39</v>
      </c>
      <c r="AS135">
        <v>50</v>
      </c>
      <c r="AT135">
        <v>27</v>
      </c>
      <c r="AU135">
        <v>56</v>
      </c>
      <c r="AV135">
        <v>28</v>
      </c>
      <c r="AW135">
        <v>7</v>
      </c>
      <c r="AX135">
        <v>1.4</v>
      </c>
      <c r="AY135">
        <v>9</v>
      </c>
      <c r="AZ135">
        <v>1.8</v>
      </c>
      <c r="BA135">
        <v>11</v>
      </c>
      <c r="BB135">
        <v>13</v>
      </c>
      <c r="BC135">
        <v>4</v>
      </c>
      <c r="BD135">
        <v>0</v>
      </c>
      <c r="BE135">
        <v>3</v>
      </c>
      <c r="BF135">
        <v>3</v>
      </c>
      <c r="BG135">
        <v>4</v>
      </c>
      <c r="BH135">
        <v>10</v>
      </c>
      <c r="BI135">
        <v>12</v>
      </c>
      <c r="BJ135">
        <v>12</v>
      </c>
      <c r="BK135">
        <v>16</v>
      </c>
      <c r="BL135">
        <v>31</v>
      </c>
      <c r="BM135">
        <v>1.1000000000000001</v>
      </c>
      <c r="BN135">
        <v>0.9</v>
      </c>
      <c r="BO135">
        <v>1.5</v>
      </c>
      <c r="BP135">
        <v>2.4</v>
      </c>
      <c r="BQ135">
        <v>3</v>
      </c>
      <c r="BR135">
        <v>1</v>
      </c>
      <c r="BS135">
        <v>1</v>
      </c>
      <c r="BT135">
        <v>0</v>
      </c>
      <c r="BU135">
        <v>1</v>
      </c>
      <c r="BV135">
        <v>0</v>
      </c>
      <c r="BW135">
        <v>1</v>
      </c>
      <c r="BX135">
        <v>1</v>
      </c>
      <c r="BY135">
        <v>10</v>
      </c>
      <c r="BZ135">
        <v>2</v>
      </c>
      <c r="CA135">
        <v>13</v>
      </c>
      <c r="CB135">
        <v>2.6</v>
      </c>
      <c r="CC135">
        <v>12</v>
      </c>
      <c r="CD135">
        <v>12</v>
      </c>
      <c r="CE135">
        <v>2</v>
      </c>
      <c r="CF135">
        <v>3</v>
      </c>
      <c r="CG135">
        <v>2</v>
      </c>
      <c r="CH135">
        <v>4</v>
      </c>
      <c r="CI135">
        <v>8</v>
      </c>
      <c r="CJ135">
        <v>5</v>
      </c>
      <c r="CK135">
        <v>17</v>
      </c>
      <c r="CL135">
        <v>18</v>
      </c>
      <c r="CM135">
        <v>22</v>
      </c>
      <c r="CN135">
        <v>22</v>
      </c>
      <c r="CO135">
        <v>1.4</v>
      </c>
      <c r="CP135">
        <v>1.5</v>
      </c>
      <c r="CQ135">
        <v>1.8</v>
      </c>
      <c r="CR135">
        <v>1.8</v>
      </c>
      <c r="CS135">
        <v>1</v>
      </c>
      <c r="CT135">
        <v>3</v>
      </c>
      <c r="CU135">
        <v>1</v>
      </c>
      <c r="CV135">
        <v>1</v>
      </c>
      <c r="CW135">
        <v>0</v>
      </c>
      <c r="CX135">
        <v>1</v>
      </c>
      <c r="CY135">
        <v>0</v>
      </c>
      <c r="CZ135">
        <v>1</v>
      </c>
    </row>
    <row r="136" spans="1:104" x14ac:dyDescent="0.25">
      <c r="A136" s="1" t="s">
        <v>1015</v>
      </c>
      <c r="B136">
        <v>12621</v>
      </c>
      <c r="C136">
        <v>6670</v>
      </c>
      <c r="D136" s="2">
        <v>43682</v>
      </c>
      <c r="E136" s="3">
        <f t="shared" si="6"/>
        <v>2019</v>
      </c>
      <c r="F136" s="3">
        <f t="shared" si="7"/>
        <v>8</v>
      </c>
      <c r="G136" s="3">
        <f t="shared" si="8"/>
        <v>2</v>
      </c>
      <c r="H136" t="s">
        <v>1016</v>
      </c>
      <c r="I136">
        <v>2213</v>
      </c>
      <c r="J136" t="s">
        <v>1017</v>
      </c>
      <c r="K136" t="s">
        <v>104</v>
      </c>
      <c r="L136">
        <v>2019</v>
      </c>
      <c r="M136" t="s">
        <v>173</v>
      </c>
      <c r="N136" t="s">
        <v>1016</v>
      </c>
      <c r="O136" t="s">
        <v>1018</v>
      </c>
      <c r="P136">
        <v>2500</v>
      </c>
      <c r="Q136" t="s">
        <v>104</v>
      </c>
      <c r="S136" t="s">
        <v>1019</v>
      </c>
      <c r="T136" t="s">
        <v>1020</v>
      </c>
      <c r="U136">
        <v>1500</v>
      </c>
      <c r="V136" t="s">
        <v>104</v>
      </c>
      <c r="W136">
        <v>1922</v>
      </c>
      <c r="X136">
        <v>2</v>
      </c>
      <c r="Z136">
        <v>-1.5</v>
      </c>
      <c r="AA136">
        <v>-3.5</v>
      </c>
      <c r="AB136">
        <v>10</v>
      </c>
      <c r="AC136">
        <v>45</v>
      </c>
      <c r="AD136">
        <v>45</v>
      </c>
      <c r="AE136">
        <v>19</v>
      </c>
      <c r="AF136">
        <v>81</v>
      </c>
      <c r="AG136">
        <v>36</v>
      </c>
      <c r="AH136">
        <v>64</v>
      </c>
      <c r="AI136">
        <v>25</v>
      </c>
      <c r="AJ136">
        <v>75</v>
      </c>
      <c r="AK136">
        <v>22</v>
      </c>
      <c r="AL136">
        <v>78</v>
      </c>
      <c r="AM136">
        <v>40</v>
      </c>
      <c r="AN136">
        <v>60</v>
      </c>
      <c r="AO136">
        <v>50</v>
      </c>
      <c r="AP136">
        <v>50</v>
      </c>
      <c r="AQ136">
        <v>20</v>
      </c>
      <c r="AR136">
        <v>25</v>
      </c>
      <c r="AS136">
        <v>55</v>
      </c>
      <c r="AT136">
        <v>87</v>
      </c>
      <c r="AU136">
        <v>45</v>
      </c>
      <c r="AV136">
        <v>85</v>
      </c>
      <c r="AW136">
        <v>5</v>
      </c>
      <c r="AX136">
        <v>1</v>
      </c>
      <c r="AY136">
        <v>9</v>
      </c>
      <c r="AZ136">
        <v>1.8</v>
      </c>
      <c r="BA136">
        <v>7</v>
      </c>
      <c r="BB136">
        <v>8</v>
      </c>
      <c r="BC136">
        <v>1</v>
      </c>
      <c r="BD136">
        <v>1</v>
      </c>
      <c r="BE136">
        <v>2</v>
      </c>
      <c r="BF136">
        <v>4</v>
      </c>
      <c r="BG136">
        <v>4</v>
      </c>
      <c r="BH136">
        <v>3</v>
      </c>
      <c r="BI136">
        <v>8</v>
      </c>
      <c r="BJ136">
        <v>11</v>
      </c>
      <c r="BK136">
        <v>15</v>
      </c>
      <c r="BL136">
        <v>22</v>
      </c>
      <c r="BM136">
        <v>1.1000000000000001</v>
      </c>
      <c r="BN136">
        <v>1.4</v>
      </c>
      <c r="BO136">
        <v>2.1</v>
      </c>
      <c r="BP136">
        <v>2.8</v>
      </c>
      <c r="BQ136">
        <v>3</v>
      </c>
      <c r="BR136">
        <v>3</v>
      </c>
      <c r="BS136">
        <v>1</v>
      </c>
      <c r="BT136">
        <v>1</v>
      </c>
      <c r="BU136">
        <v>0</v>
      </c>
      <c r="BV136">
        <v>0</v>
      </c>
      <c r="BW136">
        <v>2</v>
      </c>
      <c r="BX136">
        <v>2</v>
      </c>
      <c r="BY136">
        <v>9</v>
      </c>
      <c r="BZ136">
        <v>1.8</v>
      </c>
      <c r="CA136">
        <v>3</v>
      </c>
      <c r="CB136">
        <v>0.6</v>
      </c>
      <c r="CC136">
        <v>8</v>
      </c>
      <c r="CD136">
        <v>7</v>
      </c>
      <c r="CE136">
        <v>4</v>
      </c>
      <c r="CF136">
        <v>4</v>
      </c>
      <c r="CG136">
        <v>2</v>
      </c>
      <c r="CH136">
        <v>2</v>
      </c>
      <c r="CI136">
        <v>2</v>
      </c>
      <c r="CJ136">
        <v>1</v>
      </c>
      <c r="CK136">
        <v>14</v>
      </c>
      <c r="CL136">
        <v>15</v>
      </c>
      <c r="CM136">
        <v>12</v>
      </c>
      <c r="CN136">
        <v>9</v>
      </c>
      <c r="CO136">
        <v>1.8</v>
      </c>
      <c r="CP136">
        <v>2.1</v>
      </c>
      <c r="CQ136">
        <v>1.5</v>
      </c>
      <c r="CR136">
        <v>1.3</v>
      </c>
      <c r="CS136">
        <v>3</v>
      </c>
      <c r="CT136">
        <v>3</v>
      </c>
      <c r="CU136">
        <v>2</v>
      </c>
      <c r="CV136">
        <v>2</v>
      </c>
      <c r="CW136">
        <v>0</v>
      </c>
      <c r="CX136">
        <v>0</v>
      </c>
      <c r="CY136">
        <v>1</v>
      </c>
      <c r="CZ136">
        <v>1</v>
      </c>
    </row>
    <row r="137" spans="1:104" x14ac:dyDescent="0.25">
      <c r="A137" s="1" t="s">
        <v>1021</v>
      </c>
      <c r="B137">
        <v>5199</v>
      </c>
      <c r="C137">
        <v>5206</v>
      </c>
      <c r="D137" s="2">
        <v>43723</v>
      </c>
      <c r="E137" s="3">
        <f t="shared" si="6"/>
        <v>2019</v>
      </c>
      <c r="F137" s="3">
        <f t="shared" si="7"/>
        <v>9</v>
      </c>
      <c r="G137" s="3">
        <f t="shared" si="8"/>
        <v>1</v>
      </c>
      <c r="H137" t="s">
        <v>1022</v>
      </c>
      <c r="I137">
        <v>960</v>
      </c>
      <c r="J137" t="s">
        <v>761</v>
      </c>
      <c r="K137" t="s">
        <v>1023</v>
      </c>
      <c r="L137">
        <v>2020</v>
      </c>
      <c r="M137" t="s">
        <v>405</v>
      </c>
      <c r="N137" t="s">
        <v>1022</v>
      </c>
      <c r="O137" t="s">
        <v>1024</v>
      </c>
      <c r="P137">
        <v>15000</v>
      </c>
      <c r="Q137" t="s">
        <v>1023</v>
      </c>
      <c r="S137" t="s">
        <v>1025</v>
      </c>
      <c r="T137" t="s">
        <v>1026</v>
      </c>
      <c r="U137">
        <v>10000</v>
      </c>
      <c r="V137" t="s">
        <v>1023</v>
      </c>
      <c r="W137">
        <v>1953</v>
      </c>
      <c r="X137" t="s">
        <v>109</v>
      </c>
      <c r="Y137">
        <v>1.5</v>
      </c>
      <c r="AB137">
        <v>45</v>
      </c>
      <c r="AC137">
        <v>45</v>
      </c>
      <c r="AD137">
        <v>10</v>
      </c>
      <c r="AE137">
        <v>0</v>
      </c>
      <c r="AF137">
        <v>0</v>
      </c>
      <c r="AG137">
        <v>0</v>
      </c>
      <c r="AH137">
        <v>0</v>
      </c>
      <c r="AI137">
        <v>50</v>
      </c>
      <c r="AJ137">
        <v>50</v>
      </c>
      <c r="AK137">
        <v>0</v>
      </c>
      <c r="AL137">
        <v>0</v>
      </c>
      <c r="AM137">
        <v>75</v>
      </c>
      <c r="AN137">
        <v>25</v>
      </c>
      <c r="AO137">
        <v>80</v>
      </c>
      <c r="AP137">
        <v>20</v>
      </c>
      <c r="AQ137">
        <v>0</v>
      </c>
      <c r="AR137">
        <v>0</v>
      </c>
      <c r="AS137">
        <v>67</v>
      </c>
      <c r="AT137">
        <v>0</v>
      </c>
      <c r="AU137">
        <v>0</v>
      </c>
      <c r="AV137">
        <v>67</v>
      </c>
      <c r="AW137">
        <v>0</v>
      </c>
      <c r="AX137">
        <v>0</v>
      </c>
      <c r="AY137">
        <v>2</v>
      </c>
      <c r="AZ137">
        <v>2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2</v>
      </c>
      <c r="BM137">
        <v>0</v>
      </c>
      <c r="BN137">
        <v>0</v>
      </c>
      <c r="BO137">
        <v>0</v>
      </c>
      <c r="BP137">
        <v>2</v>
      </c>
      <c r="BQ137">
        <v>5</v>
      </c>
      <c r="BR137">
        <v>5</v>
      </c>
      <c r="BS137">
        <v>4</v>
      </c>
      <c r="BT137">
        <v>2</v>
      </c>
      <c r="BU137">
        <v>1</v>
      </c>
      <c r="BV137">
        <v>3</v>
      </c>
      <c r="BW137">
        <v>0</v>
      </c>
      <c r="BX137">
        <v>0</v>
      </c>
      <c r="BY137">
        <v>0</v>
      </c>
      <c r="BZ137">
        <v>0</v>
      </c>
      <c r="CA137">
        <v>2</v>
      </c>
      <c r="CB137">
        <v>2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</v>
      </c>
      <c r="CJ137">
        <v>0</v>
      </c>
      <c r="CK137">
        <v>0</v>
      </c>
      <c r="CL137">
        <v>0</v>
      </c>
      <c r="CM137">
        <v>2</v>
      </c>
      <c r="CN137">
        <v>0</v>
      </c>
      <c r="CO137">
        <v>0</v>
      </c>
      <c r="CP137">
        <v>0</v>
      </c>
      <c r="CQ137">
        <v>2</v>
      </c>
      <c r="CR137">
        <v>0</v>
      </c>
      <c r="CS137">
        <v>5</v>
      </c>
      <c r="CT137">
        <v>5</v>
      </c>
      <c r="CU137">
        <v>0</v>
      </c>
      <c r="CV137">
        <v>0</v>
      </c>
      <c r="CW137">
        <v>3</v>
      </c>
      <c r="CX137">
        <v>1</v>
      </c>
      <c r="CY137">
        <v>2</v>
      </c>
      <c r="CZ137">
        <v>4</v>
      </c>
    </row>
    <row r="138" spans="1:104" x14ac:dyDescent="0.25">
      <c r="A138" s="1" t="s">
        <v>1027</v>
      </c>
      <c r="B138">
        <v>6778</v>
      </c>
      <c r="C138">
        <v>1390</v>
      </c>
      <c r="D138" s="2">
        <v>43778</v>
      </c>
      <c r="E138" s="3">
        <f t="shared" si="6"/>
        <v>2019</v>
      </c>
      <c r="F138" s="3">
        <f t="shared" si="7"/>
        <v>11</v>
      </c>
      <c r="G138" s="3">
        <f t="shared" si="8"/>
        <v>7</v>
      </c>
      <c r="H138" t="s">
        <v>1028</v>
      </c>
      <c r="I138">
        <v>989</v>
      </c>
      <c r="J138" t="s">
        <v>248</v>
      </c>
      <c r="K138" t="s">
        <v>1029</v>
      </c>
      <c r="L138">
        <v>2019</v>
      </c>
      <c r="M138" t="s">
        <v>272</v>
      </c>
      <c r="N138" t="s">
        <v>1028</v>
      </c>
      <c r="O138" t="s">
        <v>1030</v>
      </c>
      <c r="P138">
        <v>52500</v>
      </c>
      <c r="Q138" t="s">
        <v>1029</v>
      </c>
      <c r="R138">
        <v>1867</v>
      </c>
      <c r="S138" t="s">
        <v>1031</v>
      </c>
      <c r="T138" t="s">
        <v>1032</v>
      </c>
      <c r="U138">
        <v>4070</v>
      </c>
      <c r="V138" t="s">
        <v>1029</v>
      </c>
      <c r="W138">
        <v>1906</v>
      </c>
      <c r="X138" t="s">
        <v>109</v>
      </c>
      <c r="Z138">
        <v>-1.5</v>
      </c>
      <c r="AA138">
        <v>-2.5</v>
      </c>
      <c r="AB138">
        <v>45</v>
      </c>
      <c r="AC138">
        <v>45</v>
      </c>
      <c r="AD138">
        <v>10</v>
      </c>
      <c r="AE138">
        <v>43</v>
      </c>
      <c r="AF138">
        <v>57</v>
      </c>
      <c r="AG138">
        <v>46</v>
      </c>
      <c r="AH138">
        <v>54</v>
      </c>
      <c r="AI138">
        <v>50</v>
      </c>
      <c r="AJ138">
        <v>50</v>
      </c>
      <c r="AK138">
        <v>36</v>
      </c>
      <c r="AL138">
        <v>64</v>
      </c>
      <c r="AM138">
        <v>62</v>
      </c>
      <c r="AN138">
        <v>38</v>
      </c>
      <c r="AO138">
        <v>64</v>
      </c>
      <c r="AP138">
        <v>36</v>
      </c>
      <c r="AQ138">
        <v>20</v>
      </c>
      <c r="AR138">
        <v>32</v>
      </c>
      <c r="AS138">
        <v>47</v>
      </c>
      <c r="AT138">
        <v>27</v>
      </c>
      <c r="AU138">
        <v>37</v>
      </c>
      <c r="AV138">
        <v>47</v>
      </c>
      <c r="AW138">
        <v>6</v>
      </c>
      <c r="AX138">
        <v>1.2</v>
      </c>
      <c r="AY138">
        <v>10</v>
      </c>
      <c r="AZ138">
        <v>2</v>
      </c>
      <c r="BA138">
        <v>5</v>
      </c>
      <c r="BB138">
        <v>6</v>
      </c>
      <c r="BC138">
        <v>0</v>
      </c>
      <c r="BD138">
        <v>3</v>
      </c>
      <c r="BE138">
        <v>3</v>
      </c>
      <c r="BF138">
        <v>0</v>
      </c>
      <c r="BG138">
        <v>2</v>
      </c>
      <c r="BH138">
        <v>3</v>
      </c>
      <c r="BI138">
        <v>3</v>
      </c>
      <c r="BJ138">
        <v>9</v>
      </c>
      <c r="BK138">
        <v>7</v>
      </c>
      <c r="BL138">
        <v>8</v>
      </c>
      <c r="BM138">
        <v>0.6</v>
      </c>
      <c r="BN138">
        <v>1.5</v>
      </c>
      <c r="BO138">
        <v>1.4</v>
      </c>
      <c r="BP138">
        <v>1.3</v>
      </c>
      <c r="BQ138">
        <v>3</v>
      </c>
      <c r="BR138">
        <v>4</v>
      </c>
      <c r="BS138">
        <v>2</v>
      </c>
      <c r="BT138">
        <v>1</v>
      </c>
      <c r="BU138">
        <v>1</v>
      </c>
      <c r="BV138">
        <v>2</v>
      </c>
      <c r="BW138">
        <v>0</v>
      </c>
      <c r="BX138">
        <v>1</v>
      </c>
      <c r="BY138">
        <v>7</v>
      </c>
      <c r="BZ138">
        <v>1.4</v>
      </c>
      <c r="CA138">
        <v>10</v>
      </c>
      <c r="CB138">
        <v>2</v>
      </c>
      <c r="CC138">
        <v>6</v>
      </c>
      <c r="CD138">
        <v>4</v>
      </c>
      <c r="CE138">
        <v>1</v>
      </c>
      <c r="CF138">
        <v>1</v>
      </c>
      <c r="CG138">
        <v>1</v>
      </c>
      <c r="CH138">
        <v>0</v>
      </c>
      <c r="CI138">
        <v>4</v>
      </c>
      <c r="CJ138">
        <v>3</v>
      </c>
      <c r="CK138">
        <v>7</v>
      </c>
      <c r="CL138">
        <v>3</v>
      </c>
      <c r="CM138">
        <v>13</v>
      </c>
      <c r="CN138">
        <v>5</v>
      </c>
      <c r="CO138">
        <v>1.2</v>
      </c>
      <c r="CP138">
        <v>0.8</v>
      </c>
      <c r="CQ138">
        <v>2.2000000000000002</v>
      </c>
      <c r="CR138">
        <v>1.3</v>
      </c>
      <c r="CS138">
        <v>4</v>
      </c>
      <c r="CT138">
        <v>3</v>
      </c>
      <c r="CU138">
        <v>1</v>
      </c>
      <c r="CV138">
        <v>0</v>
      </c>
      <c r="CW138">
        <v>2</v>
      </c>
      <c r="CX138">
        <v>1</v>
      </c>
      <c r="CY138">
        <v>1</v>
      </c>
      <c r="CZ138">
        <v>2</v>
      </c>
    </row>
    <row r="139" spans="1:104" x14ac:dyDescent="0.25">
      <c r="A139" s="1" t="s">
        <v>1033</v>
      </c>
      <c r="B139">
        <v>3761</v>
      </c>
      <c r="C139">
        <v>3760</v>
      </c>
      <c r="D139" s="2">
        <v>43694</v>
      </c>
      <c r="E139" s="3">
        <f t="shared" si="6"/>
        <v>2019</v>
      </c>
      <c r="F139" s="3">
        <f t="shared" si="7"/>
        <v>8</v>
      </c>
      <c r="G139" s="3">
        <f t="shared" si="8"/>
        <v>7</v>
      </c>
      <c r="H139" t="s">
        <v>1034</v>
      </c>
      <c r="I139">
        <v>481</v>
      </c>
      <c r="J139" t="s">
        <v>506</v>
      </c>
      <c r="K139" t="s">
        <v>507</v>
      </c>
      <c r="L139">
        <v>2019</v>
      </c>
      <c r="M139" t="s">
        <v>354</v>
      </c>
      <c r="N139" t="s">
        <v>1035</v>
      </c>
      <c r="O139" t="s">
        <v>1036</v>
      </c>
      <c r="P139">
        <v>1000</v>
      </c>
      <c r="Q139" t="s">
        <v>507</v>
      </c>
      <c r="S139" t="s">
        <v>1037</v>
      </c>
      <c r="T139" t="s">
        <v>1038</v>
      </c>
      <c r="U139">
        <v>1000</v>
      </c>
      <c r="V139" t="s">
        <v>507</v>
      </c>
      <c r="W139">
        <v>1949</v>
      </c>
      <c r="X139" t="s">
        <v>125</v>
      </c>
      <c r="Y139">
        <v>1.5</v>
      </c>
      <c r="Z139">
        <v>-3.5</v>
      </c>
      <c r="AA139">
        <v>-3.5</v>
      </c>
      <c r="AB139">
        <v>10</v>
      </c>
      <c r="AC139">
        <v>45</v>
      </c>
      <c r="AD139">
        <v>45</v>
      </c>
      <c r="AE139">
        <v>45</v>
      </c>
      <c r="AF139">
        <v>55</v>
      </c>
      <c r="AG139">
        <v>59</v>
      </c>
      <c r="AH139">
        <v>41</v>
      </c>
      <c r="AI139">
        <v>29</v>
      </c>
      <c r="AJ139">
        <v>71</v>
      </c>
      <c r="AK139">
        <v>44</v>
      </c>
      <c r="AL139">
        <v>56</v>
      </c>
      <c r="AM139">
        <v>13</v>
      </c>
      <c r="AN139">
        <v>88</v>
      </c>
      <c r="AO139">
        <v>30</v>
      </c>
      <c r="AP139">
        <v>70</v>
      </c>
      <c r="AQ139">
        <v>60</v>
      </c>
      <c r="AR139">
        <v>100</v>
      </c>
      <c r="AS139">
        <v>20</v>
      </c>
      <c r="AT139">
        <v>73</v>
      </c>
      <c r="AU139">
        <v>87</v>
      </c>
      <c r="AV139">
        <v>67</v>
      </c>
      <c r="AW139">
        <v>19</v>
      </c>
      <c r="AX139">
        <v>3.8</v>
      </c>
      <c r="AY139">
        <v>12</v>
      </c>
      <c r="AZ139">
        <v>2.4</v>
      </c>
      <c r="BA139">
        <v>10</v>
      </c>
      <c r="BB139">
        <v>10</v>
      </c>
      <c r="BC139">
        <v>4</v>
      </c>
      <c r="BD139">
        <v>5</v>
      </c>
      <c r="BE139">
        <v>2</v>
      </c>
      <c r="BF139">
        <v>2</v>
      </c>
      <c r="BG139">
        <v>4</v>
      </c>
      <c r="BH139">
        <v>3</v>
      </c>
      <c r="BI139">
        <v>27</v>
      </c>
      <c r="BJ139">
        <v>27</v>
      </c>
      <c r="BK139">
        <v>29</v>
      </c>
      <c r="BL139">
        <v>18</v>
      </c>
      <c r="BM139">
        <v>2.7</v>
      </c>
      <c r="BN139">
        <v>2.7</v>
      </c>
      <c r="BO139">
        <v>2.9</v>
      </c>
      <c r="BP139">
        <v>1.8</v>
      </c>
      <c r="BQ139">
        <v>3</v>
      </c>
      <c r="BR139">
        <v>2</v>
      </c>
      <c r="BS139">
        <v>1</v>
      </c>
      <c r="BT139">
        <v>0</v>
      </c>
      <c r="BU139">
        <v>0</v>
      </c>
      <c r="BV139">
        <v>1</v>
      </c>
      <c r="BW139">
        <v>2</v>
      </c>
      <c r="BX139">
        <v>1</v>
      </c>
      <c r="BY139">
        <v>13</v>
      </c>
      <c r="BZ139">
        <v>2.6</v>
      </c>
      <c r="CA139">
        <v>5</v>
      </c>
      <c r="CB139">
        <v>1</v>
      </c>
      <c r="CC139">
        <v>10</v>
      </c>
      <c r="CD139">
        <v>8</v>
      </c>
      <c r="CE139">
        <v>6</v>
      </c>
      <c r="CF139">
        <v>4</v>
      </c>
      <c r="CG139">
        <v>2</v>
      </c>
      <c r="CH139">
        <v>1</v>
      </c>
      <c r="CI139">
        <v>2</v>
      </c>
      <c r="CJ139">
        <v>3</v>
      </c>
      <c r="CK139">
        <v>28</v>
      </c>
      <c r="CL139">
        <v>13</v>
      </c>
      <c r="CM139">
        <v>13</v>
      </c>
      <c r="CN139">
        <v>11</v>
      </c>
      <c r="CO139">
        <v>2.8</v>
      </c>
      <c r="CP139">
        <v>1.6</v>
      </c>
      <c r="CQ139">
        <v>1.3</v>
      </c>
      <c r="CR139">
        <v>1.4</v>
      </c>
      <c r="CS139">
        <v>2</v>
      </c>
      <c r="CT139">
        <v>3</v>
      </c>
      <c r="CU139">
        <v>1</v>
      </c>
      <c r="CV139">
        <v>2</v>
      </c>
      <c r="CW139">
        <v>1</v>
      </c>
      <c r="CX139">
        <v>0</v>
      </c>
      <c r="CY139">
        <v>0</v>
      </c>
      <c r="CZ139">
        <v>1</v>
      </c>
    </row>
    <row r="140" spans="1:104" x14ac:dyDescent="0.25">
      <c r="A140" s="1" t="s">
        <v>1039</v>
      </c>
      <c r="B140">
        <v>1157</v>
      </c>
      <c r="C140">
        <v>453</v>
      </c>
      <c r="D140" s="2">
        <v>43679</v>
      </c>
      <c r="E140" s="3">
        <f t="shared" si="6"/>
        <v>2019</v>
      </c>
      <c r="F140" s="3">
        <f t="shared" si="7"/>
        <v>8</v>
      </c>
      <c r="G140" s="3">
        <f t="shared" si="8"/>
        <v>6</v>
      </c>
      <c r="H140" t="s">
        <v>1040</v>
      </c>
      <c r="I140">
        <v>935</v>
      </c>
      <c r="J140" t="s">
        <v>1041</v>
      </c>
      <c r="K140" t="s">
        <v>129</v>
      </c>
      <c r="L140">
        <v>2019</v>
      </c>
      <c r="M140" t="s">
        <v>1042</v>
      </c>
      <c r="N140" t="s">
        <v>1043</v>
      </c>
      <c r="O140" t="s">
        <v>1044</v>
      </c>
      <c r="P140">
        <v>40958</v>
      </c>
      <c r="Q140" t="s">
        <v>649</v>
      </c>
      <c r="R140">
        <v>1963</v>
      </c>
      <c r="S140" t="s">
        <v>1045</v>
      </c>
      <c r="T140" t="s">
        <v>732</v>
      </c>
      <c r="U140">
        <v>52364</v>
      </c>
      <c r="V140" t="s">
        <v>345</v>
      </c>
      <c r="W140">
        <v>1905</v>
      </c>
      <c r="X140" t="s">
        <v>125</v>
      </c>
      <c r="Z140">
        <v>-4.5</v>
      </c>
      <c r="AA140">
        <v>-2.5</v>
      </c>
      <c r="AB140">
        <v>10</v>
      </c>
      <c r="AC140">
        <v>45</v>
      </c>
      <c r="AD140">
        <v>45</v>
      </c>
      <c r="AE140">
        <v>37</v>
      </c>
      <c r="AF140">
        <v>63</v>
      </c>
      <c r="AG140">
        <v>39</v>
      </c>
      <c r="AH140">
        <v>61</v>
      </c>
      <c r="AI140">
        <v>71</v>
      </c>
      <c r="AJ140">
        <v>29</v>
      </c>
      <c r="AK140">
        <v>78</v>
      </c>
      <c r="AL140">
        <v>22</v>
      </c>
      <c r="AM140">
        <v>0</v>
      </c>
      <c r="AN140">
        <v>100</v>
      </c>
      <c r="AO140">
        <v>0</v>
      </c>
      <c r="AP140">
        <v>100</v>
      </c>
      <c r="AQ140">
        <v>47</v>
      </c>
      <c r="AR140">
        <v>50</v>
      </c>
      <c r="AS140">
        <v>86</v>
      </c>
      <c r="AT140">
        <v>80</v>
      </c>
      <c r="AU140">
        <v>79</v>
      </c>
      <c r="AV140">
        <v>64</v>
      </c>
      <c r="AW140">
        <v>7</v>
      </c>
      <c r="AX140">
        <v>1.4</v>
      </c>
      <c r="AY140">
        <v>2</v>
      </c>
      <c r="AZ140">
        <v>0.4</v>
      </c>
      <c r="BA140">
        <v>2</v>
      </c>
      <c r="BB140">
        <v>3</v>
      </c>
      <c r="BC140">
        <v>1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6</v>
      </c>
      <c r="BJ140">
        <v>1</v>
      </c>
      <c r="BK140">
        <v>1</v>
      </c>
      <c r="BL140">
        <v>1</v>
      </c>
      <c r="BM140">
        <v>3</v>
      </c>
      <c r="BN140">
        <v>0.3</v>
      </c>
      <c r="BO140">
        <v>0.5</v>
      </c>
      <c r="BP140">
        <v>0.3</v>
      </c>
      <c r="BQ140">
        <v>1</v>
      </c>
      <c r="BR140">
        <v>1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11</v>
      </c>
      <c r="BZ140">
        <v>2.2000000000000002</v>
      </c>
      <c r="CA140">
        <v>5</v>
      </c>
      <c r="CB140">
        <v>1</v>
      </c>
      <c r="CC140">
        <v>3</v>
      </c>
      <c r="CD140">
        <v>2</v>
      </c>
      <c r="CE140">
        <v>3</v>
      </c>
      <c r="CF140">
        <v>1</v>
      </c>
      <c r="CG140">
        <v>0</v>
      </c>
      <c r="CH140">
        <v>0</v>
      </c>
      <c r="CI140">
        <v>0</v>
      </c>
      <c r="CJ140">
        <v>1</v>
      </c>
      <c r="CK140">
        <v>7</v>
      </c>
      <c r="CL140">
        <v>4</v>
      </c>
      <c r="CM140">
        <v>1</v>
      </c>
      <c r="CN140">
        <v>4</v>
      </c>
      <c r="CO140">
        <v>2.2999999999999998</v>
      </c>
      <c r="CP140">
        <v>2</v>
      </c>
      <c r="CQ140">
        <v>0.3</v>
      </c>
      <c r="CR140">
        <v>2</v>
      </c>
      <c r="CS140">
        <v>1</v>
      </c>
      <c r="CT140">
        <v>1</v>
      </c>
      <c r="CU140">
        <v>1</v>
      </c>
      <c r="CV140">
        <v>0</v>
      </c>
      <c r="CW140">
        <v>0</v>
      </c>
      <c r="CX140">
        <v>0</v>
      </c>
      <c r="CY140">
        <v>0</v>
      </c>
      <c r="CZ140">
        <v>1</v>
      </c>
    </row>
    <row r="141" spans="1:104" x14ac:dyDescent="0.25">
      <c r="A141" s="1" t="s">
        <v>1046</v>
      </c>
      <c r="B141">
        <v>1830</v>
      </c>
      <c r="C141">
        <v>1840</v>
      </c>
      <c r="D141" s="2">
        <v>43703</v>
      </c>
      <c r="E141" s="3">
        <f t="shared" si="6"/>
        <v>2019</v>
      </c>
      <c r="F141" s="3">
        <f t="shared" si="7"/>
        <v>8</v>
      </c>
      <c r="G141" s="3">
        <f t="shared" si="8"/>
        <v>2</v>
      </c>
      <c r="H141" t="s">
        <v>1047</v>
      </c>
      <c r="I141">
        <v>764</v>
      </c>
      <c r="J141" t="s">
        <v>1048</v>
      </c>
      <c r="K141" t="s">
        <v>241</v>
      </c>
      <c r="L141">
        <v>2019</v>
      </c>
      <c r="M141" t="s">
        <v>168</v>
      </c>
      <c r="N141" t="s">
        <v>1047</v>
      </c>
      <c r="O141" t="s">
        <v>1049</v>
      </c>
      <c r="P141">
        <v>4502</v>
      </c>
      <c r="Q141" t="s">
        <v>241</v>
      </c>
      <c r="R141">
        <v>1948</v>
      </c>
      <c r="S141" t="s">
        <v>1050</v>
      </c>
      <c r="T141" t="s">
        <v>1051</v>
      </c>
      <c r="U141">
        <v>5011</v>
      </c>
      <c r="V141" t="s">
        <v>241</v>
      </c>
      <c r="W141">
        <v>1946</v>
      </c>
      <c r="X141" t="s">
        <v>109</v>
      </c>
      <c r="Z141">
        <v>-2.5</v>
      </c>
      <c r="AA141">
        <v>-1.5</v>
      </c>
      <c r="AB141">
        <v>45</v>
      </c>
      <c r="AC141">
        <v>45</v>
      </c>
      <c r="AD141">
        <v>10</v>
      </c>
      <c r="AE141">
        <v>83</v>
      </c>
      <c r="AF141">
        <v>17</v>
      </c>
      <c r="AG141">
        <v>58</v>
      </c>
      <c r="AH141">
        <v>42</v>
      </c>
      <c r="AI141">
        <v>65</v>
      </c>
      <c r="AJ141">
        <v>35</v>
      </c>
      <c r="AK141">
        <v>71</v>
      </c>
      <c r="AL141">
        <v>29</v>
      </c>
      <c r="AM141">
        <v>36</v>
      </c>
      <c r="AN141">
        <v>64</v>
      </c>
      <c r="AO141">
        <v>56</v>
      </c>
      <c r="AP141">
        <v>44</v>
      </c>
      <c r="AQ141">
        <v>33</v>
      </c>
      <c r="AR141">
        <v>78</v>
      </c>
      <c r="AS141">
        <v>33</v>
      </c>
      <c r="AT141">
        <v>7</v>
      </c>
      <c r="AU141">
        <v>56</v>
      </c>
      <c r="AV141">
        <v>0</v>
      </c>
      <c r="AW141">
        <v>7</v>
      </c>
      <c r="AX141">
        <v>1.4</v>
      </c>
      <c r="AY141">
        <v>6</v>
      </c>
      <c r="AZ141">
        <v>1.2</v>
      </c>
      <c r="BA141">
        <v>3</v>
      </c>
      <c r="BB141">
        <v>3</v>
      </c>
      <c r="BC141">
        <v>0</v>
      </c>
      <c r="BD141">
        <v>1</v>
      </c>
      <c r="BE141">
        <v>2</v>
      </c>
      <c r="BF141">
        <v>0</v>
      </c>
      <c r="BG141">
        <v>1</v>
      </c>
      <c r="BH141">
        <v>2</v>
      </c>
      <c r="BI141">
        <v>4</v>
      </c>
      <c r="BJ141">
        <v>4</v>
      </c>
      <c r="BK141">
        <v>5</v>
      </c>
      <c r="BL141">
        <v>3</v>
      </c>
      <c r="BM141">
        <v>1.3</v>
      </c>
      <c r="BN141">
        <v>1.3</v>
      </c>
      <c r="BO141">
        <v>1.7</v>
      </c>
      <c r="BP141">
        <v>1</v>
      </c>
      <c r="BQ141">
        <v>3</v>
      </c>
      <c r="BR141">
        <v>2</v>
      </c>
      <c r="BS141">
        <v>0</v>
      </c>
      <c r="BT141">
        <v>1</v>
      </c>
      <c r="BU141">
        <v>1</v>
      </c>
      <c r="BV141">
        <v>0</v>
      </c>
      <c r="BW141">
        <v>2</v>
      </c>
      <c r="BX141">
        <v>1</v>
      </c>
      <c r="BY141">
        <v>5</v>
      </c>
      <c r="BZ141">
        <v>1</v>
      </c>
      <c r="CA141">
        <v>11</v>
      </c>
      <c r="CB141">
        <v>2.2000000000000002</v>
      </c>
      <c r="CC141">
        <v>3</v>
      </c>
      <c r="CD141">
        <v>3</v>
      </c>
      <c r="CE141">
        <v>0</v>
      </c>
      <c r="CF141">
        <v>0</v>
      </c>
      <c r="CG141">
        <v>1</v>
      </c>
      <c r="CH141">
        <v>0</v>
      </c>
      <c r="CI141">
        <v>2</v>
      </c>
      <c r="CJ141">
        <v>3</v>
      </c>
      <c r="CK141">
        <v>4</v>
      </c>
      <c r="CL141">
        <v>2</v>
      </c>
      <c r="CM141">
        <v>9</v>
      </c>
      <c r="CN141">
        <v>6</v>
      </c>
      <c r="CO141">
        <v>1.3</v>
      </c>
      <c r="CP141">
        <v>0.7</v>
      </c>
      <c r="CQ141">
        <v>3</v>
      </c>
      <c r="CR141">
        <v>2</v>
      </c>
      <c r="CS141">
        <v>2</v>
      </c>
      <c r="CT141">
        <v>3</v>
      </c>
      <c r="CU141">
        <v>1</v>
      </c>
      <c r="CV141">
        <v>2</v>
      </c>
      <c r="CW141">
        <v>0</v>
      </c>
      <c r="CX141">
        <v>1</v>
      </c>
      <c r="CY141">
        <v>1</v>
      </c>
      <c r="CZ141">
        <v>0</v>
      </c>
    </row>
    <row r="142" spans="1:104" x14ac:dyDescent="0.25">
      <c r="A142" s="1" t="s">
        <v>1052</v>
      </c>
      <c r="B142">
        <v>918</v>
      </c>
      <c r="C142">
        <v>909</v>
      </c>
      <c r="D142" s="2">
        <v>43696</v>
      </c>
      <c r="E142" s="3">
        <f t="shared" si="6"/>
        <v>2019</v>
      </c>
      <c r="F142" s="3">
        <f t="shared" si="7"/>
        <v>8</v>
      </c>
      <c r="G142" s="3">
        <f t="shared" si="8"/>
        <v>2</v>
      </c>
      <c r="H142" t="s">
        <v>1053</v>
      </c>
      <c r="I142">
        <v>893</v>
      </c>
      <c r="J142" t="s">
        <v>1054</v>
      </c>
      <c r="K142" t="s">
        <v>1055</v>
      </c>
      <c r="L142">
        <v>2019</v>
      </c>
      <c r="M142" t="s">
        <v>405</v>
      </c>
      <c r="N142" t="s">
        <v>1056</v>
      </c>
      <c r="O142" t="s">
        <v>1057</v>
      </c>
      <c r="P142">
        <v>25000</v>
      </c>
      <c r="Q142" t="s">
        <v>1055</v>
      </c>
      <c r="R142">
        <v>1946</v>
      </c>
      <c r="S142" t="s">
        <v>1058</v>
      </c>
      <c r="T142" t="s">
        <v>1059</v>
      </c>
      <c r="U142">
        <v>15000</v>
      </c>
      <c r="V142" t="s">
        <v>1055</v>
      </c>
      <c r="W142">
        <v>1934</v>
      </c>
      <c r="X142" t="s">
        <v>125</v>
      </c>
      <c r="Y142">
        <v>-2.5</v>
      </c>
      <c r="AA142">
        <v>-1.5</v>
      </c>
      <c r="AB142">
        <v>10</v>
      </c>
      <c r="AC142">
        <v>45</v>
      </c>
      <c r="AD142">
        <v>45</v>
      </c>
      <c r="AE142">
        <v>25</v>
      </c>
      <c r="AF142">
        <v>75</v>
      </c>
      <c r="AG142">
        <v>0</v>
      </c>
      <c r="AH142">
        <v>100</v>
      </c>
      <c r="AI142">
        <v>0</v>
      </c>
      <c r="AJ142">
        <v>0</v>
      </c>
      <c r="AK142">
        <v>0</v>
      </c>
      <c r="AL142">
        <v>0</v>
      </c>
      <c r="AM142">
        <v>50</v>
      </c>
      <c r="AN142">
        <v>50</v>
      </c>
      <c r="AO142">
        <v>50</v>
      </c>
      <c r="AP142">
        <v>50</v>
      </c>
      <c r="AQ142">
        <v>33</v>
      </c>
      <c r="AR142">
        <v>0</v>
      </c>
      <c r="AS142">
        <v>100</v>
      </c>
      <c r="AT142">
        <v>100</v>
      </c>
      <c r="AU142">
        <v>8</v>
      </c>
      <c r="AV142">
        <v>100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2</v>
      </c>
      <c r="BR142">
        <v>2</v>
      </c>
      <c r="BS142">
        <v>1</v>
      </c>
      <c r="BT142">
        <v>0</v>
      </c>
      <c r="BU142">
        <v>1</v>
      </c>
      <c r="BV142">
        <v>2</v>
      </c>
      <c r="BW142">
        <v>0</v>
      </c>
      <c r="BX142">
        <v>0</v>
      </c>
      <c r="BY142">
        <v>1</v>
      </c>
      <c r="BZ142">
        <v>1</v>
      </c>
      <c r="CA142">
        <v>0</v>
      </c>
      <c r="CB142">
        <v>0</v>
      </c>
      <c r="CC142">
        <v>1</v>
      </c>
      <c r="CD142">
        <v>0</v>
      </c>
      <c r="CE142">
        <v>1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2</v>
      </c>
      <c r="CT142">
        <v>2</v>
      </c>
      <c r="CU142">
        <v>0</v>
      </c>
      <c r="CV142">
        <v>0</v>
      </c>
      <c r="CW142">
        <v>2</v>
      </c>
      <c r="CX142">
        <v>1</v>
      </c>
      <c r="CY142">
        <v>0</v>
      </c>
      <c r="CZ142">
        <v>1</v>
      </c>
    </row>
    <row r="143" spans="1:104" x14ac:dyDescent="0.25">
      <c r="A143" s="1" t="s">
        <v>1060</v>
      </c>
      <c r="B143">
        <v>276</v>
      </c>
      <c r="C143">
        <v>274</v>
      </c>
      <c r="D143" s="2">
        <v>44031</v>
      </c>
      <c r="E143" s="3">
        <f t="shared" si="6"/>
        <v>2020</v>
      </c>
      <c r="F143" s="3">
        <f t="shared" si="7"/>
        <v>7</v>
      </c>
      <c r="G143" s="3">
        <f t="shared" si="8"/>
        <v>1</v>
      </c>
      <c r="H143" t="s">
        <v>1061</v>
      </c>
      <c r="I143">
        <v>1331</v>
      </c>
      <c r="J143" t="s">
        <v>1062</v>
      </c>
      <c r="K143" t="s">
        <v>224</v>
      </c>
      <c r="L143">
        <v>2020</v>
      </c>
      <c r="M143" t="s">
        <v>598</v>
      </c>
      <c r="N143" t="s">
        <v>1061</v>
      </c>
      <c r="O143" t="s">
        <v>1063</v>
      </c>
      <c r="P143">
        <v>5501</v>
      </c>
      <c r="Q143" t="s">
        <v>224</v>
      </c>
      <c r="R143">
        <v>1950</v>
      </c>
      <c r="S143" t="s">
        <v>1064</v>
      </c>
      <c r="T143" t="s">
        <v>226</v>
      </c>
      <c r="U143">
        <v>2489</v>
      </c>
      <c r="V143" t="s">
        <v>224</v>
      </c>
      <c r="W143">
        <v>1911</v>
      </c>
      <c r="X143" t="s">
        <v>125</v>
      </c>
      <c r="Z143">
        <v>-2.5</v>
      </c>
      <c r="AA143">
        <v>-3.5</v>
      </c>
      <c r="AB143">
        <v>10</v>
      </c>
      <c r="AC143">
        <v>45</v>
      </c>
      <c r="AD143">
        <v>45</v>
      </c>
      <c r="AE143">
        <v>44</v>
      </c>
      <c r="AF143">
        <v>56</v>
      </c>
      <c r="AG143">
        <v>43</v>
      </c>
      <c r="AH143">
        <v>57</v>
      </c>
      <c r="AI143">
        <v>36</v>
      </c>
      <c r="AJ143">
        <v>64</v>
      </c>
      <c r="AK143">
        <v>0</v>
      </c>
      <c r="AL143">
        <v>0</v>
      </c>
      <c r="AM143">
        <v>29</v>
      </c>
      <c r="AN143">
        <v>71</v>
      </c>
      <c r="AO143">
        <v>40</v>
      </c>
      <c r="AP143">
        <v>60</v>
      </c>
      <c r="AQ143">
        <v>53</v>
      </c>
      <c r="AR143">
        <v>50</v>
      </c>
      <c r="AS143">
        <v>55</v>
      </c>
      <c r="AT143">
        <v>67</v>
      </c>
      <c r="AU143">
        <v>65</v>
      </c>
      <c r="AV143">
        <v>75</v>
      </c>
      <c r="AW143">
        <v>10</v>
      </c>
      <c r="AX143">
        <v>2</v>
      </c>
      <c r="AY143">
        <v>9</v>
      </c>
      <c r="AZ143">
        <v>1.8</v>
      </c>
      <c r="BA143">
        <v>3</v>
      </c>
      <c r="BB143">
        <v>3</v>
      </c>
      <c r="BC143">
        <v>2</v>
      </c>
      <c r="BD143">
        <v>1</v>
      </c>
      <c r="BE143">
        <v>1</v>
      </c>
      <c r="BF143">
        <v>1</v>
      </c>
      <c r="BG143">
        <v>0</v>
      </c>
      <c r="BH143">
        <v>1</v>
      </c>
      <c r="BI143">
        <v>9</v>
      </c>
      <c r="BJ143">
        <v>4</v>
      </c>
      <c r="BK143">
        <v>4</v>
      </c>
      <c r="BL143">
        <v>5</v>
      </c>
      <c r="BM143">
        <v>3</v>
      </c>
      <c r="BN143">
        <v>1.3</v>
      </c>
      <c r="BO143">
        <v>1.3</v>
      </c>
      <c r="BP143">
        <v>1.7</v>
      </c>
      <c r="BQ143">
        <v>5</v>
      </c>
      <c r="BR143">
        <v>4</v>
      </c>
      <c r="BS143">
        <v>0</v>
      </c>
      <c r="BT143">
        <v>2</v>
      </c>
      <c r="BU143">
        <v>2</v>
      </c>
      <c r="BV143">
        <v>0</v>
      </c>
      <c r="BW143">
        <v>3</v>
      </c>
      <c r="BX143">
        <v>2</v>
      </c>
      <c r="BY143">
        <v>13</v>
      </c>
      <c r="BZ143">
        <v>2.6</v>
      </c>
      <c r="CA143">
        <v>5</v>
      </c>
      <c r="CB143">
        <v>1</v>
      </c>
      <c r="CC143">
        <v>3</v>
      </c>
      <c r="CD143">
        <v>3</v>
      </c>
      <c r="CE143">
        <v>0</v>
      </c>
      <c r="CF143">
        <v>3</v>
      </c>
      <c r="CG143">
        <v>1</v>
      </c>
      <c r="CH143">
        <v>0</v>
      </c>
      <c r="CI143">
        <v>2</v>
      </c>
      <c r="CJ143">
        <v>0</v>
      </c>
      <c r="CK143">
        <v>1</v>
      </c>
      <c r="CL143">
        <v>12</v>
      </c>
      <c r="CM143">
        <v>5</v>
      </c>
      <c r="CN143">
        <v>1</v>
      </c>
      <c r="CO143">
        <v>0.3</v>
      </c>
      <c r="CP143">
        <v>4</v>
      </c>
      <c r="CQ143">
        <v>1.7</v>
      </c>
      <c r="CR143">
        <v>0.3</v>
      </c>
      <c r="CS143">
        <v>4</v>
      </c>
      <c r="CT143">
        <v>5</v>
      </c>
      <c r="CU143">
        <v>2</v>
      </c>
      <c r="CV143">
        <v>3</v>
      </c>
      <c r="CW143">
        <v>0</v>
      </c>
      <c r="CX143">
        <v>2</v>
      </c>
      <c r="CY143">
        <v>2</v>
      </c>
      <c r="CZ143">
        <v>0</v>
      </c>
    </row>
    <row r="144" spans="1:104" x14ac:dyDescent="0.25">
      <c r="A144" s="1" t="s">
        <v>1065</v>
      </c>
      <c r="B144">
        <v>2639</v>
      </c>
      <c r="C144">
        <v>2653</v>
      </c>
      <c r="D144" s="2">
        <v>43994</v>
      </c>
      <c r="E144" s="3">
        <f t="shared" si="6"/>
        <v>2020</v>
      </c>
      <c r="F144" s="3">
        <f t="shared" si="7"/>
        <v>6</v>
      </c>
      <c r="G144" s="3">
        <f t="shared" si="8"/>
        <v>6</v>
      </c>
      <c r="H144" t="s">
        <v>1066</v>
      </c>
      <c r="I144">
        <v>532</v>
      </c>
      <c r="J144" t="s">
        <v>1067</v>
      </c>
      <c r="K144" t="s">
        <v>445</v>
      </c>
      <c r="L144">
        <v>2019</v>
      </c>
      <c r="M144" t="s">
        <v>787</v>
      </c>
      <c r="N144" t="s">
        <v>1066</v>
      </c>
      <c r="O144" t="s">
        <v>1068</v>
      </c>
      <c r="P144">
        <v>14458</v>
      </c>
      <c r="Q144" t="s">
        <v>445</v>
      </c>
      <c r="R144">
        <v>1951</v>
      </c>
      <c r="S144" t="s">
        <v>1069</v>
      </c>
      <c r="T144" t="s">
        <v>1070</v>
      </c>
      <c r="U144">
        <v>4000</v>
      </c>
      <c r="V144" t="s">
        <v>445</v>
      </c>
      <c r="W144">
        <v>1912</v>
      </c>
      <c r="X144" t="s">
        <v>109</v>
      </c>
      <c r="Z144">
        <v>-2.5</v>
      </c>
      <c r="AA144">
        <v>-2.5</v>
      </c>
      <c r="AB144">
        <v>35</v>
      </c>
      <c r="AC144">
        <v>35</v>
      </c>
      <c r="AD144">
        <v>30</v>
      </c>
      <c r="AE144">
        <v>75</v>
      </c>
      <c r="AF144">
        <v>25</v>
      </c>
      <c r="AG144">
        <v>57</v>
      </c>
      <c r="AH144">
        <v>43</v>
      </c>
      <c r="AI144">
        <v>75</v>
      </c>
      <c r="AJ144">
        <v>25</v>
      </c>
      <c r="AK144">
        <v>0</v>
      </c>
      <c r="AL144">
        <v>0</v>
      </c>
      <c r="AM144">
        <v>0</v>
      </c>
      <c r="AN144">
        <v>100</v>
      </c>
      <c r="AO144">
        <v>0</v>
      </c>
      <c r="AP144">
        <v>100</v>
      </c>
      <c r="AQ144">
        <v>40</v>
      </c>
      <c r="AR144">
        <v>38</v>
      </c>
      <c r="AS144">
        <v>76</v>
      </c>
      <c r="AT144">
        <v>13</v>
      </c>
      <c r="AU144">
        <v>29</v>
      </c>
      <c r="AV144">
        <v>29</v>
      </c>
      <c r="AW144">
        <v>8</v>
      </c>
      <c r="AX144">
        <v>1.6</v>
      </c>
      <c r="AY144">
        <v>5</v>
      </c>
      <c r="AZ144">
        <v>1</v>
      </c>
      <c r="BA144">
        <v>14</v>
      </c>
      <c r="BB144">
        <v>14</v>
      </c>
      <c r="BC144">
        <v>5</v>
      </c>
      <c r="BD144">
        <v>2</v>
      </c>
      <c r="BE144">
        <v>3</v>
      </c>
      <c r="BF144">
        <v>5</v>
      </c>
      <c r="BG144">
        <v>6</v>
      </c>
      <c r="BH144">
        <v>7</v>
      </c>
      <c r="BI144">
        <v>17</v>
      </c>
      <c r="BJ144">
        <v>10</v>
      </c>
      <c r="BK144">
        <v>17</v>
      </c>
      <c r="BL144">
        <v>21</v>
      </c>
      <c r="BM144">
        <v>1.2</v>
      </c>
      <c r="BN144">
        <v>0.7</v>
      </c>
      <c r="BO144">
        <v>1.2</v>
      </c>
      <c r="BP144">
        <v>1.5</v>
      </c>
      <c r="BQ144">
        <v>1</v>
      </c>
      <c r="BR144">
        <v>1</v>
      </c>
      <c r="BS144">
        <v>0</v>
      </c>
      <c r="BT144">
        <v>0</v>
      </c>
      <c r="BU144">
        <v>1</v>
      </c>
      <c r="BV144">
        <v>0</v>
      </c>
      <c r="BW144">
        <v>0</v>
      </c>
      <c r="BX144">
        <v>1</v>
      </c>
      <c r="BY144">
        <v>6</v>
      </c>
      <c r="BZ144">
        <v>1.2</v>
      </c>
      <c r="CA144">
        <v>15</v>
      </c>
      <c r="CB144">
        <v>3</v>
      </c>
      <c r="CC144">
        <v>14</v>
      </c>
      <c r="CD144">
        <v>14</v>
      </c>
      <c r="CE144">
        <v>4</v>
      </c>
      <c r="CF144">
        <v>1</v>
      </c>
      <c r="CG144">
        <v>5</v>
      </c>
      <c r="CH144">
        <v>4</v>
      </c>
      <c r="CI144">
        <v>5</v>
      </c>
      <c r="CJ144">
        <v>9</v>
      </c>
      <c r="CK144">
        <v>20</v>
      </c>
      <c r="CL144">
        <v>16</v>
      </c>
      <c r="CM144">
        <v>26</v>
      </c>
      <c r="CN144">
        <v>34</v>
      </c>
      <c r="CO144">
        <v>1.4</v>
      </c>
      <c r="CP144">
        <v>1.1000000000000001</v>
      </c>
      <c r="CQ144">
        <v>1.9</v>
      </c>
      <c r="CR144">
        <v>2.4</v>
      </c>
      <c r="CS144">
        <v>1</v>
      </c>
      <c r="CT144">
        <v>1</v>
      </c>
      <c r="CU144">
        <v>1</v>
      </c>
      <c r="CV144">
        <v>0</v>
      </c>
      <c r="CW144">
        <v>0</v>
      </c>
      <c r="CX144">
        <v>1</v>
      </c>
      <c r="CY144">
        <v>0</v>
      </c>
      <c r="CZ144">
        <v>0</v>
      </c>
    </row>
    <row r="145" spans="1:104" x14ac:dyDescent="0.25">
      <c r="A145" s="1" t="s">
        <v>1071</v>
      </c>
      <c r="B145">
        <v>1160</v>
      </c>
      <c r="C145">
        <v>1150</v>
      </c>
      <c r="D145" s="2">
        <v>43730</v>
      </c>
      <c r="E145" s="3">
        <f t="shared" si="6"/>
        <v>2019</v>
      </c>
      <c r="F145" s="3">
        <f t="shared" si="7"/>
        <v>9</v>
      </c>
      <c r="G145" s="3">
        <f t="shared" si="8"/>
        <v>1</v>
      </c>
      <c r="H145" t="s">
        <v>1072</v>
      </c>
      <c r="I145">
        <v>292</v>
      </c>
      <c r="J145" t="s">
        <v>648</v>
      </c>
      <c r="K145" t="s">
        <v>649</v>
      </c>
      <c r="L145">
        <v>2019</v>
      </c>
      <c r="M145" t="s">
        <v>297</v>
      </c>
      <c r="N145" t="s">
        <v>1073</v>
      </c>
      <c r="O145" t="s">
        <v>1074</v>
      </c>
      <c r="P145">
        <v>16456</v>
      </c>
      <c r="Q145" t="s">
        <v>649</v>
      </c>
      <c r="R145">
        <v>1998</v>
      </c>
      <c r="S145" t="s">
        <v>1043</v>
      </c>
      <c r="T145" t="s">
        <v>1044</v>
      </c>
      <c r="U145">
        <v>40958</v>
      </c>
      <c r="V145" t="s">
        <v>649</v>
      </c>
      <c r="W145">
        <v>1964</v>
      </c>
      <c r="X145" t="s">
        <v>125</v>
      </c>
      <c r="Z145">
        <v>-2.5</v>
      </c>
      <c r="AA145">
        <v>-2.5</v>
      </c>
      <c r="AB145">
        <v>10</v>
      </c>
      <c r="AC145">
        <v>45</v>
      </c>
      <c r="AD145">
        <v>45</v>
      </c>
      <c r="AE145">
        <v>25</v>
      </c>
      <c r="AF145">
        <v>75</v>
      </c>
      <c r="AG145">
        <v>60</v>
      </c>
      <c r="AH145">
        <v>40</v>
      </c>
      <c r="AI145">
        <v>29</v>
      </c>
      <c r="AJ145">
        <v>71</v>
      </c>
      <c r="AK145">
        <v>32</v>
      </c>
      <c r="AL145">
        <v>68</v>
      </c>
      <c r="AM145">
        <v>40</v>
      </c>
      <c r="AN145">
        <v>60</v>
      </c>
      <c r="AO145">
        <v>47</v>
      </c>
      <c r="AP145">
        <v>53</v>
      </c>
      <c r="AQ145">
        <v>13</v>
      </c>
      <c r="AR145">
        <v>30</v>
      </c>
      <c r="AS145">
        <v>40</v>
      </c>
      <c r="AT145">
        <v>40</v>
      </c>
      <c r="AU145">
        <v>20</v>
      </c>
      <c r="AV145">
        <v>75</v>
      </c>
      <c r="AW145">
        <v>6</v>
      </c>
      <c r="AX145">
        <v>1.2</v>
      </c>
      <c r="AY145">
        <v>12</v>
      </c>
      <c r="AZ145">
        <v>2.4</v>
      </c>
      <c r="BA145">
        <v>13</v>
      </c>
      <c r="BB145">
        <v>12</v>
      </c>
      <c r="BC145">
        <v>1</v>
      </c>
      <c r="BD145">
        <v>1</v>
      </c>
      <c r="BE145">
        <v>4</v>
      </c>
      <c r="BF145">
        <v>1</v>
      </c>
      <c r="BG145">
        <v>8</v>
      </c>
      <c r="BH145">
        <v>10</v>
      </c>
      <c r="BI145">
        <v>15</v>
      </c>
      <c r="BJ145">
        <v>7</v>
      </c>
      <c r="BK145">
        <v>27</v>
      </c>
      <c r="BL145">
        <v>29</v>
      </c>
      <c r="BM145">
        <v>1.2</v>
      </c>
      <c r="BN145">
        <v>0.6</v>
      </c>
      <c r="BO145">
        <v>2.1</v>
      </c>
      <c r="BP145">
        <v>2.4</v>
      </c>
      <c r="BQ145">
        <v>3</v>
      </c>
      <c r="BR145">
        <v>3</v>
      </c>
      <c r="BS145">
        <v>2</v>
      </c>
      <c r="BT145">
        <v>0</v>
      </c>
      <c r="BU145">
        <v>0</v>
      </c>
      <c r="BV145">
        <v>0</v>
      </c>
      <c r="BW145">
        <v>1</v>
      </c>
      <c r="BX145">
        <v>3</v>
      </c>
      <c r="BY145">
        <v>4</v>
      </c>
      <c r="BZ145">
        <v>0.8</v>
      </c>
      <c r="CA145">
        <v>5</v>
      </c>
      <c r="CB145">
        <v>1</v>
      </c>
      <c r="CC145">
        <v>13</v>
      </c>
      <c r="CD145">
        <v>12</v>
      </c>
      <c r="CE145">
        <v>5</v>
      </c>
      <c r="CF145">
        <v>4</v>
      </c>
      <c r="CG145">
        <v>3</v>
      </c>
      <c r="CH145">
        <v>3</v>
      </c>
      <c r="CI145">
        <v>5</v>
      </c>
      <c r="CJ145">
        <v>5</v>
      </c>
      <c r="CK145">
        <v>16</v>
      </c>
      <c r="CL145">
        <v>15</v>
      </c>
      <c r="CM145">
        <v>14</v>
      </c>
      <c r="CN145">
        <v>17</v>
      </c>
      <c r="CO145">
        <v>1.2</v>
      </c>
      <c r="CP145">
        <v>1.3</v>
      </c>
      <c r="CQ145">
        <v>1.1000000000000001</v>
      </c>
      <c r="CR145">
        <v>1.4</v>
      </c>
      <c r="CS145">
        <v>3</v>
      </c>
      <c r="CT145">
        <v>3</v>
      </c>
      <c r="CU145">
        <v>3</v>
      </c>
      <c r="CV145">
        <v>1</v>
      </c>
      <c r="CW145">
        <v>0</v>
      </c>
      <c r="CX145">
        <v>0</v>
      </c>
      <c r="CY145">
        <v>0</v>
      </c>
      <c r="CZ145">
        <v>2</v>
      </c>
    </row>
    <row r="146" spans="1:104" x14ac:dyDescent="0.25">
      <c r="A146" s="1" t="s">
        <v>1075</v>
      </c>
      <c r="B146">
        <v>9684</v>
      </c>
      <c r="C146">
        <v>9696</v>
      </c>
      <c r="D146" s="2">
        <v>43799</v>
      </c>
      <c r="E146" s="3">
        <f t="shared" si="6"/>
        <v>2019</v>
      </c>
      <c r="F146" s="3">
        <f t="shared" si="7"/>
        <v>11</v>
      </c>
      <c r="G146" s="3">
        <f t="shared" si="8"/>
        <v>7</v>
      </c>
      <c r="H146" t="s">
        <v>1076</v>
      </c>
      <c r="I146">
        <v>1274</v>
      </c>
      <c r="J146" t="s">
        <v>1077</v>
      </c>
      <c r="K146" t="s">
        <v>380</v>
      </c>
      <c r="L146">
        <v>2019</v>
      </c>
      <c r="M146" t="s">
        <v>1078</v>
      </c>
      <c r="N146" t="s">
        <v>1076</v>
      </c>
      <c r="O146" t="s">
        <v>1079</v>
      </c>
      <c r="P146">
        <v>5000</v>
      </c>
      <c r="Q146" t="s">
        <v>380</v>
      </c>
      <c r="S146" t="s">
        <v>1080</v>
      </c>
      <c r="T146" t="s">
        <v>1081</v>
      </c>
      <c r="U146">
        <v>9000</v>
      </c>
      <c r="V146" t="s">
        <v>380</v>
      </c>
      <c r="W146">
        <v>1932</v>
      </c>
      <c r="X146" t="s">
        <v>109</v>
      </c>
      <c r="Y146">
        <v>-3.5</v>
      </c>
      <c r="Z146">
        <v>-1.5</v>
      </c>
      <c r="AA146">
        <v>-1.5</v>
      </c>
      <c r="AB146">
        <v>35</v>
      </c>
      <c r="AC146">
        <v>35</v>
      </c>
      <c r="AD146">
        <v>30</v>
      </c>
      <c r="AE146">
        <v>57</v>
      </c>
      <c r="AF146">
        <v>43</v>
      </c>
      <c r="AG146">
        <v>67</v>
      </c>
      <c r="AH146">
        <v>33</v>
      </c>
      <c r="AI146">
        <v>38</v>
      </c>
      <c r="AJ146">
        <v>63</v>
      </c>
      <c r="AK146">
        <v>54</v>
      </c>
      <c r="AL146">
        <v>46</v>
      </c>
      <c r="AM146">
        <v>0</v>
      </c>
      <c r="AN146">
        <v>0</v>
      </c>
      <c r="AO146">
        <v>0</v>
      </c>
      <c r="AP146">
        <v>0</v>
      </c>
      <c r="AQ146">
        <v>53</v>
      </c>
      <c r="AR146">
        <v>40</v>
      </c>
      <c r="AS146">
        <v>67</v>
      </c>
      <c r="AT146">
        <v>40</v>
      </c>
      <c r="AU146">
        <v>20</v>
      </c>
      <c r="AV146">
        <v>80</v>
      </c>
      <c r="AW146">
        <v>6</v>
      </c>
      <c r="AX146">
        <v>1.2</v>
      </c>
      <c r="AY146">
        <v>5</v>
      </c>
      <c r="AZ146">
        <v>1</v>
      </c>
      <c r="BA146">
        <v>7</v>
      </c>
      <c r="BB146">
        <v>7</v>
      </c>
      <c r="BC146">
        <v>4</v>
      </c>
      <c r="BD146">
        <v>1</v>
      </c>
      <c r="BE146">
        <v>2</v>
      </c>
      <c r="BF146">
        <v>3</v>
      </c>
      <c r="BG146">
        <v>1</v>
      </c>
      <c r="BH146">
        <v>3</v>
      </c>
      <c r="BI146">
        <v>10</v>
      </c>
      <c r="BJ146">
        <v>9</v>
      </c>
      <c r="BK146">
        <v>7</v>
      </c>
      <c r="BL146">
        <v>13</v>
      </c>
      <c r="BM146">
        <v>1.4</v>
      </c>
      <c r="BN146">
        <v>1.3</v>
      </c>
      <c r="BO146">
        <v>1</v>
      </c>
      <c r="BP146">
        <v>1.9</v>
      </c>
      <c r="BQ146">
        <v>1</v>
      </c>
      <c r="BR146">
        <v>0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3</v>
      </c>
      <c r="BZ146">
        <v>0.6</v>
      </c>
      <c r="CA146">
        <v>3</v>
      </c>
      <c r="CB146">
        <v>0.6</v>
      </c>
      <c r="CC146">
        <v>7</v>
      </c>
      <c r="CD146">
        <v>7</v>
      </c>
      <c r="CE146">
        <v>1</v>
      </c>
      <c r="CF146">
        <v>3</v>
      </c>
      <c r="CG146">
        <v>3</v>
      </c>
      <c r="CH146">
        <v>2</v>
      </c>
      <c r="CI146">
        <v>3</v>
      </c>
      <c r="CJ146">
        <v>2</v>
      </c>
      <c r="CK146">
        <v>6</v>
      </c>
      <c r="CL146">
        <v>5</v>
      </c>
      <c r="CM146">
        <v>8</v>
      </c>
      <c r="CN146">
        <v>5</v>
      </c>
      <c r="CO146">
        <v>0.9</v>
      </c>
      <c r="CP146">
        <v>0.7</v>
      </c>
      <c r="CQ146">
        <v>1.1000000000000001</v>
      </c>
      <c r="CR146">
        <v>0.7</v>
      </c>
      <c r="CS146">
        <v>0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</row>
    <row r="147" spans="1:104" x14ac:dyDescent="0.25">
      <c r="A147" s="1" t="s">
        <v>1082</v>
      </c>
      <c r="B147">
        <v>8265</v>
      </c>
      <c r="C147">
        <v>4955</v>
      </c>
      <c r="D147" s="2">
        <v>43708</v>
      </c>
      <c r="E147" s="3">
        <f t="shared" si="6"/>
        <v>2019</v>
      </c>
      <c r="F147" s="3">
        <f t="shared" si="7"/>
        <v>8</v>
      </c>
      <c r="G147" s="3">
        <f t="shared" si="8"/>
        <v>7</v>
      </c>
      <c r="H147" t="s">
        <v>1083</v>
      </c>
      <c r="I147">
        <v>1087</v>
      </c>
      <c r="J147" t="s">
        <v>565</v>
      </c>
      <c r="K147" t="s">
        <v>547</v>
      </c>
      <c r="L147">
        <v>2019</v>
      </c>
      <c r="M147" t="s">
        <v>1084</v>
      </c>
      <c r="N147" t="s">
        <v>1083</v>
      </c>
      <c r="O147" t="s">
        <v>1085</v>
      </c>
      <c r="P147">
        <v>1500</v>
      </c>
      <c r="Q147" t="s">
        <v>547</v>
      </c>
      <c r="S147" t="s">
        <v>568</v>
      </c>
      <c r="T147" t="s">
        <v>569</v>
      </c>
      <c r="U147">
        <v>4000</v>
      </c>
      <c r="V147" t="s">
        <v>547</v>
      </c>
      <c r="W147">
        <v>1919</v>
      </c>
      <c r="X147" t="s">
        <v>125</v>
      </c>
      <c r="Z147">
        <v>-2.5</v>
      </c>
      <c r="AA147">
        <v>-2.5</v>
      </c>
      <c r="AB147">
        <v>10</v>
      </c>
      <c r="AC147">
        <v>45</v>
      </c>
      <c r="AD147">
        <v>45</v>
      </c>
      <c r="AE147">
        <v>33</v>
      </c>
      <c r="AF147">
        <v>67</v>
      </c>
      <c r="AG147">
        <v>50</v>
      </c>
      <c r="AH147">
        <v>50</v>
      </c>
      <c r="AI147">
        <v>36</v>
      </c>
      <c r="AJ147">
        <v>64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17</v>
      </c>
      <c r="AR147">
        <v>25</v>
      </c>
      <c r="AS147">
        <v>65</v>
      </c>
      <c r="AT147">
        <v>33</v>
      </c>
      <c r="AU147">
        <v>25</v>
      </c>
      <c r="AV147">
        <v>80</v>
      </c>
      <c r="AW147">
        <v>5</v>
      </c>
      <c r="AX147">
        <v>1.3</v>
      </c>
      <c r="AY147">
        <v>7</v>
      </c>
      <c r="AZ147">
        <v>1.8</v>
      </c>
      <c r="BA147">
        <v>2</v>
      </c>
      <c r="BB147">
        <v>2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3</v>
      </c>
      <c r="BJ147">
        <v>2</v>
      </c>
      <c r="BK147">
        <v>4</v>
      </c>
      <c r="BL147">
        <v>3</v>
      </c>
      <c r="BM147">
        <v>1.5</v>
      </c>
      <c r="BN147">
        <v>1</v>
      </c>
      <c r="BO147">
        <v>2</v>
      </c>
      <c r="BP147">
        <v>1.5</v>
      </c>
      <c r="BQ147">
        <v>1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5</v>
      </c>
      <c r="BZ147">
        <v>1.3</v>
      </c>
      <c r="CA147">
        <v>4</v>
      </c>
      <c r="CB147">
        <v>1</v>
      </c>
      <c r="CC147">
        <v>2</v>
      </c>
      <c r="CD147">
        <v>2</v>
      </c>
      <c r="CE147">
        <v>1</v>
      </c>
      <c r="CF147">
        <v>0</v>
      </c>
      <c r="CG147">
        <v>0</v>
      </c>
      <c r="CH147">
        <v>1</v>
      </c>
      <c r="CI147">
        <v>1</v>
      </c>
      <c r="CJ147">
        <v>1</v>
      </c>
      <c r="CK147">
        <v>4</v>
      </c>
      <c r="CL147">
        <v>1</v>
      </c>
      <c r="CM147">
        <v>2</v>
      </c>
      <c r="CN147">
        <v>2</v>
      </c>
      <c r="CO147">
        <v>2</v>
      </c>
      <c r="CP147">
        <v>0.5</v>
      </c>
      <c r="CQ147">
        <v>1</v>
      </c>
      <c r="CR147">
        <v>1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</v>
      </c>
    </row>
    <row r="148" spans="1:104" x14ac:dyDescent="0.25">
      <c r="A148" s="1" t="s">
        <v>1086</v>
      </c>
      <c r="B148">
        <v>3739</v>
      </c>
      <c r="C148">
        <v>3745</v>
      </c>
      <c r="D148" s="2">
        <v>43751</v>
      </c>
      <c r="E148" s="3">
        <f t="shared" si="6"/>
        <v>2019</v>
      </c>
      <c r="F148" s="3">
        <f t="shared" si="7"/>
        <v>10</v>
      </c>
      <c r="G148" s="3">
        <f t="shared" si="8"/>
        <v>1</v>
      </c>
      <c r="H148" t="s">
        <v>1087</v>
      </c>
      <c r="I148">
        <v>895</v>
      </c>
      <c r="J148" t="s">
        <v>1088</v>
      </c>
      <c r="K148" t="s">
        <v>1089</v>
      </c>
      <c r="L148">
        <v>2019</v>
      </c>
      <c r="M148" t="s">
        <v>272</v>
      </c>
      <c r="N148" t="s">
        <v>1087</v>
      </c>
      <c r="O148" t="s">
        <v>1090</v>
      </c>
      <c r="P148">
        <v>5000</v>
      </c>
      <c r="Q148" t="s">
        <v>1089</v>
      </c>
      <c r="R148">
        <v>1913</v>
      </c>
      <c r="S148" t="s">
        <v>1091</v>
      </c>
      <c r="T148" t="s">
        <v>1092</v>
      </c>
      <c r="U148">
        <v>3000</v>
      </c>
      <c r="V148" t="s">
        <v>1089</v>
      </c>
      <c r="W148">
        <v>1926</v>
      </c>
      <c r="X148">
        <v>2</v>
      </c>
      <c r="Z148">
        <v>-1.5</v>
      </c>
      <c r="AA148">
        <v>-3.5</v>
      </c>
      <c r="AB148">
        <v>10</v>
      </c>
      <c r="AC148">
        <v>45</v>
      </c>
      <c r="AD148">
        <v>45</v>
      </c>
      <c r="AE148">
        <v>39</v>
      </c>
      <c r="AF148">
        <v>61</v>
      </c>
      <c r="AG148">
        <v>40</v>
      </c>
      <c r="AH148">
        <v>60</v>
      </c>
      <c r="AI148">
        <v>60</v>
      </c>
      <c r="AJ148">
        <v>40</v>
      </c>
      <c r="AK148">
        <v>15</v>
      </c>
      <c r="AL148">
        <v>85</v>
      </c>
      <c r="AM148">
        <v>0</v>
      </c>
      <c r="AN148">
        <v>100</v>
      </c>
      <c r="AO148">
        <v>33</v>
      </c>
      <c r="AP148">
        <v>67</v>
      </c>
      <c r="AQ148">
        <v>47</v>
      </c>
      <c r="AR148">
        <v>67</v>
      </c>
      <c r="AS148">
        <v>56</v>
      </c>
      <c r="AT148">
        <v>73</v>
      </c>
      <c r="AU148">
        <v>100</v>
      </c>
      <c r="AV148">
        <v>33</v>
      </c>
      <c r="AW148">
        <v>6</v>
      </c>
      <c r="AX148">
        <v>1.2</v>
      </c>
      <c r="AY148">
        <v>4</v>
      </c>
      <c r="AZ148">
        <v>0.8</v>
      </c>
      <c r="BA148">
        <v>5</v>
      </c>
      <c r="BB148">
        <v>6</v>
      </c>
      <c r="BC148">
        <v>0</v>
      </c>
      <c r="BD148">
        <v>2</v>
      </c>
      <c r="BE148">
        <v>1</v>
      </c>
      <c r="BF148">
        <v>1</v>
      </c>
      <c r="BG148">
        <v>4</v>
      </c>
      <c r="BH148">
        <v>3</v>
      </c>
      <c r="BI148">
        <v>3</v>
      </c>
      <c r="BJ148">
        <v>8</v>
      </c>
      <c r="BK148">
        <v>10</v>
      </c>
      <c r="BL148">
        <v>7</v>
      </c>
      <c r="BM148">
        <v>0.6</v>
      </c>
      <c r="BN148">
        <v>1.3</v>
      </c>
      <c r="BO148">
        <v>2</v>
      </c>
      <c r="BP148">
        <v>1.2</v>
      </c>
      <c r="BQ148">
        <v>2</v>
      </c>
      <c r="BR148">
        <v>2</v>
      </c>
      <c r="BS148">
        <v>0</v>
      </c>
      <c r="BT148">
        <v>1</v>
      </c>
      <c r="BU148">
        <v>2</v>
      </c>
      <c r="BV148">
        <v>0</v>
      </c>
      <c r="BW148">
        <v>0</v>
      </c>
      <c r="BX148">
        <v>1</v>
      </c>
      <c r="BY148">
        <v>9</v>
      </c>
      <c r="BZ148">
        <v>1.8</v>
      </c>
      <c r="CA148">
        <v>6</v>
      </c>
      <c r="CB148">
        <v>1.2</v>
      </c>
      <c r="CC148">
        <v>6</v>
      </c>
      <c r="CD148">
        <v>5</v>
      </c>
      <c r="CE148">
        <v>6</v>
      </c>
      <c r="CF148">
        <v>2</v>
      </c>
      <c r="CG148">
        <v>0</v>
      </c>
      <c r="CH148">
        <v>3</v>
      </c>
      <c r="CI148">
        <v>0</v>
      </c>
      <c r="CJ148">
        <v>0</v>
      </c>
      <c r="CK148">
        <v>15</v>
      </c>
      <c r="CL148">
        <v>8</v>
      </c>
      <c r="CM148">
        <v>4</v>
      </c>
      <c r="CN148">
        <v>6</v>
      </c>
      <c r="CO148">
        <v>2.5</v>
      </c>
      <c r="CP148">
        <v>1.6</v>
      </c>
      <c r="CQ148">
        <v>0.7</v>
      </c>
      <c r="CR148">
        <v>1.2</v>
      </c>
      <c r="CS148">
        <v>2</v>
      </c>
      <c r="CT148">
        <v>2</v>
      </c>
      <c r="CU148">
        <v>1</v>
      </c>
      <c r="CV148">
        <v>0</v>
      </c>
      <c r="CW148">
        <v>0</v>
      </c>
      <c r="CX148">
        <v>2</v>
      </c>
      <c r="CY148">
        <v>1</v>
      </c>
      <c r="CZ148">
        <v>0</v>
      </c>
    </row>
    <row r="149" spans="1:104" x14ac:dyDescent="0.25">
      <c r="A149" s="1" t="s">
        <v>1093</v>
      </c>
      <c r="B149">
        <v>1407</v>
      </c>
      <c r="C149">
        <v>8540</v>
      </c>
      <c r="D149" s="2">
        <v>43750</v>
      </c>
      <c r="E149" s="3">
        <f t="shared" si="6"/>
        <v>2019</v>
      </c>
      <c r="F149" s="3">
        <f t="shared" si="7"/>
        <v>10</v>
      </c>
      <c r="G149" s="3">
        <f t="shared" si="8"/>
        <v>7</v>
      </c>
      <c r="H149" t="s">
        <v>1094</v>
      </c>
      <c r="I149">
        <v>1141</v>
      </c>
      <c r="J149" t="s">
        <v>1095</v>
      </c>
      <c r="K149" t="s">
        <v>172</v>
      </c>
      <c r="L149">
        <v>2019</v>
      </c>
      <c r="M149" t="s">
        <v>1096</v>
      </c>
      <c r="N149" t="s">
        <v>1094</v>
      </c>
      <c r="O149" t="s">
        <v>1097</v>
      </c>
      <c r="P149">
        <v>2000</v>
      </c>
      <c r="Q149" t="s">
        <v>172</v>
      </c>
      <c r="R149">
        <v>1951</v>
      </c>
      <c r="S149" t="s">
        <v>1098</v>
      </c>
      <c r="T149" t="s">
        <v>1099</v>
      </c>
      <c r="U149">
        <v>1000</v>
      </c>
      <c r="V149" t="s">
        <v>172</v>
      </c>
      <c r="X149" t="s">
        <v>109</v>
      </c>
      <c r="Y149">
        <v>-3.5</v>
      </c>
      <c r="Z149">
        <v>-2.5</v>
      </c>
      <c r="AA149">
        <v>-1.5</v>
      </c>
      <c r="AB149">
        <v>35</v>
      </c>
      <c r="AC149">
        <v>35</v>
      </c>
      <c r="AD149">
        <v>30</v>
      </c>
      <c r="AE149">
        <v>27</v>
      </c>
      <c r="AF149">
        <v>73</v>
      </c>
      <c r="AG149">
        <v>33</v>
      </c>
      <c r="AH149">
        <v>67</v>
      </c>
      <c r="AI149">
        <v>14</v>
      </c>
      <c r="AJ149">
        <v>86</v>
      </c>
      <c r="AK149">
        <v>77</v>
      </c>
      <c r="AL149">
        <v>23</v>
      </c>
      <c r="AM149">
        <v>100</v>
      </c>
      <c r="AN149">
        <v>0</v>
      </c>
      <c r="AO149">
        <v>83</v>
      </c>
      <c r="AP149">
        <v>17</v>
      </c>
      <c r="AQ149">
        <v>27</v>
      </c>
      <c r="AR149">
        <v>23</v>
      </c>
      <c r="AS149">
        <v>54</v>
      </c>
      <c r="AT149">
        <v>73</v>
      </c>
      <c r="AU149">
        <v>46</v>
      </c>
      <c r="AV149">
        <v>92</v>
      </c>
      <c r="AW149">
        <v>3</v>
      </c>
      <c r="AX149">
        <v>0.6</v>
      </c>
      <c r="AY149">
        <v>6</v>
      </c>
      <c r="AZ149">
        <v>1.2</v>
      </c>
      <c r="BA149">
        <v>4</v>
      </c>
      <c r="BB149">
        <v>5</v>
      </c>
      <c r="BC149">
        <v>2</v>
      </c>
      <c r="BD149">
        <v>0</v>
      </c>
      <c r="BE149">
        <v>0</v>
      </c>
      <c r="BF149">
        <v>2</v>
      </c>
      <c r="BG149">
        <v>2</v>
      </c>
      <c r="BH149">
        <v>3</v>
      </c>
      <c r="BI149">
        <v>6</v>
      </c>
      <c r="BJ149">
        <v>3</v>
      </c>
      <c r="BK149">
        <v>3</v>
      </c>
      <c r="BL149">
        <v>7</v>
      </c>
      <c r="BM149">
        <v>1.5</v>
      </c>
      <c r="BN149">
        <v>0.6</v>
      </c>
      <c r="BO149">
        <v>0.8</v>
      </c>
      <c r="BP149">
        <v>1.4</v>
      </c>
      <c r="BQ149">
        <v>2</v>
      </c>
      <c r="BR149">
        <v>1</v>
      </c>
      <c r="BS149">
        <v>2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6</v>
      </c>
      <c r="BZ149">
        <v>1.2</v>
      </c>
      <c r="CA149">
        <v>1</v>
      </c>
      <c r="CB149">
        <v>0.2</v>
      </c>
      <c r="CC149">
        <v>5</v>
      </c>
      <c r="CD149">
        <v>4</v>
      </c>
      <c r="CE149">
        <v>4</v>
      </c>
      <c r="CF149">
        <v>0</v>
      </c>
      <c r="CG149">
        <v>1</v>
      </c>
      <c r="CH149">
        <v>2</v>
      </c>
      <c r="CI149">
        <v>0</v>
      </c>
      <c r="CJ149">
        <v>2</v>
      </c>
      <c r="CK149">
        <v>8</v>
      </c>
      <c r="CL149">
        <v>3</v>
      </c>
      <c r="CM149">
        <v>2</v>
      </c>
      <c r="CN149">
        <v>9</v>
      </c>
      <c r="CO149">
        <v>1.6</v>
      </c>
      <c r="CP149">
        <v>0.8</v>
      </c>
      <c r="CQ149">
        <v>0.4</v>
      </c>
      <c r="CR149">
        <v>2.2999999999999998</v>
      </c>
      <c r="CS149">
        <v>1</v>
      </c>
      <c r="CT149">
        <v>2</v>
      </c>
      <c r="CU149">
        <v>0</v>
      </c>
      <c r="CV149">
        <v>0</v>
      </c>
      <c r="CW149">
        <v>0</v>
      </c>
      <c r="CX149">
        <v>0</v>
      </c>
      <c r="CY149">
        <v>1</v>
      </c>
      <c r="CZ149">
        <v>2</v>
      </c>
    </row>
    <row r="150" spans="1:104" x14ac:dyDescent="0.25">
      <c r="A150" s="1" t="s">
        <v>1100</v>
      </c>
      <c r="B150">
        <v>4219</v>
      </c>
      <c r="C150">
        <v>4220</v>
      </c>
      <c r="D150" s="2">
        <v>43694</v>
      </c>
      <c r="E150" s="3">
        <f t="shared" si="6"/>
        <v>2019</v>
      </c>
      <c r="F150" s="3">
        <f t="shared" si="7"/>
        <v>8</v>
      </c>
      <c r="G150" s="3">
        <f t="shared" si="8"/>
        <v>7</v>
      </c>
      <c r="H150" t="s">
        <v>1101</v>
      </c>
      <c r="I150">
        <v>563</v>
      </c>
      <c r="J150" t="s">
        <v>761</v>
      </c>
      <c r="K150" t="s">
        <v>900</v>
      </c>
      <c r="L150">
        <v>2019</v>
      </c>
      <c r="M150" t="s">
        <v>968</v>
      </c>
      <c r="N150" t="s">
        <v>1102</v>
      </c>
      <c r="O150" t="s">
        <v>1103</v>
      </c>
      <c r="P150">
        <v>12105</v>
      </c>
      <c r="Q150" t="s">
        <v>900</v>
      </c>
      <c r="R150">
        <v>2004</v>
      </c>
      <c r="S150" t="s">
        <v>1104</v>
      </c>
      <c r="T150" t="s">
        <v>1105</v>
      </c>
      <c r="U150">
        <v>54170</v>
      </c>
      <c r="V150" t="s">
        <v>900</v>
      </c>
      <c r="W150">
        <v>1956</v>
      </c>
      <c r="X150">
        <v>2</v>
      </c>
      <c r="Z150">
        <v>-1.5</v>
      </c>
      <c r="AA150">
        <v>-4.5</v>
      </c>
      <c r="AB150">
        <v>0</v>
      </c>
      <c r="AC150">
        <v>50</v>
      </c>
      <c r="AD150">
        <v>50</v>
      </c>
      <c r="AE150">
        <v>35</v>
      </c>
      <c r="AF150">
        <v>65</v>
      </c>
      <c r="AG150">
        <v>23</v>
      </c>
      <c r="AH150">
        <v>77</v>
      </c>
      <c r="AI150">
        <v>25</v>
      </c>
      <c r="AJ150">
        <v>75</v>
      </c>
      <c r="AK150">
        <v>15</v>
      </c>
      <c r="AL150">
        <v>85</v>
      </c>
      <c r="AM150">
        <v>20</v>
      </c>
      <c r="AN150">
        <v>80</v>
      </c>
      <c r="AO150">
        <v>31</v>
      </c>
      <c r="AP150">
        <v>69</v>
      </c>
      <c r="AQ150">
        <v>53</v>
      </c>
      <c r="AR150">
        <v>47</v>
      </c>
      <c r="AS150">
        <v>60</v>
      </c>
      <c r="AT150">
        <v>100</v>
      </c>
      <c r="AU150">
        <v>100</v>
      </c>
      <c r="AV150">
        <v>87</v>
      </c>
      <c r="AW150">
        <v>7</v>
      </c>
      <c r="AX150">
        <v>1.4</v>
      </c>
      <c r="AY150">
        <v>6</v>
      </c>
      <c r="AZ150">
        <v>1.2</v>
      </c>
      <c r="BA150">
        <v>8</v>
      </c>
      <c r="BB150">
        <v>8</v>
      </c>
      <c r="BC150">
        <v>2</v>
      </c>
      <c r="BD150">
        <v>2</v>
      </c>
      <c r="BE150">
        <v>4</v>
      </c>
      <c r="BF150">
        <v>0</v>
      </c>
      <c r="BG150">
        <v>2</v>
      </c>
      <c r="BH150">
        <v>6</v>
      </c>
      <c r="BI150">
        <v>13</v>
      </c>
      <c r="BJ150">
        <v>7</v>
      </c>
      <c r="BK150">
        <v>8</v>
      </c>
      <c r="BL150">
        <v>17</v>
      </c>
      <c r="BM150">
        <v>1.6</v>
      </c>
      <c r="BN150">
        <v>0.9</v>
      </c>
      <c r="BO150">
        <v>1</v>
      </c>
      <c r="BP150">
        <v>2.1</v>
      </c>
      <c r="BQ150">
        <v>8</v>
      </c>
      <c r="BR150">
        <v>9</v>
      </c>
      <c r="BS150">
        <v>2</v>
      </c>
      <c r="BT150">
        <v>1</v>
      </c>
      <c r="BU150">
        <v>0</v>
      </c>
      <c r="BV150">
        <v>3</v>
      </c>
      <c r="BW150">
        <v>6</v>
      </c>
      <c r="BX150">
        <v>5</v>
      </c>
      <c r="BY150">
        <v>23</v>
      </c>
      <c r="BZ150">
        <v>4.5999999999999996</v>
      </c>
      <c r="CA150">
        <v>2</v>
      </c>
      <c r="CB150">
        <v>0.4</v>
      </c>
      <c r="CC150">
        <v>9</v>
      </c>
      <c r="CD150">
        <v>7</v>
      </c>
      <c r="CE150">
        <v>8</v>
      </c>
      <c r="CF150">
        <v>6</v>
      </c>
      <c r="CG150">
        <v>1</v>
      </c>
      <c r="CH150">
        <v>1</v>
      </c>
      <c r="CI150">
        <v>0</v>
      </c>
      <c r="CJ150">
        <v>0</v>
      </c>
      <c r="CK150">
        <v>31</v>
      </c>
      <c r="CL150">
        <v>19</v>
      </c>
      <c r="CM150">
        <v>7</v>
      </c>
      <c r="CN150">
        <v>3</v>
      </c>
      <c r="CO150">
        <v>3.4</v>
      </c>
      <c r="CP150">
        <v>2.7</v>
      </c>
      <c r="CQ150">
        <v>0.8</v>
      </c>
      <c r="CR150">
        <v>0.4</v>
      </c>
      <c r="CS150">
        <v>9</v>
      </c>
      <c r="CT150">
        <v>8</v>
      </c>
      <c r="CU150">
        <v>5</v>
      </c>
      <c r="CV150">
        <v>6</v>
      </c>
      <c r="CW150">
        <v>3</v>
      </c>
      <c r="CX150">
        <v>0</v>
      </c>
      <c r="CY150">
        <v>1</v>
      </c>
      <c r="CZ150">
        <v>2</v>
      </c>
    </row>
    <row r="151" spans="1:104" x14ac:dyDescent="0.25">
      <c r="A151" s="1" t="s">
        <v>1106</v>
      </c>
      <c r="B151">
        <v>9564</v>
      </c>
      <c r="C151">
        <v>9562</v>
      </c>
      <c r="D151" s="2">
        <v>43744</v>
      </c>
      <c r="E151" s="3">
        <f t="shared" si="6"/>
        <v>2019</v>
      </c>
      <c r="F151" s="3">
        <f t="shared" si="7"/>
        <v>10</v>
      </c>
      <c r="G151" s="3">
        <f t="shared" si="8"/>
        <v>1</v>
      </c>
      <c r="H151" t="s">
        <v>1107</v>
      </c>
      <c r="I151">
        <v>1261</v>
      </c>
      <c r="J151" t="s">
        <v>1108</v>
      </c>
      <c r="K151" t="s">
        <v>338</v>
      </c>
      <c r="L151">
        <v>2019</v>
      </c>
      <c r="M151" t="s">
        <v>458</v>
      </c>
      <c r="N151" t="s">
        <v>1109</v>
      </c>
      <c r="O151" t="s">
        <v>1110</v>
      </c>
      <c r="P151">
        <v>10750</v>
      </c>
      <c r="Q151" t="s">
        <v>338</v>
      </c>
      <c r="R151">
        <v>1908</v>
      </c>
      <c r="S151" t="s">
        <v>1111</v>
      </c>
      <c r="T151" t="s">
        <v>1112</v>
      </c>
      <c r="U151">
        <v>2000</v>
      </c>
      <c r="V151" t="s">
        <v>338</v>
      </c>
      <c r="W151">
        <v>1935</v>
      </c>
      <c r="X151" t="s">
        <v>109</v>
      </c>
      <c r="Y151">
        <v>-3.5</v>
      </c>
      <c r="Z151">
        <v>-2.5</v>
      </c>
      <c r="AA151">
        <v>-1.5</v>
      </c>
      <c r="AB151">
        <v>45</v>
      </c>
      <c r="AC151">
        <v>45</v>
      </c>
      <c r="AD151">
        <v>10</v>
      </c>
      <c r="AE151">
        <v>80</v>
      </c>
      <c r="AF151">
        <v>20</v>
      </c>
      <c r="AG151">
        <v>89</v>
      </c>
      <c r="AH151">
        <v>11</v>
      </c>
      <c r="AI151">
        <v>42</v>
      </c>
      <c r="AJ151">
        <v>58</v>
      </c>
      <c r="AK151">
        <v>100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53</v>
      </c>
      <c r="AR151">
        <v>100</v>
      </c>
      <c r="AS151">
        <v>13</v>
      </c>
      <c r="AT151">
        <v>13</v>
      </c>
      <c r="AU151">
        <v>13</v>
      </c>
      <c r="AV151">
        <v>38</v>
      </c>
      <c r="AW151">
        <v>8</v>
      </c>
      <c r="AX151">
        <v>1.6</v>
      </c>
      <c r="AY151">
        <v>7</v>
      </c>
      <c r="AZ151">
        <v>1.4</v>
      </c>
      <c r="BA151">
        <v>2</v>
      </c>
      <c r="BB151">
        <v>3</v>
      </c>
      <c r="BC151">
        <v>2</v>
      </c>
      <c r="BD151">
        <v>0</v>
      </c>
      <c r="BE151">
        <v>0</v>
      </c>
      <c r="BF151">
        <v>2</v>
      </c>
      <c r="BG151">
        <v>0</v>
      </c>
      <c r="BH151">
        <v>1</v>
      </c>
      <c r="BI151">
        <v>4</v>
      </c>
      <c r="BJ151">
        <v>4</v>
      </c>
      <c r="BK151">
        <v>2</v>
      </c>
      <c r="BL151">
        <v>5</v>
      </c>
      <c r="BM151">
        <v>2</v>
      </c>
      <c r="BN151">
        <v>1.3</v>
      </c>
      <c r="BO151">
        <v>1</v>
      </c>
      <c r="BP151">
        <v>1.7</v>
      </c>
      <c r="BQ151">
        <v>1</v>
      </c>
      <c r="BR151">
        <v>1</v>
      </c>
      <c r="BS151">
        <v>1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1</v>
      </c>
      <c r="BZ151">
        <v>0.2</v>
      </c>
      <c r="CA151">
        <v>5</v>
      </c>
      <c r="CB151">
        <v>1</v>
      </c>
      <c r="CC151">
        <v>3</v>
      </c>
      <c r="CD151">
        <v>2</v>
      </c>
      <c r="CE151">
        <v>0</v>
      </c>
      <c r="CF151">
        <v>0</v>
      </c>
      <c r="CG151">
        <v>2</v>
      </c>
      <c r="CH151">
        <v>0</v>
      </c>
      <c r="CI151">
        <v>1</v>
      </c>
      <c r="CJ151">
        <v>2</v>
      </c>
      <c r="CK151">
        <v>1</v>
      </c>
      <c r="CL151">
        <v>0</v>
      </c>
      <c r="CM151">
        <v>3</v>
      </c>
      <c r="CN151">
        <v>2</v>
      </c>
      <c r="CO151">
        <v>0.3</v>
      </c>
      <c r="CP151">
        <v>0</v>
      </c>
      <c r="CQ151">
        <v>1</v>
      </c>
      <c r="CR151">
        <v>1</v>
      </c>
      <c r="CS151">
        <v>1</v>
      </c>
      <c r="CT151">
        <v>1</v>
      </c>
      <c r="CU151">
        <v>0</v>
      </c>
      <c r="CV151">
        <v>0</v>
      </c>
      <c r="CW151">
        <v>1</v>
      </c>
      <c r="CX151">
        <v>0</v>
      </c>
      <c r="CY151">
        <v>0</v>
      </c>
      <c r="CZ151">
        <v>1</v>
      </c>
    </row>
    <row r="152" spans="1:104" x14ac:dyDescent="0.25">
      <c r="A152" s="1" t="s">
        <v>1113</v>
      </c>
      <c r="B152">
        <v>372</v>
      </c>
      <c r="C152">
        <v>363</v>
      </c>
      <c r="D152" s="2">
        <v>43999</v>
      </c>
      <c r="E152" s="3">
        <f t="shared" si="6"/>
        <v>2020</v>
      </c>
      <c r="F152" s="3">
        <f t="shared" si="7"/>
        <v>6</v>
      </c>
      <c r="G152" s="3">
        <f t="shared" si="8"/>
        <v>4</v>
      </c>
      <c r="H152" t="s">
        <v>1114</v>
      </c>
      <c r="I152">
        <v>1329</v>
      </c>
      <c r="J152" t="s">
        <v>103</v>
      </c>
      <c r="K152" t="s">
        <v>104</v>
      </c>
      <c r="L152">
        <v>2020</v>
      </c>
      <c r="M152" t="s">
        <v>405</v>
      </c>
      <c r="N152" t="s">
        <v>1114</v>
      </c>
      <c r="O152" t="s">
        <v>1115</v>
      </c>
      <c r="P152">
        <v>16899</v>
      </c>
      <c r="Q152" t="s">
        <v>104</v>
      </c>
      <c r="R152">
        <v>1904</v>
      </c>
      <c r="S152" t="s">
        <v>107</v>
      </c>
      <c r="T152" t="s">
        <v>108</v>
      </c>
      <c r="U152">
        <v>33000</v>
      </c>
      <c r="V152" t="s">
        <v>104</v>
      </c>
      <c r="W152">
        <v>1897</v>
      </c>
      <c r="X152" t="s">
        <v>125</v>
      </c>
      <c r="Z152">
        <v>-1.5</v>
      </c>
      <c r="AA152">
        <v>-2.5</v>
      </c>
      <c r="AB152">
        <v>10</v>
      </c>
      <c r="AC152">
        <v>45</v>
      </c>
      <c r="AD152">
        <v>45</v>
      </c>
      <c r="AE152">
        <v>50</v>
      </c>
      <c r="AF152">
        <v>50</v>
      </c>
      <c r="AG152">
        <v>33</v>
      </c>
      <c r="AH152">
        <v>67</v>
      </c>
      <c r="AI152">
        <v>0</v>
      </c>
      <c r="AJ152">
        <v>0</v>
      </c>
      <c r="AK152">
        <v>0</v>
      </c>
      <c r="AL152">
        <v>0</v>
      </c>
      <c r="AM152">
        <v>38</v>
      </c>
      <c r="AN152">
        <v>62</v>
      </c>
      <c r="AO152">
        <v>38</v>
      </c>
      <c r="AP152">
        <v>62</v>
      </c>
      <c r="AQ152">
        <v>100</v>
      </c>
      <c r="AR152">
        <v>9</v>
      </c>
      <c r="AS152">
        <v>100</v>
      </c>
      <c r="AT152">
        <v>100</v>
      </c>
      <c r="AU152">
        <v>18</v>
      </c>
      <c r="AV152">
        <v>100</v>
      </c>
      <c r="AW152">
        <v>1</v>
      </c>
      <c r="AX152">
        <v>1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0</v>
      </c>
      <c r="BL152">
        <v>0</v>
      </c>
      <c r="BM152">
        <v>0</v>
      </c>
      <c r="BN152">
        <v>1</v>
      </c>
      <c r="BO152">
        <v>0</v>
      </c>
      <c r="BP152">
        <v>0</v>
      </c>
      <c r="BQ152">
        <v>5</v>
      </c>
      <c r="BR152">
        <v>5</v>
      </c>
      <c r="BS152">
        <v>2</v>
      </c>
      <c r="BT152">
        <v>2</v>
      </c>
      <c r="BU152">
        <v>3</v>
      </c>
      <c r="BV152">
        <v>1</v>
      </c>
      <c r="BW152">
        <v>0</v>
      </c>
      <c r="BX152">
        <v>2</v>
      </c>
      <c r="BY152">
        <v>2</v>
      </c>
      <c r="BZ152">
        <v>2</v>
      </c>
      <c r="CA152">
        <v>0</v>
      </c>
      <c r="CB152">
        <v>0</v>
      </c>
      <c r="CC152">
        <v>1</v>
      </c>
      <c r="CD152">
        <v>0</v>
      </c>
      <c r="CE152">
        <v>1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2</v>
      </c>
      <c r="CL152">
        <v>0</v>
      </c>
      <c r="CM152">
        <v>0</v>
      </c>
      <c r="CN152">
        <v>0</v>
      </c>
      <c r="CO152">
        <v>2</v>
      </c>
      <c r="CP152">
        <v>0</v>
      </c>
      <c r="CQ152">
        <v>0</v>
      </c>
      <c r="CR152">
        <v>0</v>
      </c>
      <c r="CS152">
        <v>5</v>
      </c>
      <c r="CT152">
        <v>5</v>
      </c>
      <c r="CU152">
        <v>2</v>
      </c>
      <c r="CV152">
        <v>0</v>
      </c>
      <c r="CW152">
        <v>1</v>
      </c>
      <c r="CX152">
        <v>3</v>
      </c>
      <c r="CY152">
        <v>2</v>
      </c>
      <c r="CZ152">
        <v>2</v>
      </c>
    </row>
    <row r="153" spans="1:104" x14ac:dyDescent="0.25">
      <c r="A153" s="1" t="s">
        <v>1116</v>
      </c>
      <c r="B153">
        <v>5380</v>
      </c>
      <c r="C153">
        <v>5378</v>
      </c>
      <c r="D153" s="2">
        <v>43681</v>
      </c>
      <c r="E153" s="3">
        <f t="shared" si="6"/>
        <v>2019</v>
      </c>
      <c r="F153" s="3">
        <f t="shared" si="7"/>
        <v>8</v>
      </c>
      <c r="G153" s="3">
        <f t="shared" si="8"/>
        <v>1</v>
      </c>
      <c r="H153" t="s">
        <v>1117</v>
      </c>
      <c r="I153">
        <v>816</v>
      </c>
      <c r="J153" t="s">
        <v>360</v>
      </c>
      <c r="K153" t="s">
        <v>361</v>
      </c>
      <c r="L153">
        <v>2019</v>
      </c>
      <c r="M153" t="s">
        <v>780</v>
      </c>
      <c r="Q153" t="s">
        <v>361</v>
      </c>
      <c r="R153">
        <v>2011</v>
      </c>
      <c r="V153" t="s">
        <v>361</v>
      </c>
      <c r="W153">
        <v>2009</v>
      </c>
      <c r="X153" t="s">
        <v>109</v>
      </c>
      <c r="Y153">
        <v>1.5</v>
      </c>
      <c r="Z153">
        <v>-3.5</v>
      </c>
      <c r="AA153">
        <v>-3.5</v>
      </c>
      <c r="AB153">
        <v>35</v>
      </c>
      <c r="AC153">
        <v>35</v>
      </c>
      <c r="AD153">
        <v>30</v>
      </c>
      <c r="AE153">
        <v>50</v>
      </c>
      <c r="AF153">
        <v>50</v>
      </c>
      <c r="AG153">
        <v>30</v>
      </c>
      <c r="AH153">
        <v>70</v>
      </c>
      <c r="AI153">
        <v>53</v>
      </c>
      <c r="AJ153">
        <v>47</v>
      </c>
      <c r="AK153">
        <v>73</v>
      </c>
      <c r="AL153">
        <v>27</v>
      </c>
      <c r="AM153">
        <v>0</v>
      </c>
      <c r="AN153">
        <v>0</v>
      </c>
      <c r="AO153">
        <v>0</v>
      </c>
      <c r="AP153">
        <v>0</v>
      </c>
      <c r="AQ153">
        <v>60</v>
      </c>
      <c r="AR153">
        <v>50</v>
      </c>
      <c r="AS153">
        <v>56</v>
      </c>
      <c r="AT153">
        <v>60</v>
      </c>
      <c r="AU153">
        <v>100</v>
      </c>
      <c r="AV153">
        <v>50</v>
      </c>
      <c r="AW153">
        <v>8</v>
      </c>
      <c r="AX153">
        <v>1.6</v>
      </c>
      <c r="AY153">
        <v>7</v>
      </c>
      <c r="AZ153">
        <v>1.4</v>
      </c>
      <c r="BA153">
        <v>6</v>
      </c>
      <c r="BB153">
        <v>7</v>
      </c>
      <c r="BC153">
        <v>4</v>
      </c>
      <c r="BD153">
        <v>5</v>
      </c>
      <c r="BE153">
        <v>1</v>
      </c>
      <c r="BF153">
        <v>0</v>
      </c>
      <c r="BG153">
        <v>1</v>
      </c>
      <c r="BH153">
        <v>2</v>
      </c>
      <c r="BI153">
        <v>20</v>
      </c>
      <c r="BJ153">
        <v>14</v>
      </c>
      <c r="BK153">
        <v>3</v>
      </c>
      <c r="BL153">
        <v>8</v>
      </c>
      <c r="BM153">
        <v>3.3</v>
      </c>
      <c r="BN153">
        <v>2</v>
      </c>
      <c r="BO153">
        <v>0.5</v>
      </c>
      <c r="BP153">
        <v>1.1000000000000001</v>
      </c>
      <c r="BQ153">
        <v>1</v>
      </c>
      <c r="BR153">
        <v>1</v>
      </c>
      <c r="BS153">
        <v>1</v>
      </c>
      <c r="BT153">
        <v>0</v>
      </c>
      <c r="BU153">
        <v>0</v>
      </c>
      <c r="BV153">
        <v>1</v>
      </c>
      <c r="BW153">
        <v>0</v>
      </c>
      <c r="BX153">
        <v>0</v>
      </c>
      <c r="BY153">
        <v>19</v>
      </c>
      <c r="BZ153">
        <v>3.8</v>
      </c>
      <c r="CA153">
        <v>8</v>
      </c>
      <c r="CB153">
        <v>1.6</v>
      </c>
      <c r="CC153">
        <v>7</v>
      </c>
      <c r="CD153">
        <v>6</v>
      </c>
      <c r="CE153">
        <v>2</v>
      </c>
      <c r="CF153">
        <v>3</v>
      </c>
      <c r="CG153">
        <v>1</v>
      </c>
      <c r="CH153">
        <v>1</v>
      </c>
      <c r="CI153">
        <v>4</v>
      </c>
      <c r="CJ153">
        <v>2</v>
      </c>
      <c r="CK153">
        <v>10</v>
      </c>
      <c r="CL153">
        <v>23</v>
      </c>
      <c r="CM153">
        <v>15</v>
      </c>
      <c r="CN153">
        <v>11</v>
      </c>
      <c r="CO153">
        <v>1.4</v>
      </c>
      <c r="CP153">
        <v>3.8</v>
      </c>
      <c r="CQ153">
        <v>2.1</v>
      </c>
      <c r="CR153">
        <v>1.8</v>
      </c>
      <c r="CS153">
        <v>1</v>
      </c>
      <c r="CT153">
        <v>1</v>
      </c>
      <c r="CU153">
        <v>0</v>
      </c>
      <c r="CV153">
        <v>0</v>
      </c>
      <c r="CW153">
        <v>1</v>
      </c>
      <c r="CX153">
        <v>0</v>
      </c>
      <c r="CY153">
        <v>0</v>
      </c>
      <c r="CZ153">
        <v>1</v>
      </c>
    </row>
    <row r="154" spans="1:104" x14ac:dyDescent="0.25">
      <c r="A154" s="1" t="s">
        <v>1118</v>
      </c>
      <c r="B154">
        <v>364</v>
      </c>
      <c r="C154">
        <v>811</v>
      </c>
      <c r="D154" s="2">
        <v>44018</v>
      </c>
      <c r="E154" s="3">
        <f t="shared" si="6"/>
        <v>2020</v>
      </c>
      <c r="F154" s="3">
        <f t="shared" si="7"/>
        <v>7</v>
      </c>
      <c r="G154" s="3">
        <f t="shared" si="8"/>
        <v>2</v>
      </c>
      <c r="H154" t="s">
        <v>107</v>
      </c>
      <c r="I154">
        <v>1329</v>
      </c>
      <c r="J154" t="s">
        <v>103</v>
      </c>
      <c r="K154" t="s">
        <v>104</v>
      </c>
      <c r="L154">
        <v>2020</v>
      </c>
      <c r="M154" t="s">
        <v>458</v>
      </c>
      <c r="N154" t="s">
        <v>107</v>
      </c>
      <c r="O154" t="s">
        <v>108</v>
      </c>
      <c r="P154">
        <v>33000</v>
      </c>
      <c r="Q154" t="s">
        <v>104</v>
      </c>
      <c r="R154">
        <v>1891</v>
      </c>
      <c r="S154" t="s">
        <v>1119</v>
      </c>
      <c r="T154" t="s">
        <v>1120</v>
      </c>
      <c r="U154">
        <v>16673</v>
      </c>
      <c r="V154" t="s">
        <v>104</v>
      </c>
      <c r="W154">
        <v>1907</v>
      </c>
      <c r="X154">
        <v>1</v>
      </c>
      <c r="Z154">
        <v>-2.5</v>
      </c>
      <c r="AB154">
        <v>50</v>
      </c>
      <c r="AC154">
        <v>50</v>
      </c>
      <c r="AD154">
        <v>0</v>
      </c>
      <c r="AE154">
        <v>86</v>
      </c>
      <c r="AF154">
        <v>14</v>
      </c>
      <c r="AG154">
        <v>100</v>
      </c>
      <c r="AH154">
        <v>0</v>
      </c>
      <c r="AI154">
        <v>60</v>
      </c>
      <c r="AJ154">
        <v>40</v>
      </c>
      <c r="AK154">
        <v>0</v>
      </c>
      <c r="AL154">
        <v>0</v>
      </c>
      <c r="AM154">
        <v>91</v>
      </c>
      <c r="AN154">
        <v>9</v>
      </c>
      <c r="AO154">
        <v>80</v>
      </c>
      <c r="AP154">
        <v>20</v>
      </c>
      <c r="AQ154">
        <v>40</v>
      </c>
      <c r="AR154">
        <v>80</v>
      </c>
      <c r="AS154">
        <v>40</v>
      </c>
      <c r="AT154">
        <v>7</v>
      </c>
      <c r="AU154">
        <v>0</v>
      </c>
      <c r="AV154">
        <v>10</v>
      </c>
      <c r="AW154">
        <v>8</v>
      </c>
      <c r="AX154">
        <v>1.6</v>
      </c>
      <c r="AY154">
        <v>6</v>
      </c>
      <c r="AZ154">
        <v>1.2</v>
      </c>
      <c r="BA154">
        <v>2</v>
      </c>
      <c r="BB154">
        <v>3</v>
      </c>
      <c r="BC154">
        <v>1</v>
      </c>
      <c r="BD154">
        <v>1</v>
      </c>
      <c r="BE154">
        <v>0</v>
      </c>
      <c r="BF154">
        <v>0</v>
      </c>
      <c r="BG154">
        <v>1</v>
      </c>
      <c r="BH154">
        <v>2</v>
      </c>
      <c r="BI154">
        <v>6</v>
      </c>
      <c r="BJ154">
        <v>2</v>
      </c>
      <c r="BK154">
        <v>2</v>
      </c>
      <c r="BL154">
        <v>4</v>
      </c>
      <c r="BM154">
        <v>3</v>
      </c>
      <c r="BN154">
        <v>0.7</v>
      </c>
      <c r="BO154">
        <v>1</v>
      </c>
      <c r="BP154">
        <v>1.3</v>
      </c>
      <c r="BQ154">
        <v>3</v>
      </c>
      <c r="BR154">
        <v>2</v>
      </c>
      <c r="BS154">
        <v>2</v>
      </c>
      <c r="BT154">
        <v>1</v>
      </c>
      <c r="BU154">
        <v>1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9</v>
      </c>
      <c r="CB154">
        <v>1.8</v>
      </c>
      <c r="CC154">
        <v>3</v>
      </c>
      <c r="CD154">
        <v>2</v>
      </c>
      <c r="CE154">
        <v>0</v>
      </c>
      <c r="CF154">
        <v>0</v>
      </c>
      <c r="CG154">
        <v>1</v>
      </c>
      <c r="CH154">
        <v>0</v>
      </c>
      <c r="CI154">
        <v>2</v>
      </c>
      <c r="CJ154">
        <v>2</v>
      </c>
      <c r="CK154">
        <v>0</v>
      </c>
      <c r="CL154">
        <v>0</v>
      </c>
      <c r="CM154">
        <v>4</v>
      </c>
      <c r="CN154">
        <v>5</v>
      </c>
      <c r="CO154">
        <v>0</v>
      </c>
      <c r="CP154">
        <v>0</v>
      </c>
      <c r="CQ154">
        <v>1.3</v>
      </c>
      <c r="CR154">
        <v>2.5</v>
      </c>
      <c r="CS154">
        <v>2</v>
      </c>
      <c r="CT154">
        <v>3</v>
      </c>
      <c r="CU154">
        <v>0</v>
      </c>
      <c r="CV154">
        <v>0</v>
      </c>
      <c r="CW154">
        <v>1</v>
      </c>
      <c r="CX154">
        <v>1</v>
      </c>
      <c r="CY154">
        <v>1</v>
      </c>
      <c r="CZ154">
        <v>2</v>
      </c>
    </row>
    <row r="155" spans="1:104" x14ac:dyDescent="0.25">
      <c r="A155" s="1" t="s">
        <v>1121</v>
      </c>
      <c r="B155">
        <v>10</v>
      </c>
      <c r="C155">
        <v>1109</v>
      </c>
      <c r="D155" s="2">
        <v>43783</v>
      </c>
      <c r="E155" s="3">
        <f t="shared" si="6"/>
        <v>2019</v>
      </c>
      <c r="F155" s="3">
        <f t="shared" si="7"/>
        <v>11</v>
      </c>
      <c r="G155" s="3">
        <f t="shared" si="8"/>
        <v>5</v>
      </c>
      <c r="H155" t="s">
        <v>1122</v>
      </c>
      <c r="I155">
        <v>403</v>
      </c>
      <c r="J155" t="s">
        <v>1123</v>
      </c>
      <c r="K155" t="s">
        <v>129</v>
      </c>
      <c r="L155">
        <v>2020</v>
      </c>
      <c r="M155" t="s">
        <v>1124</v>
      </c>
      <c r="N155" t="s">
        <v>1122</v>
      </c>
      <c r="O155" t="s">
        <v>1125</v>
      </c>
      <c r="P155">
        <v>90000</v>
      </c>
      <c r="Q155" t="s">
        <v>241</v>
      </c>
      <c r="R155">
        <v>1863</v>
      </c>
      <c r="S155" t="s">
        <v>1126</v>
      </c>
      <c r="T155" t="s">
        <v>1127</v>
      </c>
      <c r="U155">
        <v>15230</v>
      </c>
      <c r="V155" t="s">
        <v>1089</v>
      </c>
      <c r="W155">
        <v>1931</v>
      </c>
      <c r="X155">
        <v>1</v>
      </c>
      <c r="Z155">
        <v>-5.5</v>
      </c>
      <c r="AA155">
        <v>-1.5</v>
      </c>
      <c r="AB155">
        <v>50</v>
      </c>
      <c r="AC155">
        <v>50</v>
      </c>
      <c r="AD155">
        <v>0</v>
      </c>
      <c r="AE155">
        <v>86</v>
      </c>
      <c r="AF155">
        <v>14</v>
      </c>
      <c r="AG155">
        <v>95</v>
      </c>
      <c r="AH155">
        <v>5</v>
      </c>
      <c r="AI155">
        <v>60</v>
      </c>
      <c r="AJ155">
        <v>40</v>
      </c>
      <c r="AK155">
        <v>0</v>
      </c>
      <c r="AL155">
        <v>0</v>
      </c>
      <c r="AM155">
        <v>100</v>
      </c>
      <c r="AN155">
        <v>0</v>
      </c>
      <c r="AO155">
        <v>83</v>
      </c>
      <c r="AP155">
        <v>17</v>
      </c>
      <c r="AQ155">
        <v>80</v>
      </c>
      <c r="AR155">
        <v>100</v>
      </c>
      <c r="AS155">
        <v>45</v>
      </c>
      <c r="AT155">
        <v>13</v>
      </c>
      <c r="AU155">
        <v>9</v>
      </c>
      <c r="AV155">
        <v>18</v>
      </c>
      <c r="AW155">
        <v>21</v>
      </c>
      <c r="AX155">
        <v>4.2</v>
      </c>
      <c r="AY155">
        <v>6</v>
      </c>
      <c r="AZ155">
        <v>1.2</v>
      </c>
      <c r="BA155">
        <v>3</v>
      </c>
      <c r="BB155">
        <v>3</v>
      </c>
      <c r="BC155">
        <v>3</v>
      </c>
      <c r="BD155">
        <v>2</v>
      </c>
      <c r="BE155">
        <v>0</v>
      </c>
      <c r="BF155">
        <v>0</v>
      </c>
      <c r="BG155">
        <v>0</v>
      </c>
      <c r="BH155">
        <v>1</v>
      </c>
      <c r="BI155">
        <v>14</v>
      </c>
      <c r="BJ155">
        <v>12</v>
      </c>
      <c r="BK155">
        <v>3</v>
      </c>
      <c r="BL155">
        <v>3</v>
      </c>
      <c r="BM155">
        <v>4.7</v>
      </c>
      <c r="BN155">
        <v>4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0.2</v>
      </c>
      <c r="CA155">
        <v>9</v>
      </c>
      <c r="CB155">
        <v>1.8</v>
      </c>
      <c r="CC155">
        <v>4</v>
      </c>
      <c r="CD155">
        <v>3</v>
      </c>
      <c r="CE155">
        <v>0</v>
      </c>
      <c r="CF155">
        <v>0</v>
      </c>
      <c r="CG155">
        <v>2</v>
      </c>
      <c r="CH155">
        <v>1</v>
      </c>
      <c r="CI155">
        <v>2</v>
      </c>
      <c r="CJ155">
        <v>2</v>
      </c>
      <c r="CK155">
        <v>2</v>
      </c>
      <c r="CL155">
        <v>1</v>
      </c>
      <c r="CM155">
        <v>9</v>
      </c>
      <c r="CN155">
        <v>6</v>
      </c>
      <c r="CO155">
        <v>0.5</v>
      </c>
      <c r="CP155">
        <v>0.3</v>
      </c>
      <c r="CQ155">
        <v>2.2999999999999998</v>
      </c>
      <c r="CR155">
        <v>2</v>
      </c>
      <c r="CS155">
        <v>1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1</v>
      </c>
    </row>
    <row r="156" spans="1:104" x14ac:dyDescent="0.25">
      <c r="A156" s="1" t="s">
        <v>1128</v>
      </c>
      <c r="B156">
        <v>1907</v>
      </c>
      <c r="C156">
        <v>6376</v>
      </c>
      <c r="D156" s="2">
        <v>43722</v>
      </c>
      <c r="E156" s="3">
        <f t="shared" si="6"/>
        <v>2019</v>
      </c>
      <c r="F156" s="3">
        <f t="shared" si="7"/>
        <v>9</v>
      </c>
      <c r="G156" s="3">
        <f t="shared" si="8"/>
        <v>7</v>
      </c>
      <c r="H156" t="s">
        <v>1129</v>
      </c>
      <c r="I156">
        <v>920</v>
      </c>
      <c r="J156" t="s">
        <v>1130</v>
      </c>
      <c r="K156" t="s">
        <v>380</v>
      </c>
      <c r="L156">
        <v>2019</v>
      </c>
      <c r="M156" t="s">
        <v>405</v>
      </c>
      <c r="Q156" t="s">
        <v>380</v>
      </c>
      <c r="V156" t="s">
        <v>380</v>
      </c>
      <c r="X156">
        <v>2</v>
      </c>
      <c r="AA156">
        <v>-3.5</v>
      </c>
      <c r="AB156">
        <v>10</v>
      </c>
      <c r="AC156">
        <v>45</v>
      </c>
      <c r="AD156">
        <v>45</v>
      </c>
      <c r="AE156">
        <v>0</v>
      </c>
      <c r="AF156">
        <v>100</v>
      </c>
      <c r="AG156">
        <v>0</v>
      </c>
      <c r="AH156">
        <v>100</v>
      </c>
      <c r="AI156">
        <v>50</v>
      </c>
      <c r="AJ156">
        <v>50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94</v>
      </c>
      <c r="AT156">
        <v>100</v>
      </c>
      <c r="AU156">
        <v>19</v>
      </c>
      <c r="AV156">
        <v>94</v>
      </c>
      <c r="AW156">
        <v>0</v>
      </c>
      <c r="AX156">
        <v>0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1</v>
      </c>
      <c r="BI156">
        <v>0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1</v>
      </c>
      <c r="BQ156">
        <v>1</v>
      </c>
      <c r="BR156">
        <v>1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1</v>
      </c>
      <c r="BY156">
        <v>3</v>
      </c>
      <c r="BZ156">
        <v>3</v>
      </c>
      <c r="CA156">
        <v>1</v>
      </c>
      <c r="CB156">
        <v>1</v>
      </c>
      <c r="CC156">
        <v>1</v>
      </c>
      <c r="CD156">
        <v>0</v>
      </c>
      <c r="CE156">
        <v>1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3</v>
      </c>
      <c r="CL156">
        <v>0</v>
      </c>
      <c r="CM156">
        <v>1</v>
      </c>
      <c r="CN156">
        <v>0</v>
      </c>
      <c r="CO156">
        <v>3</v>
      </c>
      <c r="CP156">
        <v>0</v>
      </c>
      <c r="CQ156">
        <v>1</v>
      </c>
      <c r="CR156">
        <v>0</v>
      </c>
      <c r="CS156">
        <v>1</v>
      </c>
      <c r="CT156">
        <v>1</v>
      </c>
      <c r="CU156">
        <v>1</v>
      </c>
      <c r="CV156">
        <v>1</v>
      </c>
      <c r="CW156">
        <v>0</v>
      </c>
      <c r="CX156">
        <v>0</v>
      </c>
      <c r="CY156">
        <v>0</v>
      </c>
      <c r="CZ156">
        <v>0</v>
      </c>
    </row>
    <row r="157" spans="1:104" x14ac:dyDescent="0.25">
      <c r="A157" s="1" t="s">
        <v>1131</v>
      </c>
      <c r="B157">
        <v>7818</v>
      </c>
      <c r="C157">
        <v>1205</v>
      </c>
      <c r="D157" s="2">
        <v>43897</v>
      </c>
      <c r="E157" s="3">
        <f t="shared" si="6"/>
        <v>2020</v>
      </c>
      <c r="F157" s="3">
        <f t="shared" si="7"/>
        <v>3</v>
      </c>
      <c r="G157" s="3">
        <f t="shared" si="8"/>
        <v>7</v>
      </c>
      <c r="H157" t="s">
        <v>1132</v>
      </c>
      <c r="I157">
        <v>2267</v>
      </c>
      <c r="J157" t="s">
        <v>1133</v>
      </c>
      <c r="K157" t="s">
        <v>264</v>
      </c>
      <c r="L157">
        <v>2020</v>
      </c>
      <c r="M157" t="s">
        <v>1134</v>
      </c>
      <c r="N157" t="s">
        <v>1135</v>
      </c>
      <c r="O157" t="s">
        <v>1136</v>
      </c>
      <c r="P157">
        <v>8000</v>
      </c>
      <c r="Q157" t="s">
        <v>264</v>
      </c>
      <c r="R157">
        <v>1903</v>
      </c>
      <c r="S157" t="s">
        <v>1137</v>
      </c>
      <c r="T157" t="s">
        <v>1138</v>
      </c>
      <c r="U157">
        <v>10126</v>
      </c>
      <c r="V157" t="s">
        <v>264</v>
      </c>
      <c r="W157">
        <v>2005</v>
      </c>
      <c r="X157" t="s">
        <v>125</v>
      </c>
      <c r="Z157">
        <v>-1.5</v>
      </c>
      <c r="AA157">
        <v>-2.5</v>
      </c>
      <c r="AB157">
        <v>0</v>
      </c>
      <c r="AC157">
        <v>50</v>
      </c>
      <c r="AD157">
        <v>50</v>
      </c>
      <c r="AE157">
        <v>8</v>
      </c>
      <c r="AF157">
        <v>92</v>
      </c>
      <c r="AG157">
        <v>20</v>
      </c>
      <c r="AH157">
        <v>80</v>
      </c>
      <c r="AI157">
        <v>36</v>
      </c>
      <c r="AJ157">
        <v>64</v>
      </c>
      <c r="AK157">
        <v>35</v>
      </c>
      <c r="AL157">
        <v>65</v>
      </c>
      <c r="AM157">
        <v>0</v>
      </c>
      <c r="AN157">
        <v>0</v>
      </c>
      <c r="AO157">
        <v>0</v>
      </c>
      <c r="AP157">
        <v>0</v>
      </c>
      <c r="AQ157">
        <v>7</v>
      </c>
      <c r="AR157">
        <v>18</v>
      </c>
      <c r="AS157">
        <v>36</v>
      </c>
      <c r="AT157">
        <v>80</v>
      </c>
      <c r="AU157">
        <v>73</v>
      </c>
      <c r="AV157">
        <v>64</v>
      </c>
      <c r="AW157">
        <v>2</v>
      </c>
      <c r="AX157">
        <v>0.4</v>
      </c>
      <c r="AY157">
        <v>7</v>
      </c>
      <c r="AZ157">
        <v>1.4</v>
      </c>
      <c r="BA157">
        <v>3</v>
      </c>
      <c r="BB157">
        <v>4</v>
      </c>
      <c r="BC157">
        <v>0</v>
      </c>
      <c r="BD157">
        <v>0</v>
      </c>
      <c r="BE157">
        <v>1</v>
      </c>
      <c r="BF157">
        <v>1</v>
      </c>
      <c r="BG157">
        <v>2</v>
      </c>
      <c r="BH157">
        <v>3</v>
      </c>
      <c r="BI157">
        <v>2</v>
      </c>
      <c r="BJ157">
        <v>1</v>
      </c>
      <c r="BK157">
        <v>4</v>
      </c>
      <c r="BL157">
        <v>5</v>
      </c>
      <c r="BM157">
        <v>0.7</v>
      </c>
      <c r="BN157">
        <v>0.3</v>
      </c>
      <c r="BO157">
        <v>1.3</v>
      </c>
      <c r="BP157">
        <v>1.3</v>
      </c>
      <c r="BQ157">
        <v>1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0</v>
      </c>
      <c r="BY157">
        <v>8</v>
      </c>
      <c r="BZ157">
        <v>1.6</v>
      </c>
      <c r="CA157">
        <v>4</v>
      </c>
      <c r="CB157">
        <v>0.8</v>
      </c>
      <c r="CC157">
        <v>4</v>
      </c>
      <c r="CD157">
        <v>3</v>
      </c>
      <c r="CE157">
        <v>3</v>
      </c>
      <c r="CF157">
        <v>1</v>
      </c>
      <c r="CG157">
        <v>1</v>
      </c>
      <c r="CH157">
        <v>0</v>
      </c>
      <c r="CI157">
        <v>0</v>
      </c>
      <c r="CJ157">
        <v>2</v>
      </c>
      <c r="CK157">
        <v>7</v>
      </c>
      <c r="CL157">
        <v>3</v>
      </c>
      <c r="CM157">
        <v>3</v>
      </c>
      <c r="CN157">
        <v>4</v>
      </c>
      <c r="CO157">
        <v>1.8</v>
      </c>
      <c r="CP157">
        <v>1</v>
      </c>
      <c r="CQ157">
        <v>0.8</v>
      </c>
      <c r="CR157">
        <v>1.3</v>
      </c>
      <c r="CS157">
        <v>0</v>
      </c>
      <c r="CT157">
        <v>1</v>
      </c>
      <c r="CU157">
        <v>0</v>
      </c>
      <c r="CV157">
        <v>1</v>
      </c>
      <c r="CW157">
        <v>0</v>
      </c>
      <c r="CX157">
        <v>0</v>
      </c>
      <c r="CY157">
        <v>0</v>
      </c>
      <c r="CZ157">
        <v>0</v>
      </c>
    </row>
    <row r="158" spans="1:104" x14ac:dyDescent="0.25">
      <c r="A158" s="1" t="s">
        <v>1139</v>
      </c>
      <c r="B158">
        <v>754</v>
      </c>
      <c r="C158">
        <v>2233</v>
      </c>
      <c r="D158" s="2">
        <v>44081</v>
      </c>
      <c r="E158" s="3">
        <f t="shared" si="6"/>
        <v>2020</v>
      </c>
      <c r="F158" s="3">
        <f t="shared" si="7"/>
        <v>9</v>
      </c>
      <c r="G158" s="3">
        <f t="shared" si="8"/>
        <v>2</v>
      </c>
      <c r="H158" t="s">
        <v>1140</v>
      </c>
      <c r="I158">
        <v>2261</v>
      </c>
      <c r="J158" t="s">
        <v>1141</v>
      </c>
      <c r="K158" t="s">
        <v>264</v>
      </c>
      <c r="L158">
        <v>2020</v>
      </c>
      <c r="M158" t="s">
        <v>1142</v>
      </c>
      <c r="N158" t="s">
        <v>1140</v>
      </c>
      <c r="O158" t="s">
        <v>1143</v>
      </c>
      <c r="P158">
        <v>18017</v>
      </c>
      <c r="Q158" t="s">
        <v>264</v>
      </c>
      <c r="R158">
        <v>1915</v>
      </c>
      <c r="S158" t="s">
        <v>1144</v>
      </c>
      <c r="T158" t="s">
        <v>1143</v>
      </c>
      <c r="U158">
        <v>42623</v>
      </c>
      <c r="V158" t="s">
        <v>264</v>
      </c>
      <c r="W158">
        <v>1915</v>
      </c>
      <c r="X158" t="s">
        <v>109</v>
      </c>
      <c r="Z158">
        <v>-3.5</v>
      </c>
      <c r="AA158">
        <v>-3.5</v>
      </c>
      <c r="AB158">
        <v>45</v>
      </c>
      <c r="AC158">
        <v>45</v>
      </c>
      <c r="AD158">
        <v>10</v>
      </c>
      <c r="AE158">
        <v>60</v>
      </c>
      <c r="AF158">
        <v>40</v>
      </c>
      <c r="AG158">
        <v>63</v>
      </c>
      <c r="AH158">
        <v>37</v>
      </c>
      <c r="AI158">
        <v>67</v>
      </c>
      <c r="AJ158">
        <v>33</v>
      </c>
      <c r="AK158">
        <v>47</v>
      </c>
      <c r="AL158">
        <v>53</v>
      </c>
      <c r="AM158">
        <v>93</v>
      </c>
      <c r="AN158">
        <v>7</v>
      </c>
      <c r="AO158">
        <v>61</v>
      </c>
      <c r="AP158">
        <v>39</v>
      </c>
      <c r="AQ158">
        <v>100</v>
      </c>
      <c r="AR158">
        <v>100</v>
      </c>
      <c r="AS158">
        <v>88</v>
      </c>
      <c r="AT158">
        <v>67</v>
      </c>
      <c r="AU158">
        <v>81</v>
      </c>
      <c r="AV158">
        <v>75</v>
      </c>
      <c r="AW158">
        <v>22</v>
      </c>
      <c r="AX158">
        <v>4.4000000000000004</v>
      </c>
      <c r="AY158">
        <v>2</v>
      </c>
      <c r="AZ158">
        <v>0.4</v>
      </c>
      <c r="BA158">
        <v>8</v>
      </c>
      <c r="BB158">
        <v>7</v>
      </c>
      <c r="BC158">
        <v>6</v>
      </c>
      <c r="BD158">
        <v>7</v>
      </c>
      <c r="BE158">
        <v>2</v>
      </c>
      <c r="BF158">
        <v>0</v>
      </c>
      <c r="BG158">
        <v>0</v>
      </c>
      <c r="BH158">
        <v>0</v>
      </c>
      <c r="BI158">
        <v>26</v>
      </c>
      <c r="BJ158">
        <v>25</v>
      </c>
      <c r="BK158">
        <v>7</v>
      </c>
      <c r="BL158">
        <v>5</v>
      </c>
      <c r="BM158">
        <v>3.3</v>
      </c>
      <c r="BN158">
        <v>3.6</v>
      </c>
      <c r="BO158">
        <v>0.9</v>
      </c>
      <c r="BP158">
        <v>0.7</v>
      </c>
      <c r="BQ158">
        <v>7</v>
      </c>
      <c r="BR158">
        <v>5</v>
      </c>
      <c r="BS158">
        <v>3</v>
      </c>
      <c r="BT158">
        <v>2</v>
      </c>
      <c r="BU158">
        <v>4</v>
      </c>
      <c r="BV158">
        <v>1</v>
      </c>
      <c r="BW158">
        <v>0</v>
      </c>
      <c r="BX158">
        <v>2</v>
      </c>
      <c r="BY158">
        <v>13</v>
      </c>
      <c r="BZ158">
        <v>2.6</v>
      </c>
      <c r="CA158">
        <v>4</v>
      </c>
      <c r="CB158">
        <v>0.8</v>
      </c>
      <c r="CC158">
        <v>7</v>
      </c>
      <c r="CD158">
        <v>8</v>
      </c>
      <c r="CE158">
        <v>6</v>
      </c>
      <c r="CF158">
        <v>5</v>
      </c>
      <c r="CG158">
        <v>0</v>
      </c>
      <c r="CH158">
        <v>2</v>
      </c>
      <c r="CI158">
        <v>1</v>
      </c>
      <c r="CJ158">
        <v>1</v>
      </c>
      <c r="CK158">
        <v>25</v>
      </c>
      <c r="CL158">
        <v>23</v>
      </c>
      <c r="CM158">
        <v>8</v>
      </c>
      <c r="CN158">
        <v>6</v>
      </c>
      <c r="CO158">
        <v>3.6</v>
      </c>
      <c r="CP158">
        <v>2.9</v>
      </c>
      <c r="CQ158">
        <v>1.1000000000000001</v>
      </c>
      <c r="CR158">
        <v>0.8</v>
      </c>
      <c r="CS158">
        <v>5</v>
      </c>
      <c r="CT158">
        <v>7</v>
      </c>
      <c r="CU158">
        <v>2</v>
      </c>
      <c r="CV158">
        <v>0</v>
      </c>
      <c r="CW158">
        <v>1</v>
      </c>
      <c r="CX158">
        <v>4</v>
      </c>
      <c r="CY158">
        <v>2</v>
      </c>
      <c r="CZ158">
        <v>3</v>
      </c>
    </row>
    <row r="159" spans="1:104" x14ac:dyDescent="0.25">
      <c r="A159" s="1" t="s">
        <v>1145</v>
      </c>
      <c r="B159">
        <v>8307</v>
      </c>
      <c r="C159">
        <v>8314</v>
      </c>
      <c r="D159" s="2">
        <v>43728</v>
      </c>
      <c r="E159" s="3">
        <f t="shared" si="6"/>
        <v>2019</v>
      </c>
      <c r="F159" s="3">
        <f t="shared" si="7"/>
        <v>9</v>
      </c>
      <c r="G159" s="3">
        <f t="shared" si="8"/>
        <v>6</v>
      </c>
      <c r="H159" t="s">
        <v>1146</v>
      </c>
      <c r="I159">
        <v>1091</v>
      </c>
      <c r="J159" t="s">
        <v>1147</v>
      </c>
      <c r="K159" t="s">
        <v>547</v>
      </c>
      <c r="L159">
        <v>2019</v>
      </c>
      <c r="M159" t="s">
        <v>1148</v>
      </c>
      <c r="N159" t="s">
        <v>1146</v>
      </c>
      <c r="O159" t="s">
        <v>1149</v>
      </c>
      <c r="P159">
        <v>1000</v>
      </c>
      <c r="Q159" t="s">
        <v>547</v>
      </c>
      <c r="S159" t="s">
        <v>1150</v>
      </c>
      <c r="T159" t="s">
        <v>1151</v>
      </c>
      <c r="U159">
        <v>1250</v>
      </c>
      <c r="V159" t="s">
        <v>547</v>
      </c>
      <c r="W159">
        <v>1922</v>
      </c>
      <c r="X159" t="s">
        <v>125</v>
      </c>
      <c r="Z159">
        <v>-2.5</v>
      </c>
      <c r="AA159">
        <v>-2.5</v>
      </c>
      <c r="AB159">
        <v>10</v>
      </c>
      <c r="AC159">
        <v>45</v>
      </c>
      <c r="AD159">
        <v>45</v>
      </c>
      <c r="AE159">
        <v>43</v>
      </c>
      <c r="AF159">
        <v>57</v>
      </c>
      <c r="AG159">
        <v>35</v>
      </c>
      <c r="AH159">
        <v>65</v>
      </c>
      <c r="AI159">
        <v>36</v>
      </c>
      <c r="AJ159">
        <v>64</v>
      </c>
      <c r="AK159">
        <v>65</v>
      </c>
      <c r="AL159">
        <v>35</v>
      </c>
      <c r="AM159">
        <v>0</v>
      </c>
      <c r="AN159">
        <v>0</v>
      </c>
      <c r="AO159">
        <v>0</v>
      </c>
      <c r="AP159">
        <v>0</v>
      </c>
      <c r="AQ159">
        <v>67</v>
      </c>
      <c r="AR159">
        <v>47</v>
      </c>
      <c r="AS159">
        <v>59</v>
      </c>
      <c r="AT159">
        <v>87</v>
      </c>
      <c r="AU159">
        <v>88</v>
      </c>
      <c r="AV159">
        <v>76</v>
      </c>
      <c r="AW159">
        <v>8</v>
      </c>
      <c r="AX159">
        <v>1.6</v>
      </c>
      <c r="AY159">
        <v>7</v>
      </c>
      <c r="AZ159">
        <v>1.4</v>
      </c>
      <c r="BA159">
        <v>4</v>
      </c>
      <c r="BB159">
        <v>3</v>
      </c>
      <c r="BC159">
        <v>3</v>
      </c>
      <c r="BD159">
        <v>2</v>
      </c>
      <c r="BE159">
        <v>1</v>
      </c>
      <c r="BF159">
        <v>0</v>
      </c>
      <c r="BG159">
        <v>0</v>
      </c>
      <c r="BH159">
        <v>1</v>
      </c>
      <c r="BI159">
        <v>12</v>
      </c>
      <c r="BJ159">
        <v>5</v>
      </c>
      <c r="BK159">
        <v>4</v>
      </c>
      <c r="BL159">
        <v>7</v>
      </c>
      <c r="BM159">
        <v>3</v>
      </c>
      <c r="BN159">
        <v>1.7</v>
      </c>
      <c r="BO159">
        <v>1</v>
      </c>
      <c r="BP159">
        <v>2.2999999999999998</v>
      </c>
      <c r="BQ159">
        <v>1</v>
      </c>
      <c r="BR159">
        <v>0</v>
      </c>
      <c r="BS159">
        <v>0</v>
      </c>
      <c r="BT159">
        <v>0</v>
      </c>
      <c r="BU159">
        <v>1</v>
      </c>
      <c r="BV159">
        <v>0</v>
      </c>
      <c r="BW159">
        <v>0</v>
      </c>
      <c r="BX159">
        <v>0</v>
      </c>
      <c r="BY159">
        <v>15</v>
      </c>
      <c r="BZ159">
        <v>3</v>
      </c>
      <c r="CA159">
        <v>4</v>
      </c>
      <c r="CB159">
        <v>0.8</v>
      </c>
      <c r="CC159">
        <v>4</v>
      </c>
      <c r="CD159">
        <v>3</v>
      </c>
      <c r="CE159">
        <v>4</v>
      </c>
      <c r="CF159">
        <v>1</v>
      </c>
      <c r="CG159">
        <v>0</v>
      </c>
      <c r="CH159">
        <v>1</v>
      </c>
      <c r="CI159">
        <v>0</v>
      </c>
      <c r="CJ159">
        <v>1</v>
      </c>
      <c r="CK159">
        <v>15</v>
      </c>
      <c r="CL159">
        <v>4</v>
      </c>
      <c r="CM159">
        <v>2</v>
      </c>
      <c r="CN159">
        <v>4</v>
      </c>
      <c r="CO159">
        <v>3.8</v>
      </c>
      <c r="CP159">
        <v>1.3</v>
      </c>
      <c r="CQ159">
        <v>0.5</v>
      </c>
      <c r="CR159">
        <v>1.3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1</v>
      </c>
      <c r="CY159">
        <v>0</v>
      </c>
      <c r="CZ159">
        <v>0</v>
      </c>
    </row>
    <row r="160" spans="1:104" x14ac:dyDescent="0.25">
      <c r="A160" s="1" t="s">
        <v>1152</v>
      </c>
      <c r="B160">
        <v>234</v>
      </c>
      <c r="C160">
        <v>217</v>
      </c>
      <c r="D160" s="2">
        <v>44022</v>
      </c>
      <c r="E160" s="3">
        <f t="shared" si="6"/>
        <v>2020</v>
      </c>
      <c r="F160" s="3">
        <f t="shared" si="7"/>
        <v>7</v>
      </c>
      <c r="G160" s="3">
        <f t="shared" si="8"/>
        <v>6</v>
      </c>
      <c r="H160" t="s">
        <v>1153</v>
      </c>
      <c r="I160">
        <v>766</v>
      </c>
      <c r="J160" t="s">
        <v>1154</v>
      </c>
      <c r="K160" t="s">
        <v>140</v>
      </c>
      <c r="L160">
        <v>2019</v>
      </c>
      <c r="M160" t="s">
        <v>742</v>
      </c>
      <c r="N160" t="s">
        <v>1153</v>
      </c>
      <c r="O160" t="s">
        <v>1155</v>
      </c>
      <c r="P160">
        <v>9146</v>
      </c>
      <c r="Q160" t="s">
        <v>140</v>
      </c>
      <c r="R160">
        <v>1950</v>
      </c>
      <c r="S160" t="s">
        <v>1156</v>
      </c>
      <c r="T160" t="s">
        <v>1157</v>
      </c>
      <c r="U160">
        <v>30286</v>
      </c>
      <c r="V160" t="s">
        <v>140</v>
      </c>
      <c r="W160">
        <v>1921</v>
      </c>
      <c r="X160" t="s">
        <v>125</v>
      </c>
      <c r="Z160">
        <v>-2.5</v>
      </c>
      <c r="AA160">
        <v>-2.5</v>
      </c>
      <c r="AB160">
        <v>10</v>
      </c>
      <c r="AC160">
        <v>45</v>
      </c>
      <c r="AD160">
        <v>45</v>
      </c>
      <c r="AE160">
        <v>56</v>
      </c>
      <c r="AF160">
        <v>44</v>
      </c>
      <c r="AG160">
        <v>44</v>
      </c>
      <c r="AH160">
        <v>56</v>
      </c>
      <c r="AI160">
        <v>54</v>
      </c>
      <c r="AJ160">
        <v>46</v>
      </c>
      <c r="AK160">
        <v>33</v>
      </c>
      <c r="AL160">
        <v>67</v>
      </c>
      <c r="AM160">
        <v>40</v>
      </c>
      <c r="AN160">
        <v>60</v>
      </c>
      <c r="AO160">
        <v>32</v>
      </c>
      <c r="AP160">
        <v>68</v>
      </c>
      <c r="AQ160">
        <v>60</v>
      </c>
      <c r="AR160">
        <v>62</v>
      </c>
      <c r="AS160">
        <v>54</v>
      </c>
      <c r="AT160">
        <v>47</v>
      </c>
      <c r="AU160">
        <v>77</v>
      </c>
      <c r="AV160">
        <v>46</v>
      </c>
      <c r="AW160">
        <v>8</v>
      </c>
      <c r="AX160">
        <v>1.6</v>
      </c>
      <c r="AY160">
        <v>6</v>
      </c>
      <c r="AZ160">
        <v>1.2</v>
      </c>
      <c r="BA160">
        <v>15</v>
      </c>
      <c r="BB160">
        <v>15</v>
      </c>
      <c r="BC160">
        <v>5</v>
      </c>
      <c r="BD160">
        <v>5</v>
      </c>
      <c r="BE160">
        <v>2</v>
      </c>
      <c r="BF160">
        <v>2</v>
      </c>
      <c r="BG160">
        <v>8</v>
      </c>
      <c r="BH160">
        <v>8</v>
      </c>
      <c r="BI160">
        <v>12</v>
      </c>
      <c r="BJ160">
        <v>17</v>
      </c>
      <c r="BK160">
        <v>16</v>
      </c>
      <c r="BL160">
        <v>26</v>
      </c>
      <c r="BM160">
        <v>0.8</v>
      </c>
      <c r="BN160">
        <v>1.1000000000000001</v>
      </c>
      <c r="BO160">
        <v>1.1000000000000001</v>
      </c>
      <c r="BP160">
        <v>1.7</v>
      </c>
      <c r="BQ160">
        <v>10</v>
      </c>
      <c r="BR160">
        <v>9</v>
      </c>
      <c r="BS160">
        <v>3</v>
      </c>
      <c r="BT160">
        <v>3</v>
      </c>
      <c r="BU160">
        <v>3</v>
      </c>
      <c r="BV160">
        <v>2</v>
      </c>
      <c r="BW160">
        <v>4</v>
      </c>
      <c r="BX160">
        <v>4</v>
      </c>
      <c r="BY160">
        <v>10</v>
      </c>
      <c r="BZ160">
        <v>2</v>
      </c>
      <c r="CA160">
        <v>7</v>
      </c>
      <c r="CB160">
        <v>1.4</v>
      </c>
      <c r="CC160">
        <v>15</v>
      </c>
      <c r="CD160">
        <v>15</v>
      </c>
      <c r="CE160">
        <v>9</v>
      </c>
      <c r="CF160">
        <v>7</v>
      </c>
      <c r="CG160">
        <v>3</v>
      </c>
      <c r="CH160">
        <v>2</v>
      </c>
      <c r="CI160">
        <v>3</v>
      </c>
      <c r="CJ160">
        <v>6</v>
      </c>
      <c r="CK160">
        <v>29</v>
      </c>
      <c r="CL160">
        <v>24</v>
      </c>
      <c r="CM160">
        <v>18</v>
      </c>
      <c r="CN160">
        <v>18</v>
      </c>
      <c r="CO160">
        <v>1.9</v>
      </c>
      <c r="CP160">
        <v>1.6</v>
      </c>
      <c r="CQ160">
        <v>1.2</v>
      </c>
      <c r="CR160">
        <v>1.2</v>
      </c>
      <c r="CS160">
        <v>9</v>
      </c>
      <c r="CT160">
        <v>10</v>
      </c>
      <c r="CU160">
        <v>4</v>
      </c>
      <c r="CV160">
        <v>4</v>
      </c>
      <c r="CW160">
        <v>2</v>
      </c>
      <c r="CX160">
        <v>3</v>
      </c>
      <c r="CY160">
        <v>3</v>
      </c>
      <c r="CZ160">
        <v>3</v>
      </c>
    </row>
    <row r="161" spans="1:104" x14ac:dyDescent="0.25">
      <c r="A161" s="1" t="s">
        <v>1158</v>
      </c>
      <c r="B161">
        <v>12619</v>
      </c>
      <c r="C161">
        <v>12617</v>
      </c>
      <c r="D161" s="2">
        <v>43701</v>
      </c>
      <c r="E161" s="3">
        <f t="shared" si="6"/>
        <v>2019</v>
      </c>
      <c r="F161" s="3">
        <f t="shared" si="7"/>
        <v>8</v>
      </c>
      <c r="G161" s="3">
        <f t="shared" si="8"/>
        <v>7</v>
      </c>
      <c r="H161" t="s">
        <v>1159</v>
      </c>
      <c r="I161">
        <v>2233</v>
      </c>
      <c r="J161" t="s">
        <v>1160</v>
      </c>
      <c r="K161" t="s">
        <v>104</v>
      </c>
      <c r="L161">
        <v>2019</v>
      </c>
      <c r="M161" t="s">
        <v>233</v>
      </c>
      <c r="N161" t="s">
        <v>1159</v>
      </c>
      <c r="O161" t="s">
        <v>1161</v>
      </c>
      <c r="P161">
        <v>1000</v>
      </c>
      <c r="Q161" t="s">
        <v>104</v>
      </c>
      <c r="R161">
        <v>2009</v>
      </c>
      <c r="V161" t="s">
        <v>104</v>
      </c>
      <c r="X161" t="s">
        <v>109</v>
      </c>
      <c r="Z161">
        <v>-3.5</v>
      </c>
      <c r="AA161">
        <v>-2.5</v>
      </c>
      <c r="AB161">
        <v>45</v>
      </c>
      <c r="AC161">
        <v>45</v>
      </c>
      <c r="AD161">
        <v>10</v>
      </c>
      <c r="AE161">
        <v>62</v>
      </c>
      <c r="AF161">
        <v>38</v>
      </c>
      <c r="AG161">
        <v>61</v>
      </c>
      <c r="AH161">
        <v>39</v>
      </c>
      <c r="AI161">
        <v>50</v>
      </c>
      <c r="AJ161">
        <v>50</v>
      </c>
      <c r="AK161">
        <v>49</v>
      </c>
      <c r="AL161">
        <v>51</v>
      </c>
      <c r="AM161">
        <v>50</v>
      </c>
      <c r="AN161">
        <v>50</v>
      </c>
      <c r="AO161">
        <v>50</v>
      </c>
      <c r="AP161">
        <v>50</v>
      </c>
      <c r="AQ161">
        <v>53</v>
      </c>
      <c r="AR161">
        <v>38</v>
      </c>
      <c r="AS161">
        <v>69</v>
      </c>
      <c r="AT161">
        <v>33</v>
      </c>
      <c r="AU161">
        <v>24</v>
      </c>
      <c r="AV161">
        <v>69</v>
      </c>
      <c r="AW161">
        <v>11</v>
      </c>
      <c r="AX161">
        <v>2.2000000000000002</v>
      </c>
      <c r="AY161">
        <v>9</v>
      </c>
      <c r="AZ161">
        <v>1.8</v>
      </c>
      <c r="BA161">
        <v>8</v>
      </c>
      <c r="BB161">
        <v>10</v>
      </c>
      <c r="BC161">
        <v>5</v>
      </c>
      <c r="BD161">
        <v>3</v>
      </c>
      <c r="BE161">
        <v>1</v>
      </c>
      <c r="BF161">
        <v>3</v>
      </c>
      <c r="BG161">
        <v>2</v>
      </c>
      <c r="BH161">
        <v>4</v>
      </c>
      <c r="BI161">
        <v>16</v>
      </c>
      <c r="BJ161">
        <v>15</v>
      </c>
      <c r="BK161">
        <v>13</v>
      </c>
      <c r="BL161">
        <v>17</v>
      </c>
      <c r="BM161">
        <v>2</v>
      </c>
      <c r="BN161">
        <v>1.5</v>
      </c>
      <c r="BO161">
        <v>1.6</v>
      </c>
      <c r="BP161">
        <v>1.7</v>
      </c>
      <c r="BQ161">
        <v>3</v>
      </c>
      <c r="BR161">
        <v>3</v>
      </c>
      <c r="BS161">
        <v>0</v>
      </c>
      <c r="BT161">
        <v>2</v>
      </c>
      <c r="BU161">
        <v>1</v>
      </c>
      <c r="BV161">
        <v>0</v>
      </c>
      <c r="BW161">
        <v>2</v>
      </c>
      <c r="BX161">
        <v>1</v>
      </c>
      <c r="BY161">
        <v>7</v>
      </c>
      <c r="BZ161">
        <v>1.4</v>
      </c>
      <c r="CA161">
        <v>9</v>
      </c>
      <c r="CB161">
        <v>1.8</v>
      </c>
      <c r="CC161">
        <v>9</v>
      </c>
      <c r="CD161">
        <v>9</v>
      </c>
      <c r="CE161">
        <v>3</v>
      </c>
      <c r="CF161">
        <v>5</v>
      </c>
      <c r="CG161">
        <v>3</v>
      </c>
      <c r="CH161">
        <v>0</v>
      </c>
      <c r="CI161">
        <v>3</v>
      </c>
      <c r="CJ161">
        <v>4</v>
      </c>
      <c r="CK161">
        <v>13</v>
      </c>
      <c r="CL161">
        <v>15</v>
      </c>
      <c r="CM161">
        <v>12</v>
      </c>
      <c r="CN161">
        <v>13</v>
      </c>
      <c r="CO161">
        <v>1.4</v>
      </c>
      <c r="CP161">
        <v>1.7</v>
      </c>
      <c r="CQ161">
        <v>1.3</v>
      </c>
      <c r="CR161">
        <v>1.4</v>
      </c>
      <c r="CS161">
        <v>3</v>
      </c>
      <c r="CT161">
        <v>3</v>
      </c>
      <c r="CU161">
        <v>1</v>
      </c>
      <c r="CV161">
        <v>2</v>
      </c>
      <c r="CW161">
        <v>0</v>
      </c>
      <c r="CX161">
        <v>1</v>
      </c>
      <c r="CY161">
        <v>2</v>
      </c>
      <c r="CZ161">
        <v>0</v>
      </c>
    </row>
    <row r="162" spans="1:104" x14ac:dyDescent="0.25">
      <c r="A162" s="1" t="s">
        <v>1162</v>
      </c>
      <c r="B162">
        <v>2003</v>
      </c>
      <c r="C162">
        <v>1997</v>
      </c>
      <c r="D162" s="2">
        <v>43772</v>
      </c>
      <c r="E162" s="3">
        <f t="shared" si="6"/>
        <v>2019</v>
      </c>
      <c r="F162" s="3">
        <f t="shared" si="7"/>
        <v>11</v>
      </c>
      <c r="G162" s="3">
        <f t="shared" si="8"/>
        <v>1</v>
      </c>
      <c r="H162" t="s">
        <v>1163</v>
      </c>
      <c r="I162">
        <v>516</v>
      </c>
      <c r="J162" t="s">
        <v>278</v>
      </c>
      <c r="K162" t="s">
        <v>279</v>
      </c>
      <c r="L162">
        <v>2019</v>
      </c>
      <c r="M162" t="s">
        <v>354</v>
      </c>
      <c r="N162" t="s">
        <v>1163</v>
      </c>
      <c r="O162" t="s">
        <v>471</v>
      </c>
      <c r="P162">
        <v>4000</v>
      </c>
      <c r="Q162" t="s">
        <v>279</v>
      </c>
      <c r="S162" t="s">
        <v>1164</v>
      </c>
      <c r="T162" t="s">
        <v>1165</v>
      </c>
      <c r="U162">
        <v>44442</v>
      </c>
      <c r="V162" t="s">
        <v>279</v>
      </c>
      <c r="W162">
        <v>1961</v>
      </c>
      <c r="X162">
        <v>1</v>
      </c>
      <c r="Z162">
        <v>-3.5</v>
      </c>
      <c r="AA162">
        <v>-1.5</v>
      </c>
      <c r="AB162">
        <v>45</v>
      </c>
      <c r="AC162">
        <v>45</v>
      </c>
      <c r="AD162">
        <v>10</v>
      </c>
      <c r="AE162">
        <v>80</v>
      </c>
      <c r="AF162">
        <v>20</v>
      </c>
      <c r="AG162">
        <v>92</v>
      </c>
      <c r="AH162">
        <v>8</v>
      </c>
      <c r="AI162">
        <v>48</v>
      </c>
      <c r="AJ162">
        <v>52</v>
      </c>
      <c r="AK162">
        <v>66</v>
      </c>
      <c r="AL162">
        <v>34</v>
      </c>
      <c r="AM162">
        <v>80</v>
      </c>
      <c r="AN162">
        <v>20</v>
      </c>
      <c r="AO162">
        <v>85</v>
      </c>
      <c r="AP162">
        <v>15</v>
      </c>
      <c r="AQ162">
        <v>27</v>
      </c>
      <c r="AR162">
        <v>100</v>
      </c>
      <c r="AS162">
        <v>0</v>
      </c>
      <c r="AT162">
        <v>7</v>
      </c>
      <c r="AU162">
        <v>9</v>
      </c>
      <c r="AV162">
        <v>0</v>
      </c>
      <c r="AW162">
        <v>12</v>
      </c>
      <c r="AX162">
        <v>2.4</v>
      </c>
      <c r="AY162">
        <v>12</v>
      </c>
      <c r="AZ162">
        <v>2.4</v>
      </c>
      <c r="BA162">
        <v>9</v>
      </c>
      <c r="BB162">
        <v>11</v>
      </c>
      <c r="BC162">
        <v>3</v>
      </c>
      <c r="BD162">
        <v>2</v>
      </c>
      <c r="BE162">
        <v>1</v>
      </c>
      <c r="BF162">
        <v>4</v>
      </c>
      <c r="BG162">
        <v>5</v>
      </c>
      <c r="BH162">
        <v>5</v>
      </c>
      <c r="BI162">
        <v>16</v>
      </c>
      <c r="BJ162">
        <v>15</v>
      </c>
      <c r="BK162">
        <v>16</v>
      </c>
      <c r="BL162">
        <v>19</v>
      </c>
      <c r="BM162">
        <v>1.8</v>
      </c>
      <c r="BN162">
        <v>1.4</v>
      </c>
      <c r="BO162">
        <v>1.8</v>
      </c>
      <c r="BP162">
        <v>1.7</v>
      </c>
      <c r="BQ162">
        <v>3</v>
      </c>
      <c r="BR162">
        <v>3</v>
      </c>
      <c r="BS162">
        <v>3</v>
      </c>
      <c r="BT162">
        <v>2</v>
      </c>
      <c r="BU162">
        <v>0</v>
      </c>
      <c r="BV162">
        <v>0</v>
      </c>
      <c r="BW162">
        <v>0</v>
      </c>
      <c r="BX162">
        <v>1</v>
      </c>
      <c r="BY162">
        <v>1</v>
      </c>
      <c r="BZ162">
        <v>0.2</v>
      </c>
      <c r="CA162">
        <v>11</v>
      </c>
      <c r="CB162">
        <v>2.2000000000000002</v>
      </c>
      <c r="CC162">
        <v>11</v>
      </c>
      <c r="CD162">
        <v>9</v>
      </c>
      <c r="CE162">
        <v>2</v>
      </c>
      <c r="CF162">
        <v>1</v>
      </c>
      <c r="CG162">
        <v>2</v>
      </c>
      <c r="CH162">
        <v>3</v>
      </c>
      <c r="CI162">
        <v>7</v>
      </c>
      <c r="CJ162">
        <v>5</v>
      </c>
      <c r="CK162">
        <v>6</v>
      </c>
      <c r="CL162">
        <v>8</v>
      </c>
      <c r="CM162">
        <v>15</v>
      </c>
      <c r="CN162">
        <v>16</v>
      </c>
      <c r="CO162">
        <v>0.5</v>
      </c>
      <c r="CP162">
        <v>0.9</v>
      </c>
      <c r="CQ162">
        <v>1.4</v>
      </c>
      <c r="CR162">
        <v>1.8</v>
      </c>
      <c r="CS162">
        <v>3</v>
      </c>
      <c r="CT162">
        <v>3</v>
      </c>
      <c r="CU162">
        <v>1</v>
      </c>
      <c r="CV162">
        <v>0</v>
      </c>
      <c r="CW162">
        <v>0</v>
      </c>
      <c r="CX162">
        <v>0</v>
      </c>
      <c r="CY162">
        <v>2</v>
      </c>
      <c r="CZ162">
        <v>3</v>
      </c>
    </row>
    <row r="163" spans="1:104" x14ac:dyDescent="0.25">
      <c r="A163" s="1" t="s">
        <v>1166</v>
      </c>
      <c r="B163">
        <v>12487</v>
      </c>
      <c r="C163">
        <v>12489</v>
      </c>
      <c r="D163" s="2">
        <v>43734</v>
      </c>
      <c r="E163" s="3">
        <f t="shared" si="6"/>
        <v>2019</v>
      </c>
      <c r="F163" s="3">
        <f t="shared" si="7"/>
        <v>9</v>
      </c>
      <c r="G163" s="3">
        <f t="shared" si="8"/>
        <v>5</v>
      </c>
      <c r="H163" t="s">
        <v>1167</v>
      </c>
      <c r="I163">
        <v>2173</v>
      </c>
      <c r="J163" t="s">
        <v>1168</v>
      </c>
      <c r="K163" t="s">
        <v>1169</v>
      </c>
      <c r="L163">
        <v>2019</v>
      </c>
      <c r="M163" t="s">
        <v>1170</v>
      </c>
      <c r="N163" t="s">
        <v>1171</v>
      </c>
      <c r="O163" t="s">
        <v>1172</v>
      </c>
      <c r="P163">
        <v>8000</v>
      </c>
      <c r="Q163" t="s">
        <v>1169</v>
      </c>
      <c r="R163">
        <v>1976</v>
      </c>
      <c r="S163" t="s">
        <v>1173</v>
      </c>
      <c r="T163" t="s">
        <v>1174</v>
      </c>
      <c r="U163">
        <v>4000</v>
      </c>
      <c r="V163" t="s">
        <v>1169</v>
      </c>
      <c r="X163" t="s">
        <v>109</v>
      </c>
      <c r="AB163">
        <v>50</v>
      </c>
      <c r="AC163">
        <v>50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71</v>
      </c>
      <c r="AN163">
        <v>29</v>
      </c>
      <c r="AO163">
        <v>65</v>
      </c>
      <c r="AP163">
        <v>35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5</v>
      </c>
      <c r="BR163">
        <v>5</v>
      </c>
      <c r="BS163">
        <v>2</v>
      </c>
      <c r="BT163">
        <v>1</v>
      </c>
      <c r="BU163">
        <v>3</v>
      </c>
      <c r="BV163">
        <v>0</v>
      </c>
      <c r="BW163">
        <v>0</v>
      </c>
      <c r="BX163">
        <v>4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5</v>
      </c>
      <c r="CT163">
        <v>5</v>
      </c>
      <c r="CU163">
        <v>4</v>
      </c>
      <c r="CV163">
        <v>0</v>
      </c>
      <c r="CW163">
        <v>0</v>
      </c>
      <c r="CX163">
        <v>3</v>
      </c>
      <c r="CY163">
        <v>1</v>
      </c>
      <c r="CZ163">
        <v>2</v>
      </c>
    </row>
    <row r="164" spans="1:104" x14ac:dyDescent="0.25">
      <c r="A164" s="1" t="s">
        <v>1175</v>
      </c>
      <c r="B164">
        <v>1649</v>
      </c>
      <c r="C164">
        <v>9340</v>
      </c>
      <c r="D164" s="2">
        <v>43700</v>
      </c>
      <c r="E164" s="3">
        <f t="shared" si="6"/>
        <v>2019</v>
      </c>
      <c r="F164" s="3">
        <f t="shared" si="7"/>
        <v>8</v>
      </c>
      <c r="G164" s="3">
        <f t="shared" si="8"/>
        <v>6</v>
      </c>
      <c r="H164" t="s">
        <v>1176</v>
      </c>
      <c r="I164">
        <v>1241</v>
      </c>
      <c r="J164" t="s">
        <v>557</v>
      </c>
      <c r="K164" t="s">
        <v>558</v>
      </c>
      <c r="L164">
        <v>2019</v>
      </c>
      <c r="M164" t="s">
        <v>559</v>
      </c>
      <c r="N164" t="s">
        <v>1176</v>
      </c>
      <c r="O164" t="s">
        <v>1177</v>
      </c>
      <c r="P164">
        <v>4000</v>
      </c>
      <c r="Q164" t="s">
        <v>558</v>
      </c>
      <c r="R164">
        <v>1930</v>
      </c>
      <c r="S164" t="s">
        <v>1178</v>
      </c>
      <c r="T164" t="s">
        <v>1179</v>
      </c>
      <c r="U164">
        <v>2018</v>
      </c>
      <c r="V164" t="s">
        <v>558</v>
      </c>
      <c r="W164">
        <v>1887</v>
      </c>
      <c r="X164">
        <v>2</v>
      </c>
      <c r="Y164">
        <v>1.5</v>
      </c>
      <c r="Z164">
        <v>-1.5</v>
      </c>
      <c r="AA164">
        <v>-5.5</v>
      </c>
      <c r="AB164">
        <v>10</v>
      </c>
      <c r="AC164">
        <v>45</v>
      </c>
      <c r="AD164">
        <v>45</v>
      </c>
      <c r="AE164">
        <v>53</v>
      </c>
      <c r="AF164">
        <v>47</v>
      </c>
      <c r="AG164">
        <v>29</v>
      </c>
      <c r="AH164">
        <v>71</v>
      </c>
      <c r="AI164">
        <v>50</v>
      </c>
      <c r="AJ164">
        <v>50</v>
      </c>
      <c r="AK164">
        <v>14</v>
      </c>
      <c r="AL164">
        <v>86</v>
      </c>
      <c r="AM164">
        <v>0</v>
      </c>
      <c r="AN164">
        <v>0</v>
      </c>
      <c r="AO164">
        <v>0</v>
      </c>
      <c r="AP164">
        <v>0</v>
      </c>
      <c r="AQ164">
        <v>60</v>
      </c>
      <c r="AR164">
        <v>38</v>
      </c>
      <c r="AS164">
        <v>69</v>
      </c>
      <c r="AT164">
        <v>67</v>
      </c>
      <c r="AU164">
        <v>94</v>
      </c>
      <c r="AV164">
        <v>69</v>
      </c>
      <c r="AW164">
        <v>6</v>
      </c>
      <c r="AX164">
        <v>1.2</v>
      </c>
      <c r="AY164">
        <v>5</v>
      </c>
      <c r="AZ164">
        <v>1</v>
      </c>
      <c r="BA164">
        <v>2</v>
      </c>
      <c r="BB164">
        <v>3</v>
      </c>
      <c r="BC164">
        <v>0</v>
      </c>
      <c r="BD164">
        <v>3</v>
      </c>
      <c r="BE164">
        <v>0</v>
      </c>
      <c r="BF164">
        <v>0</v>
      </c>
      <c r="BG164">
        <v>2</v>
      </c>
      <c r="BH164">
        <v>0</v>
      </c>
      <c r="BI164">
        <v>1</v>
      </c>
      <c r="BJ164">
        <v>5</v>
      </c>
      <c r="BK164">
        <v>4</v>
      </c>
      <c r="BL164">
        <v>1</v>
      </c>
      <c r="BM164">
        <v>0.5</v>
      </c>
      <c r="BN164">
        <v>1.7</v>
      </c>
      <c r="BO164">
        <v>2</v>
      </c>
      <c r="BP164">
        <v>0.3</v>
      </c>
      <c r="BQ164">
        <v>1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15</v>
      </c>
      <c r="BZ164">
        <v>3.8</v>
      </c>
      <c r="CA164">
        <v>5</v>
      </c>
      <c r="CB164">
        <v>1.3</v>
      </c>
      <c r="CC164">
        <v>3</v>
      </c>
      <c r="CD164">
        <v>1</v>
      </c>
      <c r="CE164">
        <v>2</v>
      </c>
      <c r="CF164">
        <v>0</v>
      </c>
      <c r="CG164">
        <v>1</v>
      </c>
      <c r="CH164">
        <v>1</v>
      </c>
      <c r="CI164">
        <v>0</v>
      </c>
      <c r="CJ164">
        <v>0</v>
      </c>
      <c r="CK164">
        <v>12</v>
      </c>
      <c r="CL164">
        <v>3</v>
      </c>
      <c r="CM164">
        <v>2</v>
      </c>
      <c r="CN164">
        <v>3</v>
      </c>
      <c r="CO164">
        <v>4</v>
      </c>
      <c r="CP164">
        <v>3</v>
      </c>
      <c r="CQ164">
        <v>0.7</v>
      </c>
      <c r="CR164">
        <v>3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1</v>
      </c>
    </row>
    <row r="165" spans="1:104" x14ac:dyDescent="0.25">
      <c r="A165" s="1" t="s">
        <v>1180</v>
      </c>
      <c r="B165">
        <v>10892</v>
      </c>
      <c r="C165">
        <v>10885</v>
      </c>
      <c r="D165" s="2">
        <v>43734</v>
      </c>
      <c r="E165" s="3">
        <f t="shared" si="6"/>
        <v>2019</v>
      </c>
      <c r="F165" s="3">
        <f t="shared" si="7"/>
        <v>9</v>
      </c>
      <c r="G165" s="3">
        <f t="shared" si="8"/>
        <v>5</v>
      </c>
      <c r="H165" t="s">
        <v>1181</v>
      </c>
      <c r="I165">
        <v>1548</v>
      </c>
      <c r="J165" t="s">
        <v>1182</v>
      </c>
      <c r="K165" t="s">
        <v>129</v>
      </c>
      <c r="L165">
        <v>2019</v>
      </c>
      <c r="M165" t="s">
        <v>1183</v>
      </c>
      <c r="Q165" t="s">
        <v>1029</v>
      </c>
      <c r="V165" t="s">
        <v>279</v>
      </c>
      <c r="X165" t="s">
        <v>109</v>
      </c>
      <c r="Y165">
        <v>-2.5</v>
      </c>
      <c r="Z165">
        <v>-1.5</v>
      </c>
      <c r="AB165">
        <v>50</v>
      </c>
      <c r="AC165">
        <v>50</v>
      </c>
      <c r="AD165">
        <v>0</v>
      </c>
      <c r="AE165">
        <v>100</v>
      </c>
      <c r="AF165">
        <v>0</v>
      </c>
      <c r="AG165">
        <v>100</v>
      </c>
      <c r="AH165">
        <v>0</v>
      </c>
      <c r="AI165">
        <v>100</v>
      </c>
      <c r="AJ165">
        <v>0</v>
      </c>
      <c r="AK165">
        <v>0</v>
      </c>
      <c r="AL165">
        <v>0</v>
      </c>
      <c r="AM165">
        <v>100</v>
      </c>
      <c r="AN165">
        <v>0</v>
      </c>
      <c r="AO165">
        <v>100</v>
      </c>
      <c r="AP165">
        <v>0</v>
      </c>
      <c r="AQ165">
        <v>100</v>
      </c>
      <c r="AR165">
        <v>8</v>
      </c>
      <c r="AS165">
        <v>100</v>
      </c>
      <c r="AT165">
        <v>0</v>
      </c>
      <c r="AU165">
        <v>0</v>
      </c>
      <c r="AV165">
        <v>92</v>
      </c>
      <c r="AW165">
        <v>1</v>
      </c>
      <c r="AX165">
        <v>1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1</v>
      </c>
      <c r="BO165">
        <v>0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</v>
      </c>
      <c r="CJ165">
        <v>0</v>
      </c>
      <c r="CK165">
        <v>0</v>
      </c>
      <c r="CL165">
        <v>0</v>
      </c>
      <c r="CM165">
        <v>1</v>
      </c>
      <c r="CN165">
        <v>0</v>
      </c>
      <c r="CO165">
        <v>0</v>
      </c>
      <c r="CP165">
        <v>0</v>
      </c>
      <c r="CQ165">
        <v>1</v>
      </c>
      <c r="CR165">
        <v>0</v>
      </c>
      <c r="CS165">
        <v>1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1</v>
      </c>
      <c r="CZ165">
        <v>1</v>
      </c>
    </row>
    <row r="166" spans="1:104" x14ac:dyDescent="0.25">
      <c r="A166" s="1" t="s">
        <v>1184</v>
      </c>
      <c r="B166">
        <v>14065</v>
      </c>
      <c r="C166">
        <v>14057</v>
      </c>
      <c r="D166" s="2">
        <v>44059</v>
      </c>
      <c r="E166" s="3">
        <f t="shared" si="6"/>
        <v>2020</v>
      </c>
      <c r="F166" s="3">
        <f t="shared" si="7"/>
        <v>8</v>
      </c>
      <c r="G166" s="3">
        <f t="shared" si="8"/>
        <v>1</v>
      </c>
      <c r="H166" t="s">
        <v>1185</v>
      </c>
      <c r="I166">
        <v>2699</v>
      </c>
      <c r="J166" t="s">
        <v>1186</v>
      </c>
      <c r="K166" t="s">
        <v>1187</v>
      </c>
      <c r="L166">
        <v>2020</v>
      </c>
      <c r="M166" t="s">
        <v>1188</v>
      </c>
      <c r="Q166" t="s">
        <v>1187</v>
      </c>
      <c r="V166" t="s">
        <v>1187</v>
      </c>
      <c r="X166" t="s">
        <v>109</v>
      </c>
      <c r="Y166">
        <v>-2.5</v>
      </c>
      <c r="AA166">
        <v>-1.5</v>
      </c>
      <c r="AB166">
        <v>35</v>
      </c>
      <c r="AC166">
        <v>35</v>
      </c>
      <c r="AD166">
        <v>30</v>
      </c>
      <c r="AE166">
        <v>50</v>
      </c>
      <c r="AF166">
        <v>50</v>
      </c>
      <c r="AG166">
        <v>0</v>
      </c>
      <c r="AH166">
        <v>100</v>
      </c>
      <c r="AI166">
        <v>100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33</v>
      </c>
      <c r="AR166">
        <v>0</v>
      </c>
      <c r="AS166">
        <v>100</v>
      </c>
      <c r="AT166">
        <v>33</v>
      </c>
      <c r="AU166">
        <v>5</v>
      </c>
      <c r="AV166">
        <v>95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0</v>
      </c>
      <c r="CE166">
        <v>0</v>
      </c>
      <c r="CF166">
        <v>0</v>
      </c>
      <c r="CG166">
        <v>1</v>
      </c>
      <c r="CH166">
        <v>0</v>
      </c>
      <c r="CI166">
        <v>0</v>
      </c>
      <c r="CJ166">
        <v>0</v>
      </c>
      <c r="CK166">
        <v>1</v>
      </c>
      <c r="CL166">
        <v>0</v>
      </c>
      <c r="CM166">
        <v>1</v>
      </c>
      <c r="CN166">
        <v>0</v>
      </c>
      <c r="CO166">
        <v>1</v>
      </c>
      <c r="CP166">
        <v>0</v>
      </c>
      <c r="CQ166">
        <v>1</v>
      </c>
      <c r="CR166">
        <v>0</v>
      </c>
      <c r="CS166">
        <v>0</v>
      </c>
      <c r="CT166">
        <v>1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1</v>
      </c>
    </row>
    <row r="167" spans="1:104" x14ac:dyDescent="0.25">
      <c r="A167" s="1" t="s">
        <v>1189</v>
      </c>
      <c r="B167">
        <v>535</v>
      </c>
      <c r="C167">
        <v>731</v>
      </c>
      <c r="D167" s="2">
        <v>43737</v>
      </c>
      <c r="E167" s="3">
        <f t="shared" si="6"/>
        <v>2019</v>
      </c>
      <c r="F167" s="3">
        <f t="shared" si="7"/>
        <v>9</v>
      </c>
      <c r="G167" s="3">
        <f t="shared" si="8"/>
        <v>1</v>
      </c>
      <c r="H167" t="s">
        <v>1190</v>
      </c>
      <c r="I167">
        <v>776</v>
      </c>
      <c r="J167" t="s">
        <v>578</v>
      </c>
      <c r="K167" t="s">
        <v>380</v>
      </c>
      <c r="L167">
        <v>2019</v>
      </c>
      <c r="M167" t="s">
        <v>828</v>
      </c>
      <c r="N167" t="s">
        <v>1190</v>
      </c>
      <c r="O167" t="s">
        <v>1191</v>
      </c>
      <c r="P167">
        <v>30377</v>
      </c>
      <c r="Q167" t="s">
        <v>380</v>
      </c>
      <c r="R167">
        <v>1948</v>
      </c>
      <c r="S167" t="s">
        <v>1192</v>
      </c>
      <c r="T167" t="s">
        <v>1193</v>
      </c>
      <c r="U167">
        <v>29538</v>
      </c>
      <c r="V167" t="s">
        <v>380</v>
      </c>
      <c r="W167">
        <v>1905</v>
      </c>
      <c r="X167" t="s">
        <v>109</v>
      </c>
      <c r="Y167">
        <v>-3.5</v>
      </c>
      <c r="Z167">
        <v>-1.5</v>
      </c>
      <c r="AA167">
        <v>-1.5</v>
      </c>
      <c r="AB167">
        <v>35</v>
      </c>
      <c r="AC167">
        <v>35</v>
      </c>
      <c r="AD167">
        <v>30</v>
      </c>
      <c r="AE167">
        <v>29</v>
      </c>
      <c r="AF167">
        <v>71</v>
      </c>
      <c r="AG167">
        <v>33</v>
      </c>
      <c r="AH167">
        <v>67</v>
      </c>
      <c r="AI167">
        <v>44</v>
      </c>
      <c r="AJ167">
        <v>56</v>
      </c>
      <c r="AK167">
        <v>0</v>
      </c>
      <c r="AL167">
        <v>0</v>
      </c>
      <c r="AM167">
        <v>85</v>
      </c>
      <c r="AN167">
        <v>15</v>
      </c>
      <c r="AO167">
        <v>62</v>
      </c>
      <c r="AP167">
        <v>38</v>
      </c>
      <c r="AQ167">
        <v>13</v>
      </c>
      <c r="AR167">
        <v>25</v>
      </c>
      <c r="AS167">
        <v>38</v>
      </c>
      <c r="AT167">
        <v>33</v>
      </c>
      <c r="AU167">
        <v>50</v>
      </c>
      <c r="AV167">
        <v>50</v>
      </c>
      <c r="AW167">
        <v>2</v>
      </c>
      <c r="AX167">
        <v>0.4</v>
      </c>
      <c r="AY167">
        <v>5</v>
      </c>
      <c r="AZ167">
        <v>1</v>
      </c>
      <c r="BA167">
        <v>3</v>
      </c>
      <c r="BB167">
        <v>4</v>
      </c>
      <c r="BC167">
        <v>0</v>
      </c>
      <c r="BD167">
        <v>1</v>
      </c>
      <c r="BE167">
        <v>2</v>
      </c>
      <c r="BF167">
        <v>1</v>
      </c>
      <c r="BG167">
        <v>1</v>
      </c>
      <c r="BH167">
        <v>2</v>
      </c>
      <c r="BI167">
        <v>2</v>
      </c>
      <c r="BJ167">
        <v>2</v>
      </c>
      <c r="BK167">
        <v>3</v>
      </c>
      <c r="BL167">
        <v>3</v>
      </c>
      <c r="BM167">
        <v>0.7</v>
      </c>
      <c r="BN167">
        <v>0.5</v>
      </c>
      <c r="BO167">
        <v>1</v>
      </c>
      <c r="BP167">
        <v>0.8</v>
      </c>
      <c r="BQ167">
        <v>6</v>
      </c>
      <c r="BR167">
        <v>6</v>
      </c>
      <c r="BS167">
        <v>4</v>
      </c>
      <c r="BT167">
        <v>2</v>
      </c>
      <c r="BU167">
        <v>2</v>
      </c>
      <c r="BV167">
        <v>1</v>
      </c>
      <c r="BW167">
        <v>0</v>
      </c>
      <c r="BX167">
        <v>3</v>
      </c>
      <c r="BY167">
        <v>4</v>
      </c>
      <c r="BZ167">
        <v>0.8</v>
      </c>
      <c r="CA167">
        <v>4</v>
      </c>
      <c r="CB167">
        <v>0.8</v>
      </c>
      <c r="CC167">
        <v>4</v>
      </c>
      <c r="CD167">
        <v>3</v>
      </c>
      <c r="CE167">
        <v>1</v>
      </c>
      <c r="CF167">
        <v>0</v>
      </c>
      <c r="CG167">
        <v>3</v>
      </c>
      <c r="CH167">
        <v>1</v>
      </c>
      <c r="CI167">
        <v>0</v>
      </c>
      <c r="CJ167">
        <v>2</v>
      </c>
      <c r="CK167">
        <v>5</v>
      </c>
      <c r="CL167">
        <v>1</v>
      </c>
      <c r="CM167">
        <v>3</v>
      </c>
      <c r="CN167">
        <v>3</v>
      </c>
      <c r="CO167">
        <v>1.3</v>
      </c>
      <c r="CP167">
        <v>0.3</v>
      </c>
      <c r="CQ167">
        <v>0.8</v>
      </c>
      <c r="CR167">
        <v>1</v>
      </c>
      <c r="CS167">
        <v>6</v>
      </c>
      <c r="CT167">
        <v>6</v>
      </c>
      <c r="CU167">
        <v>3</v>
      </c>
      <c r="CV167">
        <v>0</v>
      </c>
      <c r="CW167">
        <v>1</v>
      </c>
      <c r="CX167">
        <v>2</v>
      </c>
      <c r="CY167">
        <v>2</v>
      </c>
      <c r="CZ167">
        <v>4</v>
      </c>
    </row>
    <row r="168" spans="1:104" x14ac:dyDescent="0.25">
      <c r="A168" s="1" t="s">
        <v>1194</v>
      </c>
      <c r="B168">
        <v>7800</v>
      </c>
      <c r="C168">
        <v>7799</v>
      </c>
      <c r="D168" s="2">
        <v>43757</v>
      </c>
      <c r="E168" s="3">
        <f t="shared" si="6"/>
        <v>2019</v>
      </c>
      <c r="F168" s="3">
        <f t="shared" si="7"/>
        <v>10</v>
      </c>
      <c r="G168" s="3">
        <f t="shared" si="8"/>
        <v>7</v>
      </c>
      <c r="H168" t="s">
        <v>1195</v>
      </c>
      <c r="I168">
        <v>999</v>
      </c>
      <c r="J168" t="s">
        <v>448</v>
      </c>
      <c r="K168" t="s">
        <v>217</v>
      </c>
      <c r="L168">
        <v>2019</v>
      </c>
      <c r="M168" t="s">
        <v>297</v>
      </c>
      <c r="N168" t="s">
        <v>1196</v>
      </c>
      <c r="O168" t="s">
        <v>1197</v>
      </c>
      <c r="P168">
        <v>1000</v>
      </c>
      <c r="Q168" t="s">
        <v>217</v>
      </c>
      <c r="S168" t="s">
        <v>1198</v>
      </c>
      <c r="T168" t="s">
        <v>1199</v>
      </c>
      <c r="U168">
        <v>1000</v>
      </c>
      <c r="V168" t="s">
        <v>217</v>
      </c>
      <c r="X168" t="s">
        <v>109</v>
      </c>
      <c r="Y168">
        <v>2.5</v>
      </c>
      <c r="Z168">
        <v>-3.5</v>
      </c>
      <c r="AA168">
        <v>-3.5</v>
      </c>
      <c r="AB168">
        <v>45</v>
      </c>
      <c r="AC168">
        <v>45</v>
      </c>
      <c r="AD168">
        <v>10</v>
      </c>
      <c r="AE168">
        <v>46</v>
      </c>
      <c r="AF168">
        <v>54</v>
      </c>
      <c r="AG168">
        <v>45</v>
      </c>
      <c r="AH168">
        <v>55</v>
      </c>
      <c r="AI168">
        <v>58</v>
      </c>
      <c r="AJ168">
        <v>42</v>
      </c>
      <c r="AK168">
        <v>62</v>
      </c>
      <c r="AL168">
        <v>38</v>
      </c>
      <c r="AM168">
        <v>80</v>
      </c>
      <c r="AN168">
        <v>20</v>
      </c>
      <c r="AO168">
        <v>61</v>
      </c>
      <c r="AP168">
        <v>39</v>
      </c>
      <c r="AQ168">
        <v>40</v>
      </c>
      <c r="AR168">
        <v>71</v>
      </c>
      <c r="AS168">
        <v>21</v>
      </c>
      <c r="AT168">
        <v>47</v>
      </c>
      <c r="AU168">
        <v>86</v>
      </c>
      <c r="AV168">
        <v>0</v>
      </c>
      <c r="AW168">
        <v>10</v>
      </c>
      <c r="AX168">
        <v>2</v>
      </c>
      <c r="AY168">
        <v>11</v>
      </c>
      <c r="AZ168">
        <v>2.2000000000000002</v>
      </c>
      <c r="BA168">
        <v>11</v>
      </c>
      <c r="BB168">
        <v>12</v>
      </c>
      <c r="BC168">
        <v>5</v>
      </c>
      <c r="BD168">
        <v>7</v>
      </c>
      <c r="BE168">
        <v>0</v>
      </c>
      <c r="BF168">
        <v>1</v>
      </c>
      <c r="BG168">
        <v>6</v>
      </c>
      <c r="BH168">
        <v>4</v>
      </c>
      <c r="BI168">
        <v>33</v>
      </c>
      <c r="BJ168">
        <v>26</v>
      </c>
      <c r="BK168">
        <v>33</v>
      </c>
      <c r="BL168">
        <v>14</v>
      </c>
      <c r="BM168">
        <v>3</v>
      </c>
      <c r="BN168">
        <v>2.2000000000000002</v>
      </c>
      <c r="BO168">
        <v>3</v>
      </c>
      <c r="BP168">
        <v>1.2</v>
      </c>
      <c r="BQ168">
        <v>4</v>
      </c>
      <c r="BR168">
        <v>3</v>
      </c>
      <c r="BS168">
        <v>2</v>
      </c>
      <c r="BT168">
        <v>3</v>
      </c>
      <c r="BU168">
        <v>1</v>
      </c>
      <c r="BV168">
        <v>0</v>
      </c>
      <c r="BW168">
        <v>1</v>
      </c>
      <c r="BX168">
        <v>0</v>
      </c>
      <c r="BY168">
        <v>12</v>
      </c>
      <c r="BZ168">
        <v>2.4</v>
      </c>
      <c r="CA168">
        <v>15</v>
      </c>
      <c r="CB168">
        <v>3</v>
      </c>
      <c r="CC168">
        <v>12</v>
      </c>
      <c r="CD168">
        <v>11</v>
      </c>
      <c r="CE168">
        <v>5</v>
      </c>
      <c r="CF168">
        <v>3</v>
      </c>
      <c r="CG168">
        <v>1</v>
      </c>
      <c r="CH168">
        <v>1</v>
      </c>
      <c r="CI168">
        <v>6</v>
      </c>
      <c r="CJ168">
        <v>7</v>
      </c>
      <c r="CK168">
        <v>21</v>
      </c>
      <c r="CL168">
        <v>17</v>
      </c>
      <c r="CM168">
        <v>29</v>
      </c>
      <c r="CN168">
        <v>30</v>
      </c>
      <c r="CO168">
        <v>1.8</v>
      </c>
      <c r="CP168">
        <v>1.5</v>
      </c>
      <c r="CQ168">
        <v>2.4</v>
      </c>
      <c r="CR168">
        <v>2.7</v>
      </c>
      <c r="CS168">
        <v>3</v>
      </c>
      <c r="CT168">
        <v>4</v>
      </c>
      <c r="CU168">
        <v>0</v>
      </c>
      <c r="CV168">
        <v>1</v>
      </c>
      <c r="CW168">
        <v>0</v>
      </c>
      <c r="CX168">
        <v>1</v>
      </c>
      <c r="CY168">
        <v>3</v>
      </c>
      <c r="CZ168">
        <v>2</v>
      </c>
    </row>
    <row r="169" spans="1:104" x14ac:dyDescent="0.25">
      <c r="A169" s="1" t="s">
        <v>1200</v>
      </c>
      <c r="B169">
        <v>408</v>
      </c>
      <c r="C169">
        <v>407</v>
      </c>
      <c r="D169" s="2">
        <v>43688</v>
      </c>
      <c r="E169" s="3">
        <f t="shared" si="6"/>
        <v>2019</v>
      </c>
      <c r="F169" s="3">
        <f t="shared" si="7"/>
        <v>8</v>
      </c>
      <c r="G169" s="3">
        <f t="shared" si="8"/>
        <v>1</v>
      </c>
      <c r="H169" t="s">
        <v>1201</v>
      </c>
      <c r="I169">
        <v>515</v>
      </c>
      <c r="J169" t="s">
        <v>112</v>
      </c>
      <c r="K169" t="s">
        <v>113</v>
      </c>
      <c r="L169">
        <v>2019</v>
      </c>
      <c r="M169" t="s">
        <v>591</v>
      </c>
      <c r="N169" t="s">
        <v>1201</v>
      </c>
      <c r="O169" t="s">
        <v>1202</v>
      </c>
      <c r="P169">
        <v>6600</v>
      </c>
      <c r="Q169" t="s">
        <v>113</v>
      </c>
      <c r="R169">
        <v>1913</v>
      </c>
      <c r="S169" t="s">
        <v>1203</v>
      </c>
      <c r="T169" t="s">
        <v>1204</v>
      </c>
      <c r="U169">
        <v>29000</v>
      </c>
      <c r="V169" t="s">
        <v>113</v>
      </c>
      <c r="W169">
        <v>1964</v>
      </c>
      <c r="X169" t="s">
        <v>125</v>
      </c>
      <c r="Z169">
        <v>-2.5</v>
      </c>
      <c r="AA169">
        <v>-3.5</v>
      </c>
      <c r="AB169">
        <v>10</v>
      </c>
      <c r="AC169">
        <v>45</v>
      </c>
      <c r="AD169">
        <v>45</v>
      </c>
      <c r="AE169">
        <v>46</v>
      </c>
      <c r="AF169">
        <v>54</v>
      </c>
      <c r="AG169">
        <v>44</v>
      </c>
      <c r="AH169">
        <v>56</v>
      </c>
      <c r="AI169">
        <v>50</v>
      </c>
      <c r="AJ169">
        <v>50</v>
      </c>
      <c r="AK169">
        <v>45</v>
      </c>
      <c r="AL169">
        <v>55</v>
      </c>
      <c r="AM169">
        <v>0</v>
      </c>
      <c r="AN169">
        <v>100</v>
      </c>
      <c r="AO169">
        <v>25</v>
      </c>
      <c r="AP169">
        <v>75</v>
      </c>
      <c r="AQ169">
        <v>50</v>
      </c>
      <c r="AR169">
        <v>54</v>
      </c>
      <c r="AS169">
        <v>54</v>
      </c>
      <c r="AT169">
        <v>58</v>
      </c>
      <c r="AU169">
        <v>69</v>
      </c>
      <c r="AV169">
        <v>54</v>
      </c>
      <c r="AW169">
        <v>7</v>
      </c>
      <c r="AX169">
        <v>1.8</v>
      </c>
      <c r="AY169">
        <v>6</v>
      </c>
      <c r="AZ169">
        <v>1.5</v>
      </c>
      <c r="BA169">
        <v>2</v>
      </c>
      <c r="BB169">
        <v>2</v>
      </c>
      <c r="BC169">
        <v>0</v>
      </c>
      <c r="BD169">
        <v>1</v>
      </c>
      <c r="BE169">
        <v>2</v>
      </c>
      <c r="BF169">
        <v>1</v>
      </c>
      <c r="BG169">
        <v>0</v>
      </c>
      <c r="BH169">
        <v>0</v>
      </c>
      <c r="BI169">
        <v>3</v>
      </c>
      <c r="BJ169">
        <v>4</v>
      </c>
      <c r="BK169">
        <v>3</v>
      </c>
      <c r="BL169">
        <v>3</v>
      </c>
      <c r="BM169">
        <v>1.5</v>
      </c>
      <c r="BN169">
        <v>2</v>
      </c>
      <c r="BO169">
        <v>1.5</v>
      </c>
      <c r="BP169">
        <v>1.5</v>
      </c>
      <c r="BQ169">
        <v>6</v>
      </c>
      <c r="BR169">
        <v>6</v>
      </c>
      <c r="BS169">
        <v>2</v>
      </c>
      <c r="BT169">
        <v>2</v>
      </c>
      <c r="BU169">
        <v>0</v>
      </c>
      <c r="BV169">
        <v>1</v>
      </c>
      <c r="BW169">
        <v>4</v>
      </c>
      <c r="BX169">
        <v>3</v>
      </c>
      <c r="BY169">
        <v>9</v>
      </c>
      <c r="BZ169">
        <v>2.2999999999999998</v>
      </c>
      <c r="CA169">
        <v>6</v>
      </c>
      <c r="CB169">
        <v>1.5</v>
      </c>
      <c r="CC169">
        <v>3</v>
      </c>
      <c r="CD169">
        <v>1</v>
      </c>
      <c r="CE169">
        <v>2</v>
      </c>
      <c r="CF169">
        <v>0</v>
      </c>
      <c r="CG169">
        <v>0</v>
      </c>
      <c r="CH169">
        <v>1</v>
      </c>
      <c r="CI169">
        <v>1</v>
      </c>
      <c r="CJ169">
        <v>0</v>
      </c>
      <c r="CK169">
        <v>7</v>
      </c>
      <c r="CL169">
        <v>2</v>
      </c>
      <c r="CM169">
        <v>4</v>
      </c>
      <c r="CN169">
        <v>2</v>
      </c>
      <c r="CO169">
        <v>2.2999999999999998</v>
      </c>
      <c r="CP169">
        <v>2</v>
      </c>
      <c r="CQ169">
        <v>1.3</v>
      </c>
      <c r="CR169">
        <v>2</v>
      </c>
      <c r="CS169">
        <v>6</v>
      </c>
      <c r="CT169">
        <v>6</v>
      </c>
      <c r="CU169">
        <v>3</v>
      </c>
      <c r="CV169">
        <v>4</v>
      </c>
      <c r="CW169">
        <v>1</v>
      </c>
      <c r="CX169">
        <v>0</v>
      </c>
      <c r="CY169">
        <v>2</v>
      </c>
      <c r="CZ169">
        <v>2</v>
      </c>
    </row>
    <row r="170" spans="1:104" x14ac:dyDescent="0.25">
      <c r="A170" s="1" t="s">
        <v>1205</v>
      </c>
      <c r="B170">
        <v>10541</v>
      </c>
      <c r="C170">
        <v>3548</v>
      </c>
      <c r="D170" s="2">
        <v>43793</v>
      </c>
      <c r="E170" s="3">
        <f t="shared" si="6"/>
        <v>2019</v>
      </c>
      <c r="F170" s="3">
        <f t="shared" si="7"/>
        <v>11</v>
      </c>
      <c r="G170" s="3">
        <f t="shared" si="8"/>
        <v>1</v>
      </c>
      <c r="H170" t="s">
        <v>1206</v>
      </c>
      <c r="I170">
        <v>1455</v>
      </c>
      <c r="J170" t="s">
        <v>1207</v>
      </c>
      <c r="K170" t="s">
        <v>1187</v>
      </c>
      <c r="L170">
        <v>2019</v>
      </c>
      <c r="M170" t="s">
        <v>520</v>
      </c>
      <c r="N170" t="s">
        <v>1206</v>
      </c>
      <c r="O170" t="s">
        <v>1208</v>
      </c>
      <c r="P170">
        <v>5000</v>
      </c>
      <c r="Q170" t="s">
        <v>1187</v>
      </c>
      <c r="R170">
        <v>1906</v>
      </c>
      <c r="S170" t="s">
        <v>1209</v>
      </c>
      <c r="T170" t="s">
        <v>1210</v>
      </c>
      <c r="U170">
        <v>4000</v>
      </c>
      <c r="V170" t="s">
        <v>1187</v>
      </c>
      <c r="W170">
        <v>1920</v>
      </c>
      <c r="X170" t="s">
        <v>125</v>
      </c>
      <c r="Z170">
        <v>-1.5</v>
      </c>
      <c r="AA170">
        <v>-2.5</v>
      </c>
      <c r="AB170">
        <v>0</v>
      </c>
      <c r="AC170">
        <v>50</v>
      </c>
      <c r="AD170">
        <v>50</v>
      </c>
      <c r="AE170">
        <v>9</v>
      </c>
      <c r="AF170">
        <v>91</v>
      </c>
      <c r="AG170">
        <v>18</v>
      </c>
      <c r="AH170">
        <v>82</v>
      </c>
      <c r="AI170">
        <v>30</v>
      </c>
      <c r="AJ170">
        <v>70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7</v>
      </c>
      <c r="AR170">
        <v>15</v>
      </c>
      <c r="AS170">
        <v>0</v>
      </c>
      <c r="AT170">
        <v>67</v>
      </c>
      <c r="AU170">
        <v>69</v>
      </c>
      <c r="AV170">
        <v>54</v>
      </c>
      <c r="AW170">
        <v>2</v>
      </c>
      <c r="AX170">
        <v>0.4</v>
      </c>
      <c r="AY170">
        <v>14</v>
      </c>
      <c r="AZ170">
        <v>2.8</v>
      </c>
      <c r="BA170">
        <v>7</v>
      </c>
      <c r="BB170">
        <v>9</v>
      </c>
      <c r="BC170">
        <v>3</v>
      </c>
      <c r="BD170">
        <v>3</v>
      </c>
      <c r="BE170">
        <v>0</v>
      </c>
      <c r="BF170">
        <v>1</v>
      </c>
      <c r="BG170">
        <v>4</v>
      </c>
      <c r="BH170">
        <v>5</v>
      </c>
      <c r="BI170">
        <v>13</v>
      </c>
      <c r="BJ170">
        <v>8</v>
      </c>
      <c r="BK170">
        <v>18</v>
      </c>
      <c r="BL170">
        <v>17</v>
      </c>
      <c r="BM170">
        <v>1.9</v>
      </c>
      <c r="BN170">
        <v>0.9</v>
      </c>
      <c r="BO170">
        <v>2.6</v>
      </c>
      <c r="BP170">
        <v>1.9</v>
      </c>
      <c r="BQ170">
        <v>1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9</v>
      </c>
      <c r="BZ170">
        <v>1.8</v>
      </c>
      <c r="CA170">
        <v>6</v>
      </c>
      <c r="CB170">
        <v>1.2</v>
      </c>
      <c r="CC170">
        <v>9</v>
      </c>
      <c r="CD170">
        <v>7</v>
      </c>
      <c r="CE170">
        <v>7</v>
      </c>
      <c r="CF170">
        <v>1</v>
      </c>
      <c r="CG170">
        <v>0</v>
      </c>
      <c r="CH170">
        <v>1</v>
      </c>
      <c r="CI170">
        <v>2</v>
      </c>
      <c r="CJ170">
        <v>5</v>
      </c>
      <c r="CK170">
        <v>19</v>
      </c>
      <c r="CL170">
        <v>6</v>
      </c>
      <c r="CM170">
        <v>9</v>
      </c>
      <c r="CN170">
        <v>15</v>
      </c>
      <c r="CO170">
        <v>2.1</v>
      </c>
      <c r="CP170">
        <v>0.9</v>
      </c>
      <c r="CQ170">
        <v>1</v>
      </c>
      <c r="CR170">
        <v>2.1</v>
      </c>
      <c r="CS170">
        <v>0</v>
      </c>
      <c r="CT170">
        <v>1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1</v>
      </c>
    </row>
    <row r="171" spans="1:104" x14ac:dyDescent="0.25">
      <c r="A171" s="1" t="s">
        <v>1211</v>
      </c>
      <c r="B171">
        <v>1408</v>
      </c>
      <c r="C171">
        <v>8539</v>
      </c>
      <c r="D171" s="2">
        <v>43688</v>
      </c>
      <c r="E171" s="3">
        <f t="shared" si="6"/>
        <v>2019</v>
      </c>
      <c r="F171" s="3">
        <f t="shared" si="7"/>
        <v>8</v>
      </c>
      <c r="G171" s="3">
        <f t="shared" si="8"/>
        <v>1</v>
      </c>
      <c r="H171" t="s">
        <v>1212</v>
      </c>
      <c r="I171">
        <v>1140</v>
      </c>
      <c r="J171" t="s">
        <v>1213</v>
      </c>
      <c r="K171" t="s">
        <v>172</v>
      </c>
      <c r="L171">
        <v>2019</v>
      </c>
      <c r="M171" t="s">
        <v>1214</v>
      </c>
      <c r="N171" t="s">
        <v>1212</v>
      </c>
      <c r="O171" t="s">
        <v>1215</v>
      </c>
      <c r="P171">
        <v>6000</v>
      </c>
      <c r="Q171" t="s">
        <v>172</v>
      </c>
      <c r="S171" t="s">
        <v>1216</v>
      </c>
      <c r="T171" t="s">
        <v>1217</v>
      </c>
      <c r="U171">
        <v>8000</v>
      </c>
      <c r="V171" t="s">
        <v>172</v>
      </c>
      <c r="W171">
        <v>2017</v>
      </c>
      <c r="X171" t="s">
        <v>109</v>
      </c>
      <c r="Y171">
        <v>-2.5</v>
      </c>
      <c r="AB171">
        <v>50</v>
      </c>
      <c r="AC171">
        <v>50</v>
      </c>
      <c r="AD171">
        <v>0</v>
      </c>
      <c r="AE171">
        <v>100</v>
      </c>
      <c r="AF171">
        <v>0</v>
      </c>
      <c r="AG171">
        <v>0</v>
      </c>
      <c r="AH171">
        <v>0</v>
      </c>
      <c r="AI171">
        <v>100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33</v>
      </c>
      <c r="AR171">
        <v>0</v>
      </c>
      <c r="AS171">
        <v>100</v>
      </c>
      <c r="AT171">
        <v>0</v>
      </c>
      <c r="AU171">
        <v>0</v>
      </c>
      <c r="AV171">
        <v>93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</v>
      </c>
      <c r="BC171">
        <v>0</v>
      </c>
      <c r="BD171">
        <v>0</v>
      </c>
      <c r="BE171">
        <v>1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1</v>
      </c>
      <c r="BS171">
        <v>1</v>
      </c>
      <c r="BT171">
        <v>0</v>
      </c>
      <c r="BU171">
        <v>0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</v>
      </c>
      <c r="CJ171">
        <v>0</v>
      </c>
      <c r="CK171">
        <v>0</v>
      </c>
      <c r="CL171">
        <v>0</v>
      </c>
      <c r="CM171">
        <v>1</v>
      </c>
      <c r="CN171">
        <v>0</v>
      </c>
      <c r="CO171">
        <v>0</v>
      </c>
      <c r="CP171">
        <v>0</v>
      </c>
      <c r="CQ171">
        <v>1</v>
      </c>
      <c r="CR171">
        <v>0</v>
      </c>
      <c r="CS171">
        <v>1</v>
      </c>
      <c r="CT171">
        <v>1</v>
      </c>
      <c r="CU171">
        <v>0</v>
      </c>
      <c r="CV171">
        <v>0</v>
      </c>
      <c r="CW171">
        <v>1</v>
      </c>
      <c r="CX171">
        <v>0</v>
      </c>
      <c r="CY171">
        <v>0</v>
      </c>
      <c r="CZ171">
        <v>1</v>
      </c>
    </row>
    <row r="172" spans="1:104" x14ac:dyDescent="0.25">
      <c r="A172" s="1" t="s">
        <v>1218</v>
      </c>
      <c r="B172">
        <v>197</v>
      </c>
      <c r="C172">
        <v>210</v>
      </c>
      <c r="D172" s="2">
        <v>43793</v>
      </c>
      <c r="E172" s="3">
        <f t="shared" si="6"/>
        <v>2019</v>
      </c>
      <c r="F172" s="3">
        <f t="shared" si="7"/>
        <v>11</v>
      </c>
      <c r="G172" s="3">
        <f t="shared" si="8"/>
        <v>1</v>
      </c>
      <c r="H172" t="s">
        <v>1219</v>
      </c>
      <c r="I172">
        <v>566</v>
      </c>
      <c r="J172" t="s">
        <v>779</v>
      </c>
      <c r="K172" t="s">
        <v>286</v>
      </c>
      <c r="L172">
        <v>2019</v>
      </c>
      <c r="M172" t="s">
        <v>218</v>
      </c>
      <c r="N172" t="s">
        <v>1219</v>
      </c>
      <c r="O172" t="s">
        <v>1220</v>
      </c>
      <c r="P172">
        <v>36150</v>
      </c>
      <c r="Q172" t="s">
        <v>286</v>
      </c>
      <c r="R172">
        <v>1913</v>
      </c>
      <c r="S172" t="s">
        <v>1221</v>
      </c>
      <c r="T172" t="s">
        <v>1222</v>
      </c>
      <c r="U172">
        <v>27224</v>
      </c>
      <c r="V172" t="s">
        <v>286</v>
      </c>
      <c r="W172">
        <v>1920</v>
      </c>
      <c r="X172" t="s">
        <v>125</v>
      </c>
      <c r="Z172">
        <v>-2.5</v>
      </c>
      <c r="AA172">
        <v>-2.5</v>
      </c>
      <c r="AB172">
        <v>10</v>
      </c>
      <c r="AC172">
        <v>45</v>
      </c>
      <c r="AD172">
        <v>45</v>
      </c>
      <c r="AE172">
        <v>27</v>
      </c>
      <c r="AF172">
        <v>73</v>
      </c>
      <c r="AG172">
        <v>44</v>
      </c>
      <c r="AH172">
        <v>56</v>
      </c>
      <c r="AI172">
        <v>29</v>
      </c>
      <c r="AJ172">
        <v>71</v>
      </c>
      <c r="AK172">
        <v>49</v>
      </c>
      <c r="AL172">
        <v>51</v>
      </c>
      <c r="AM172">
        <v>62</v>
      </c>
      <c r="AN172">
        <v>38</v>
      </c>
      <c r="AO172">
        <v>55</v>
      </c>
      <c r="AP172">
        <v>45</v>
      </c>
      <c r="AQ172">
        <v>27</v>
      </c>
      <c r="AR172">
        <v>35</v>
      </c>
      <c r="AS172">
        <v>40</v>
      </c>
      <c r="AT172">
        <v>73</v>
      </c>
      <c r="AU172">
        <v>45</v>
      </c>
      <c r="AV172">
        <v>75</v>
      </c>
      <c r="AW172">
        <v>7</v>
      </c>
      <c r="AX172">
        <v>1.4</v>
      </c>
      <c r="AY172">
        <v>12</v>
      </c>
      <c r="AZ172">
        <v>2.4</v>
      </c>
      <c r="BA172">
        <v>6</v>
      </c>
      <c r="BB172">
        <v>7</v>
      </c>
      <c r="BC172">
        <v>4</v>
      </c>
      <c r="BD172">
        <v>3</v>
      </c>
      <c r="BE172">
        <v>1</v>
      </c>
      <c r="BF172">
        <v>2</v>
      </c>
      <c r="BG172">
        <v>1</v>
      </c>
      <c r="BH172">
        <v>2</v>
      </c>
      <c r="BI172">
        <v>16</v>
      </c>
      <c r="BJ172">
        <v>13</v>
      </c>
      <c r="BK172">
        <v>8</v>
      </c>
      <c r="BL172">
        <v>9</v>
      </c>
      <c r="BM172">
        <v>2.7</v>
      </c>
      <c r="BN172">
        <v>1.9</v>
      </c>
      <c r="BO172">
        <v>1.3</v>
      </c>
      <c r="BP172">
        <v>1.3</v>
      </c>
      <c r="BQ172">
        <v>10</v>
      </c>
      <c r="BR172">
        <v>9</v>
      </c>
      <c r="BS172">
        <v>6</v>
      </c>
      <c r="BT172">
        <v>2</v>
      </c>
      <c r="BU172">
        <v>4</v>
      </c>
      <c r="BV172">
        <v>3</v>
      </c>
      <c r="BW172">
        <v>0</v>
      </c>
      <c r="BX172">
        <v>4</v>
      </c>
      <c r="BY172">
        <v>9</v>
      </c>
      <c r="BZ172">
        <v>1.8</v>
      </c>
      <c r="CA172">
        <v>5</v>
      </c>
      <c r="CB172">
        <v>1</v>
      </c>
      <c r="CC172">
        <v>7</v>
      </c>
      <c r="CD172">
        <v>6</v>
      </c>
      <c r="CE172">
        <v>2</v>
      </c>
      <c r="CF172">
        <v>3</v>
      </c>
      <c r="CG172">
        <v>5</v>
      </c>
      <c r="CH172">
        <v>1</v>
      </c>
      <c r="CI172">
        <v>0</v>
      </c>
      <c r="CJ172">
        <v>2</v>
      </c>
      <c r="CK172">
        <v>7</v>
      </c>
      <c r="CL172">
        <v>13</v>
      </c>
      <c r="CM172">
        <v>5</v>
      </c>
      <c r="CN172">
        <v>9</v>
      </c>
      <c r="CO172">
        <v>1</v>
      </c>
      <c r="CP172">
        <v>2.2000000000000002</v>
      </c>
      <c r="CQ172">
        <v>0.7</v>
      </c>
      <c r="CR172">
        <v>1.5</v>
      </c>
      <c r="CS172">
        <v>9</v>
      </c>
      <c r="CT172">
        <v>10</v>
      </c>
      <c r="CU172">
        <v>4</v>
      </c>
      <c r="CV172">
        <v>0</v>
      </c>
      <c r="CW172">
        <v>3</v>
      </c>
      <c r="CX172">
        <v>4</v>
      </c>
      <c r="CY172">
        <v>2</v>
      </c>
      <c r="CZ172">
        <v>6</v>
      </c>
    </row>
    <row r="173" spans="1:104" x14ac:dyDescent="0.25">
      <c r="A173" s="1" t="s">
        <v>1223</v>
      </c>
      <c r="B173">
        <v>2420</v>
      </c>
      <c r="C173">
        <v>5085</v>
      </c>
      <c r="D173" s="2">
        <v>43898</v>
      </c>
      <c r="E173" s="3">
        <f t="shared" si="6"/>
        <v>2020</v>
      </c>
      <c r="F173" s="3">
        <f t="shared" si="7"/>
        <v>3</v>
      </c>
      <c r="G173" s="3">
        <f t="shared" si="8"/>
        <v>1</v>
      </c>
      <c r="H173" t="s">
        <v>1224</v>
      </c>
      <c r="I173">
        <v>2282</v>
      </c>
      <c r="J173" t="s">
        <v>1225</v>
      </c>
      <c r="K173" t="s">
        <v>190</v>
      </c>
      <c r="L173">
        <v>2019</v>
      </c>
      <c r="M173" t="s">
        <v>1226</v>
      </c>
      <c r="N173" t="s">
        <v>1224</v>
      </c>
      <c r="O173" t="s">
        <v>1227</v>
      </c>
      <c r="P173">
        <v>2500</v>
      </c>
      <c r="Q173" t="s">
        <v>190</v>
      </c>
      <c r="R173">
        <v>1989</v>
      </c>
      <c r="S173" t="s">
        <v>1228</v>
      </c>
      <c r="T173" t="s">
        <v>1229</v>
      </c>
      <c r="U173">
        <v>3000</v>
      </c>
      <c r="V173" t="s">
        <v>190</v>
      </c>
      <c r="W173">
        <v>1920</v>
      </c>
      <c r="X173">
        <v>1</v>
      </c>
      <c r="Z173">
        <v>-3.5</v>
      </c>
      <c r="AA173">
        <v>-1.5</v>
      </c>
      <c r="AB173">
        <v>35</v>
      </c>
      <c r="AC173">
        <v>35</v>
      </c>
      <c r="AD173">
        <v>30</v>
      </c>
      <c r="AE173">
        <v>50</v>
      </c>
      <c r="AF173">
        <v>50</v>
      </c>
      <c r="AG173">
        <v>58</v>
      </c>
      <c r="AH173">
        <v>42</v>
      </c>
      <c r="AI173">
        <v>31</v>
      </c>
      <c r="AJ173">
        <v>69</v>
      </c>
      <c r="AK173">
        <v>82</v>
      </c>
      <c r="AL173">
        <v>18</v>
      </c>
      <c r="AM173">
        <v>50</v>
      </c>
      <c r="AN173">
        <v>50</v>
      </c>
      <c r="AO173">
        <v>50</v>
      </c>
      <c r="AP173">
        <v>50</v>
      </c>
      <c r="AQ173">
        <v>53</v>
      </c>
      <c r="AR173">
        <v>47</v>
      </c>
      <c r="AS173">
        <v>40</v>
      </c>
      <c r="AT173">
        <v>53</v>
      </c>
      <c r="AU173">
        <v>33</v>
      </c>
      <c r="AV173">
        <v>73</v>
      </c>
      <c r="AW173">
        <v>7</v>
      </c>
      <c r="AX173">
        <v>1.4</v>
      </c>
      <c r="AY173">
        <v>9</v>
      </c>
      <c r="AZ173">
        <v>1.8</v>
      </c>
      <c r="BA173">
        <v>8</v>
      </c>
      <c r="BB173">
        <v>9</v>
      </c>
      <c r="BC173">
        <v>4</v>
      </c>
      <c r="BD173">
        <v>3</v>
      </c>
      <c r="BE173">
        <v>2</v>
      </c>
      <c r="BF173">
        <v>4</v>
      </c>
      <c r="BG173">
        <v>2</v>
      </c>
      <c r="BH173">
        <v>2</v>
      </c>
      <c r="BI173">
        <v>18</v>
      </c>
      <c r="BJ173">
        <v>12</v>
      </c>
      <c r="BK173">
        <v>10</v>
      </c>
      <c r="BL173">
        <v>15</v>
      </c>
      <c r="BM173">
        <v>2.2999999999999998</v>
      </c>
      <c r="BN173">
        <v>1.3</v>
      </c>
      <c r="BO173">
        <v>1.3</v>
      </c>
      <c r="BP173">
        <v>1.7</v>
      </c>
      <c r="BQ173">
        <v>1</v>
      </c>
      <c r="BR173">
        <v>1</v>
      </c>
      <c r="BS173">
        <v>1</v>
      </c>
      <c r="BT173">
        <v>0</v>
      </c>
      <c r="BU173">
        <v>0</v>
      </c>
      <c r="BV173">
        <v>1</v>
      </c>
      <c r="BW173">
        <v>0</v>
      </c>
      <c r="BX173">
        <v>0</v>
      </c>
      <c r="BY173">
        <v>5</v>
      </c>
      <c r="BZ173">
        <v>1</v>
      </c>
      <c r="CA173">
        <v>4</v>
      </c>
      <c r="CB173">
        <v>0.8</v>
      </c>
      <c r="CC173">
        <v>9</v>
      </c>
      <c r="CD173">
        <v>8</v>
      </c>
      <c r="CE173">
        <v>0</v>
      </c>
      <c r="CF173">
        <v>2</v>
      </c>
      <c r="CG173">
        <v>5</v>
      </c>
      <c r="CH173">
        <v>0</v>
      </c>
      <c r="CI173">
        <v>4</v>
      </c>
      <c r="CJ173">
        <v>6</v>
      </c>
      <c r="CK173">
        <v>6</v>
      </c>
      <c r="CL173">
        <v>5</v>
      </c>
      <c r="CM173">
        <v>19</v>
      </c>
      <c r="CN173">
        <v>15</v>
      </c>
      <c r="CO173">
        <v>0.7</v>
      </c>
      <c r="CP173">
        <v>0.6</v>
      </c>
      <c r="CQ173">
        <v>2.1</v>
      </c>
      <c r="CR173">
        <v>1.9</v>
      </c>
      <c r="CS173">
        <v>1</v>
      </c>
      <c r="CT173">
        <v>1</v>
      </c>
      <c r="CU173">
        <v>0</v>
      </c>
      <c r="CV173">
        <v>0</v>
      </c>
      <c r="CW173">
        <v>1</v>
      </c>
      <c r="CX173">
        <v>0</v>
      </c>
      <c r="CY173">
        <v>0</v>
      </c>
      <c r="CZ173">
        <v>1</v>
      </c>
    </row>
    <row r="174" spans="1:104" x14ac:dyDescent="0.25">
      <c r="A174" s="1" t="s">
        <v>1230</v>
      </c>
      <c r="B174">
        <v>2160</v>
      </c>
      <c r="C174">
        <v>2143</v>
      </c>
      <c r="D174" s="2">
        <v>43681</v>
      </c>
      <c r="E174" s="3">
        <f t="shared" si="6"/>
        <v>2019</v>
      </c>
      <c r="F174" s="3">
        <f t="shared" si="7"/>
        <v>8</v>
      </c>
      <c r="G174" s="3">
        <f t="shared" si="8"/>
        <v>1</v>
      </c>
      <c r="H174" t="s">
        <v>1231</v>
      </c>
      <c r="I174">
        <v>288</v>
      </c>
      <c r="J174" t="s">
        <v>1232</v>
      </c>
      <c r="K174" t="s">
        <v>495</v>
      </c>
      <c r="L174">
        <v>2019</v>
      </c>
      <c r="M174" t="s">
        <v>173</v>
      </c>
      <c r="N174" t="s">
        <v>1233</v>
      </c>
      <c r="O174" t="s">
        <v>1234</v>
      </c>
      <c r="P174">
        <v>2000</v>
      </c>
      <c r="Q174" t="s">
        <v>495</v>
      </c>
      <c r="R174">
        <v>1968</v>
      </c>
      <c r="S174" t="s">
        <v>1235</v>
      </c>
      <c r="T174" t="s">
        <v>1236</v>
      </c>
      <c r="U174">
        <v>2236</v>
      </c>
      <c r="V174" t="s">
        <v>495</v>
      </c>
      <c r="W174">
        <v>1939</v>
      </c>
      <c r="X174" t="s">
        <v>109</v>
      </c>
      <c r="Z174">
        <v>-2.5</v>
      </c>
      <c r="AA174">
        <v>-2.5</v>
      </c>
      <c r="AB174">
        <v>45</v>
      </c>
      <c r="AC174">
        <v>45</v>
      </c>
      <c r="AD174">
        <v>10</v>
      </c>
      <c r="AE174">
        <v>59</v>
      </c>
      <c r="AF174">
        <v>41</v>
      </c>
      <c r="AG174">
        <v>53</v>
      </c>
      <c r="AH174">
        <v>47</v>
      </c>
      <c r="AI174">
        <v>59</v>
      </c>
      <c r="AJ174">
        <v>41</v>
      </c>
      <c r="AK174">
        <v>68</v>
      </c>
      <c r="AL174">
        <v>32</v>
      </c>
      <c r="AM174">
        <v>0</v>
      </c>
      <c r="AN174">
        <v>100</v>
      </c>
      <c r="AO174">
        <v>14</v>
      </c>
      <c r="AP174">
        <v>86</v>
      </c>
      <c r="AQ174">
        <v>67</v>
      </c>
      <c r="AR174">
        <v>100</v>
      </c>
      <c r="AS174">
        <v>30</v>
      </c>
      <c r="AT174">
        <v>47</v>
      </c>
      <c r="AU174">
        <v>90</v>
      </c>
      <c r="AV174">
        <v>0</v>
      </c>
      <c r="AW174">
        <v>10</v>
      </c>
      <c r="AX174">
        <v>2</v>
      </c>
      <c r="AY174">
        <v>7</v>
      </c>
      <c r="AZ174">
        <v>1.4</v>
      </c>
      <c r="BA174">
        <v>8</v>
      </c>
      <c r="BB174">
        <v>7</v>
      </c>
      <c r="BC174">
        <v>5</v>
      </c>
      <c r="BD174">
        <v>1</v>
      </c>
      <c r="BE174">
        <v>1</v>
      </c>
      <c r="BF174">
        <v>2</v>
      </c>
      <c r="BG174">
        <v>2</v>
      </c>
      <c r="BH174">
        <v>4</v>
      </c>
      <c r="BI174">
        <v>13</v>
      </c>
      <c r="BJ174">
        <v>6</v>
      </c>
      <c r="BK174">
        <v>6</v>
      </c>
      <c r="BL174">
        <v>10</v>
      </c>
      <c r="BM174">
        <v>1.6</v>
      </c>
      <c r="BN174">
        <v>0.9</v>
      </c>
      <c r="BO174">
        <v>0.8</v>
      </c>
      <c r="BP174">
        <v>1.4</v>
      </c>
      <c r="BQ174">
        <v>2</v>
      </c>
      <c r="BR174">
        <v>1</v>
      </c>
      <c r="BS174">
        <v>0</v>
      </c>
      <c r="BT174">
        <v>0</v>
      </c>
      <c r="BU174">
        <v>1</v>
      </c>
      <c r="BV174">
        <v>0</v>
      </c>
      <c r="BW174">
        <v>1</v>
      </c>
      <c r="BX174">
        <v>1</v>
      </c>
      <c r="BY174">
        <v>9</v>
      </c>
      <c r="BZ174">
        <v>1.8</v>
      </c>
      <c r="CA174">
        <v>10</v>
      </c>
      <c r="CB174">
        <v>2</v>
      </c>
      <c r="CC174">
        <v>8</v>
      </c>
      <c r="CD174">
        <v>7</v>
      </c>
      <c r="CE174">
        <v>6</v>
      </c>
      <c r="CF174">
        <v>2</v>
      </c>
      <c r="CG174">
        <v>0</v>
      </c>
      <c r="CH174">
        <v>2</v>
      </c>
      <c r="CI174">
        <v>2</v>
      </c>
      <c r="CJ174">
        <v>3</v>
      </c>
      <c r="CK174">
        <v>19</v>
      </c>
      <c r="CL174">
        <v>11</v>
      </c>
      <c r="CM174">
        <v>9</v>
      </c>
      <c r="CN174">
        <v>14</v>
      </c>
      <c r="CO174">
        <v>2.4</v>
      </c>
      <c r="CP174">
        <v>1.6</v>
      </c>
      <c r="CQ174">
        <v>1.1000000000000001</v>
      </c>
      <c r="CR174">
        <v>2</v>
      </c>
      <c r="CS174">
        <v>1</v>
      </c>
      <c r="CT174">
        <v>2</v>
      </c>
      <c r="CU174">
        <v>1</v>
      </c>
      <c r="CV174">
        <v>1</v>
      </c>
      <c r="CW174">
        <v>0</v>
      </c>
      <c r="CX174">
        <v>1</v>
      </c>
      <c r="CY174">
        <v>0</v>
      </c>
      <c r="CZ174">
        <v>0</v>
      </c>
    </row>
    <row r="175" spans="1:104" x14ac:dyDescent="0.25">
      <c r="A175" s="1" t="s">
        <v>1237</v>
      </c>
      <c r="B175">
        <v>6954</v>
      </c>
      <c r="C175">
        <v>3481</v>
      </c>
      <c r="D175" s="2">
        <v>43743</v>
      </c>
      <c r="E175" s="3">
        <f t="shared" si="6"/>
        <v>2019</v>
      </c>
      <c r="F175" s="3">
        <f t="shared" si="7"/>
        <v>10</v>
      </c>
      <c r="G175" s="3">
        <f t="shared" si="8"/>
        <v>7</v>
      </c>
      <c r="H175" t="s">
        <v>1238</v>
      </c>
      <c r="I175">
        <v>1191</v>
      </c>
      <c r="J175" t="s">
        <v>166</v>
      </c>
      <c r="K175" t="s">
        <v>167</v>
      </c>
      <c r="L175">
        <v>2019</v>
      </c>
      <c r="M175" t="s">
        <v>272</v>
      </c>
      <c r="Q175" t="s">
        <v>167</v>
      </c>
      <c r="R175">
        <v>1926</v>
      </c>
      <c r="V175" t="s">
        <v>167</v>
      </c>
      <c r="W175">
        <v>1946</v>
      </c>
      <c r="X175" t="s">
        <v>125</v>
      </c>
      <c r="Z175">
        <v>-1.5</v>
      </c>
      <c r="AA175">
        <v>-2.5</v>
      </c>
      <c r="AB175">
        <v>10</v>
      </c>
      <c r="AC175">
        <v>45</v>
      </c>
      <c r="AD175">
        <v>45</v>
      </c>
      <c r="AE175">
        <v>36</v>
      </c>
      <c r="AF175">
        <v>64</v>
      </c>
      <c r="AG175">
        <v>33</v>
      </c>
      <c r="AH175">
        <v>67</v>
      </c>
      <c r="AI175">
        <v>50</v>
      </c>
      <c r="AJ175">
        <v>50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27</v>
      </c>
      <c r="AR175">
        <v>21</v>
      </c>
      <c r="AS175">
        <v>50</v>
      </c>
      <c r="AT175">
        <v>47</v>
      </c>
      <c r="AU175">
        <v>43</v>
      </c>
      <c r="AV175">
        <v>50</v>
      </c>
      <c r="AW175">
        <v>3</v>
      </c>
      <c r="AX175">
        <v>0.6</v>
      </c>
      <c r="AY175">
        <v>7</v>
      </c>
      <c r="AZ175">
        <v>1.4</v>
      </c>
      <c r="BA175">
        <v>5</v>
      </c>
      <c r="BB175">
        <v>6</v>
      </c>
      <c r="BC175">
        <v>3</v>
      </c>
      <c r="BD175">
        <v>0</v>
      </c>
      <c r="BE175">
        <v>1</v>
      </c>
      <c r="BF175">
        <v>1</v>
      </c>
      <c r="BG175">
        <v>1</v>
      </c>
      <c r="BH175">
        <v>5</v>
      </c>
      <c r="BI175">
        <v>5</v>
      </c>
      <c r="BJ175">
        <v>2</v>
      </c>
      <c r="BK175">
        <v>4</v>
      </c>
      <c r="BL175">
        <v>11</v>
      </c>
      <c r="BM175">
        <v>1</v>
      </c>
      <c r="BN175">
        <v>0.3</v>
      </c>
      <c r="BO175">
        <v>0.8</v>
      </c>
      <c r="BP175">
        <v>1.8</v>
      </c>
      <c r="BQ175">
        <v>1</v>
      </c>
      <c r="BR175">
        <v>1</v>
      </c>
      <c r="BS175">
        <v>1</v>
      </c>
      <c r="BT175">
        <v>0</v>
      </c>
      <c r="BU175">
        <v>0</v>
      </c>
      <c r="BV175">
        <v>1</v>
      </c>
      <c r="BW175">
        <v>0</v>
      </c>
      <c r="BX175">
        <v>0</v>
      </c>
      <c r="BY175">
        <v>6</v>
      </c>
      <c r="BZ175">
        <v>1.2</v>
      </c>
      <c r="CA175">
        <v>7</v>
      </c>
      <c r="CB175">
        <v>1.4</v>
      </c>
      <c r="CC175">
        <v>6</v>
      </c>
      <c r="CD175">
        <v>5</v>
      </c>
      <c r="CE175">
        <v>4</v>
      </c>
      <c r="CF175">
        <v>1</v>
      </c>
      <c r="CG175">
        <v>1</v>
      </c>
      <c r="CH175">
        <v>2</v>
      </c>
      <c r="CI175">
        <v>1</v>
      </c>
      <c r="CJ175">
        <v>2</v>
      </c>
      <c r="CK175">
        <v>12</v>
      </c>
      <c r="CL175">
        <v>6</v>
      </c>
      <c r="CM175">
        <v>8</v>
      </c>
      <c r="CN175">
        <v>7</v>
      </c>
      <c r="CO175">
        <v>2</v>
      </c>
      <c r="CP175">
        <v>1.2</v>
      </c>
      <c r="CQ175">
        <v>1.3</v>
      </c>
      <c r="CR175">
        <v>1.4</v>
      </c>
      <c r="CS175">
        <v>1</v>
      </c>
      <c r="CT175">
        <v>1</v>
      </c>
      <c r="CU175">
        <v>0</v>
      </c>
      <c r="CV175">
        <v>0</v>
      </c>
      <c r="CW175">
        <v>1</v>
      </c>
      <c r="CX175">
        <v>0</v>
      </c>
      <c r="CY175">
        <v>0</v>
      </c>
      <c r="CZ175">
        <v>1</v>
      </c>
    </row>
    <row r="176" spans="1:104" x14ac:dyDescent="0.25">
      <c r="A176" s="1" t="s">
        <v>1239</v>
      </c>
      <c r="B176">
        <v>7863</v>
      </c>
      <c r="C176">
        <v>7786</v>
      </c>
      <c r="D176" s="2">
        <v>43873</v>
      </c>
      <c r="E176" s="3">
        <f t="shared" si="6"/>
        <v>2020</v>
      </c>
      <c r="F176" s="3">
        <f t="shared" si="7"/>
        <v>2</v>
      </c>
      <c r="G176" s="3">
        <f t="shared" si="8"/>
        <v>4</v>
      </c>
      <c r="H176" t="s">
        <v>314</v>
      </c>
      <c r="I176">
        <v>1346</v>
      </c>
      <c r="J176" t="s">
        <v>1240</v>
      </c>
      <c r="K176" t="s">
        <v>264</v>
      </c>
      <c r="L176">
        <v>2020</v>
      </c>
      <c r="M176" t="s">
        <v>458</v>
      </c>
      <c r="N176" t="s">
        <v>314</v>
      </c>
      <c r="O176" t="s">
        <v>315</v>
      </c>
      <c r="P176">
        <v>17728</v>
      </c>
      <c r="Q176" t="s">
        <v>264</v>
      </c>
      <c r="R176">
        <v>2007</v>
      </c>
      <c r="S176" t="s">
        <v>1241</v>
      </c>
      <c r="T176" t="s">
        <v>1242</v>
      </c>
      <c r="U176">
        <v>22738</v>
      </c>
      <c r="V176" t="s">
        <v>264</v>
      </c>
      <c r="W176">
        <v>1989</v>
      </c>
      <c r="X176">
        <v>2</v>
      </c>
      <c r="Z176">
        <v>-1.5</v>
      </c>
      <c r="AA176">
        <v>-3.5</v>
      </c>
      <c r="AB176">
        <v>10</v>
      </c>
      <c r="AC176">
        <v>45</v>
      </c>
      <c r="AD176">
        <v>45</v>
      </c>
      <c r="AE176">
        <v>27</v>
      </c>
      <c r="AF176">
        <v>73</v>
      </c>
      <c r="AG176">
        <v>31</v>
      </c>
      <c r="AH176">
        <v>69</v>
      </c>
      <c r="AI176">
        <v>47</v>
      </c>
      <c r="AJ176">
        <v>53</v>
      </c>
      <c r="AK176">
        <v>20</v>
      </c>
      <c r="AL176">
        <v>80</v>
      </c>
      <c r="AM176">
        <v>0</v>
      </c>
      <c r="AN176">
        <v>0</v>
      </c>
      <c r="AO176">
        <v>0</v>
      </c>
      <c r="AP176">
        <v>0</v>
      </c>
      <c r="AQ176">
        <v>20</v>
      </c>
      <c r="AR176">
        <v>33</v>
      </c>
      <c r="AS176">
        <v>33</v>
      </c>
      <c r="AT176">
        <v>53</v>
      </c>
      <c r="AU176">
        <v>75</v>
      </c>
      <c r="AV176">
        <v>42</v>
      </c>
      <c r="AW176">
        <v>4</v>
      </c>
      <c r="AX176">
        <v>0.8</v>
      </c>
      <c r="AY176">
        <v>8</v>
      </c>
      <c r="AZ176">
        <v>1.6</v>
      </c>
      <c r="BA176">
        <v>2</v>
      </c>
      <c r="BB176">
        <v>3</v>
      </c>
      <c r="BC176">
        <v>0</v>
      </c>
      <c r="BD176">
        <v>0</v>
      </c>
      <c r="BE176">
        <v>1</v>
      </c>
      <c r="BF176">
        <v>2</v>
      </c>
      <c r="BG176">
        <v>1</v>
      </c>
      <c r="BH176">
        <v>1</v>
      </c>
      <c r="BI176">
        <v>1</v>
      </c>
      <c r="BJ176">
        <v>3</v>
      </c>
      <c r="BK176">
        <v>3</v>
      </c>
      <c r="BL176">
        <v>5</v>
      </c>
      <c r="BM176">
        <v>0.5</v>
      </c>
      <c r="BN176">
        <v>1</v>
      </c>
      <c r="BO176">
        <v>1.5</v>
      </c>
      <c r="BP176">
        <v>1.7</v>
      </c>
      <c r="BQ176">
        <v>1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9</v>
      </c>
      <c r="BZ176">
        <v>1.8</v>
      </c>
      <c r="CA176">
        <v>7</v>
      </c>
      <c r="CB176">
        <v>1.4</v>
      </c>
      <c r="CC176">
        <v>3</v>
      </c>
      <c r="CD176">
        <v>2</v>
      </c>
      <c r="CE176">
        <v>1</v>
      </c>
      <c r="CF176">
        <v>1</v>
      </c>
      <c r="CG176">
        <v>2</v>
      </c>
      <c r="CH176">
        <v>0</v>
      </c>
      <c r="CI176">
        <v>0</v>
      </c>
      <c r="CJ176">
        <v>1</v>
      </c>
      <c r="CK176">
        <v>4</v>
      </c>
      <c r="CL176">
        <v>5</v>
      </c>
      <c r="CM176">
        <v>3</v>
      </c>
      <c r="CN176">
        <v>4</v>
      </c>
      <c r="CO176">
        <v>1.3</v>
      </c>
      <c r="CP176">
        <v>2.5</v>
      </c>
      <c r="CQ176">
        <v>1</v>
      </c>
      <c r="CR176">
        <v>2</v>
      </c>
      <c r="CS176">
        <v>0</v>
      </c>
      <c r="CT176">
        <v>1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1</v>
      </c>
    </row>
    <row r="177" spans="1:104" x14ac:dyDescent="0.25">
      <c r="A177" s="1" t="s">
        <v>1243</v>
      </c>
      <c r="B177">
        <v>4209</v>
      </c>
      <c r="C177">
        <v>4214</v>
      </c>
      <c r="D177" s="2">
        <v>44003</v>
      </c>
      <c r="E177" s="3">
        <f t="shared" si="6"/>
        <v>2020</v>
      </c>
      <c r="F177" s="3">
        <f t="shared" si="7"/>
        <v>6</v>
      </c>
      <c r="G177" s="3">
        <f t="shared" si="8"/>
        <v>1</v>
      </c>
      <c r="H177" t="s">
        <v>1244</v>
      </c>
      <c r="I177">
        <v>1370</v>
      </c>
      <c r="J177" t="s">
        <v>761</v>
      </c>
      <c r="K177" t="s">
        <v>900</v>
      </c>
      <c r="L177">
        <v>2020</v>
      </c>
      <c r="M177" t="s">
        <v>591</v>
      </c>
      <c r="N177" t="s">
        <v>1244</v>
      </c>
      <c r="O177" t="s">
        <v>1245</v>
      </c>
      <c r="P177">
        <v>18360</v>
      </c>
      <c r="Q177" t="s">
        <v>900</v>
      </c>
      <c r="R177">
        <v>1964</v>
      </c>
      <c r="S177" t="s">
        <v>1246</v>
      </c>
      <c r="T177" t="s">
        <v>1247</v>
      </c>
      <c r="U177">
        <v>16000</v>
      </c>
      <c r="V177" t="s">
        <v>900</v>
      </c>
      <c r="W177">
        <v>1945</v>
      </c>
      <c r="X177" t="s">
        <v>125</v>
      </c>
      <c r="Z177">
        <v>-1.5</v>
      </c>
      <c r="AA177">
        <v>-2.5</v>
      </c>
      <c r="AB177">
        <v>10</v>
      </c>
      <c r="AC177">
        <v>45</v>
      </c>
      <c r="AD177">
        <v>45</v>
      </c>
      <c r="AE177">
        <v>22</v>
      </c>
      <c r="AF177">
        <v>78</v>
      </c>
      <c r="AG177">
        <v>40</v>
      </c>
      <c r="AH177">
        <v>60</v>
      </c>
      <c r="AI177">
        <v>45</v>
      </c>
      <c r="AJ177">
        <v>55</v>
      </c>
      <c r="AK177">
        <v>0</v>
      </c>
      <c r="AL177">
        <v>0</v>
      </c>
      <c r="AM177">
        <v>62</v>
      </c>
      <c r="AN177">
        <v>38</v>
      </c>
      <c r="AO177">
        <v>55</v>
      </c>
      <c r="AP177">
        <v>45</v>
      </c>
      <c r="AQ177">
        <v>17</v>
      </c>
      <c r="AR177">
        <v>27</v>
      </c>
      <c r="AS177">
        <v>60</v>
      </c>
      <c r="AT177">
        <v>58</v>
      </c>
      <c r="AU177">
        <v>40</v>
      </c>
      <c r="AV177">
        <v>67</v>
      </c>
      <c r="AW177">
        <v>4</v>
      </c>
      <c r="AX177">
        <v>1</v>
      </c>
      <c r="AY177">
        <v>6</v>
      </c>
      <c r="AZ177">
        <v>1.5</v>
      </c>
      <c r="BA177">
        <v>1</v>
      </c>
      <c r="BB177">
        <v>3</v>
      </c>
      <c r="BC177">
        <v>0</v>
      </c>
      <c r="BD177">
        <v>0</v>
      </c>
      <c r="BE177">
        <v>1</v>
      </c>
      <c r="BF177">
        <v>1</v>
      </c>
      <c r="BG177">
        <v>0</v>
      </c>
      <c r="BH177">
        <v>2</v>
      </c>
      <c r="BI177">
        <v>0</v>
      </c>
      <c r="BJ177">
        <v>4</v>
      </c>
      <c r="BK177">
        <v>0</v>
      </c>
      <c r="BL177">
        <v>6</v>
      </c>
      <c r="BM177">
        <v>0</v>
      </c>
      <c r="BN177">
        <v>1.3</v>
      </c>
      <c r="BO177">
        <v>0</v>
      </c>
      <c r="BP177">
        <v>2</v>
      </c>
      <c r="BQ177">
        <v>6</v>
      </c>
      <c r="BR177">
        <v>5</v>
      </c>
      <c r="BS177">
        <v>2</v>
      </c>
      <c r="BT177">
        <v>1</v>
      </c>
      <c r="BU177">
        <v>3</v>
      </c>
      <c r="BV177">
        <v>1</v>
      </c>
      <c r="BW177">
        <v>1</v>
      </c>
      <c r="BX177">
        <v>3</v>
      </c>
      <c r="BY177">
        <v>6</v>
      </c>
      <c r="BZ177">
        <v>1.5</v>
      </c>
      <c r="CA177">
        <v>5</v>
      </c>
      <c r="CB177">
        <v>1.3</v>
      </c>
      <c r="CC177">
        <v>1</v>
      </c>
      <c r="CD177">
        <v>3</v>
      </c>
      <c r="CE177">
        <v>1</v>
      </c>
      <c r="CF177">
        <v>1</v>
      </c>
      <c r="CG177">
        <v>0</v>
      </c>
      <c r="CH177">
        <v>1</v>
      </c>
      <c r="CI177">
        <v>0</v>
      </c>
      <c r="CJ177">
        <v>1</v>
      </c>
      <c r="CK177">
        <v>1</v>
      </c>
      <c r="CL177">
        <v>5</v>
      </c>
      <c r="CM177">
        <v>0</v>
      </c>
      <c r="CN177">
        <v>5</v>
      </c>
      <c r="CO177">
        <v>1</v>
      </c>
      <c r="CP177">
        <v>1.7</v>
      </c>
      <c r="CQ177">
        <v>0</v>
      </c>
      <c r="CR177">
        <v>1.7</v>
      </c>
      <c r="CS177">
        <v>5</v>
      </c>
      <c r="CT177">
        <v>6</v>
      </c>
      <c r="CU177">
        <v>3</v>
      </c>
      <c r="CV177">
        <v>1</v>
      </c>
      <c r="CW177">
        <v>1</v>
      </c>
      <c r="CX177">
        <v>3</v>
      </c>
      <c r="CY177">
        <v>1</v>
      </c>
      <c r="CZ177">
        <v>2</v>
      </c>
    </row>
    <row r="178" spans="1:104" x14ac:dyDescent="0.25">
      <c r="A178" s="1" t="s">
        <v>1248</v>
      </c>
      <c r="B178">
        <v>12629</v>
      </c>
      <c r="C178">
        <v>6700</v>
      </c>
      <c r="D178" s="2">
        <v>43708</v>
      </c>
      <c r="E178" s="3">
        <f t="shared" si="6"/>
        <v>2019</v>
      </c>
      <c r="F178" s="3">
        <f t="shared" si="7"/>
        <v>8</v>
      </c>
      <c r="G178" s="3">
        <f t="shared" si="8"/>
        <v>7</v>
      </c>
      <c r="H178" t="s">
        <v>1249</v>
      </c>
      <c r="I178">
        <v>2217</v>
      </c>
      <c r="J178" t="s">
        <v>554</v>
      </c>
      <c r="K178" t="s">
        <v>104</v>
      </c>
      <c r="L178">
        <v>2019</v>
      </c>
      <c r="M178" t="s">
        <v>362</v>
      </c>
      <c r="N178" t="s">
        <v>1249</v>
      </c>
      <c r="O178" t="s">
        <v>1250</v>
      </c>
      <c r="P178">
        <v>1000</v>
      </c>
      <c r="Q178" t="s">
        <v>104</v>
      </c>
      <c r="R178">
        <v>1980</v>
      </c>
      <c r="V178" t="s">
        <v>104</v>
      </c>
      <c r="X178">
        <v>2</v>
      </c>
      <c r="Z178">
        <v>-1.5</v>
      </c>
      <c r="AA178">
        <v>-3.5</v>
      </c>
      <c r="AB178">
        <v>10</v>
      </c>
      <c r="AC178">
        <v>45</v>
      </c>
      <c r="AD178">
        <v>45</v>
      </c>
      <c r="AE178">
        <v>20</v>
      </c>
      <c r="AF178">
        <v>80</v>
      </c>
      <c r="AG178">
        <v>24</v>
      </c>
      <c r="AH178">
        <v>76</v>
      </c>
      <c r="AI178">
        <v>42</v>
      </c>
      <c r="AJ178">
        <v>58</v>
      </c>
      <c r="AK178">
        <v>18</v>
      </c>
      <c r="AL178">
        <v>82</v>
      </c>
      <c r="AM178">
        <v>13</v>
      </c>
      <c r="AN178">
        <v>88</v>
      </c>
      <c r="AO178">
        <v>25</v>
      </c>
      <c r="AP178">
        <v>75</v>
      </c>
      <c r="AQ178">
        <v>20</v>
      </c>
      <c r="AR178">
        <v>28</v>
      </c>
      <c r="AS178">
        <v>61</v>
      </c>
      <c r="AT178">
        <v>80</v>
      </c>
      <c r="AU178">
        <v>89</v>
      </c>
      <c r="AV178">
        <v>72</v>
      </c>
      <c r="AW178">
        <v>5</v>
      </c>
      <c r="AX178">
        <v>1</v>
      </c>
      <c r="AY178">
        <v>7</v>
      </c>
      <c r="AZ178">
        <v>1.4</v>
      </c>
      <c r="BA178">
        <v>9</v>
      </c>
      <c r="BB178">
        <v>10</v>
      </c>
      <c r="BC178">
        <v>1</v>
      </c>
      <c r="BD178">
        <v>3</v>
      </c>
      <c r="BE178">
        <v>2</v>
      </c>
      <c r="BF178">
        <v>1</v>
      </c>
      <c r="BG178">
        <v>6</v>
      </c>
      <c r="BH178">
        <v>6</v>
      </c>
      <c r="BI178">
        <v>6</v>
      </c>
      <c r="BJ178">
        <v>9</v>
      </c>
      <c r="BK178">
        <v>11</v>
      </c>
      <c r="BL178">
        <v>18</v>
      </c>
      <c r="BM178">
        <v>0.7</v>
      </c>
      <c r="BN178">
        <v>0.9</v>
      </c>
      <c r="BO178">
        <v>1.2</v>
      </c>
      <c r="BP178">
        <v>1.8</v>
      </c>
      <c r="BQ178">
        <v>2</v>
      </c>
      <c r="BR178">
        <v>2</v>
      </c>
      <c r="BS178">
        <v>0</v>
      </c>
      <c r="BT178">
        <v>0</v>
      </c>
      <c r="BU178">
        <v>0</v>
      </c>
      <c r="BV178">
        <v>1</v>
      </c>
      <c r="BW178">
        <v>2</v>
      </c>
      <c r="BX178">
        <v>1</v>
      </c>
      <c r="BY178">
        <v>16</v>
      </c>
      <c r="BZ178">
        <v>3.2</v>
      </c>
      <c r="CA178">
        <v>5</v>
      </c>
      <c r="CB178">
        <v>1</v>
      </c>
      <c r="CC178">
        <v>10</v>
      </c>
      <c r="CD178">
        <v>9</v>
      </c>
      <c r="CE178">
        <v>7</v>
      </c>
      <c r="CF178">
        <v>6</v>
      </c>
      <c r="CG178">
        <v>1</v>
      </c>
      <c r="CH178">
        <v>2</v>
      </c>
      <c r="CI178">
        <v>2</v>
      </c>
      <c r="CJ178">
        <v>1</v>
      </c>
      <c r="CK178">
        <v>27</v>
      </c>
      <c r="CL178">
        <v>21</v>
      </c>
      <c r="CM178">
        <v>8</v>
      </c>
      <c r="CN178">
        <v>10</v>
      </c>
      <c r="CO178">
        <v>2.7</v>
      </c>
      <c r="CP178">
        <v>2.2999999999999998</v>
      </c>
      <c r="CQ178">
        <v>0.8</v>
      </c>
      <c r="CR178">
        <v>1.1000000000000001</v>
      </c>
      <c r="CS178">
        <v>2</v>
      </c>
      <c r="CT178">
        <v>2</v>
      </c>
      <c r="CU178">
        <v>1</v>
      </c>
      <c r="CV178">
        <v>2</v>
      </c>
      <c r="CW178">
        <v>1</v>
      </c>
      <c r="CX178">
        <v>0</v>
      </c>
      <c r="CY178">
        <v>0</v>
      </c>
      <c r="CZ178">
        <v>0</v>
      </c>
    </row>
    <row r="179" spans="1:104" x14ac:dyDescent="0.25">
      <c r="A179" s="1" t="s">
        <v>1251</v>
      </c>
      <c r="B179">
        <v>1457</v>
      </c>
      <c r="C179">
        <v>1452</v>
      </c>
      <c r="D179" s="2">
        <v>43666</v>
      </c>
      <c r="E179" s="3">
        <f t="shared" si="6"/>
        <v>2019</v>
      </c>
      <c r="F179" s="3">
        <f t="shared" si="7"/>
        <v>7</v>
      </c>
      <c r="G179" s="3">
        <f t="shared" si="8"/>
        <v>7</v>
      </c>
      <c r="H179" t="s">
        <v>1252</v>
      </c>
      <c r="I179">
        <v>289</v>
      </c>
      <c r="J179" t="s">
        <v>1253</v>
      </c>
      <c r="K179" t="s">
        <v>507</v>
      </c>
      <c r="L179">
        <v>2019</v>
      </c>
      <c r="M179" t="s">
        <v>218</v>
      </c>
      <c r="N179" t="s">
        <v>1254</v>
      </c>
      <c r="O179" t="s">
        <v>1255</v>
      </c>
      <c r="P179">
        <v>1500</v>
      </c>
      <c r="Q179" t="s">
        <v>507</v>
      </c>
      <c r="S179" t="s">
        <v>1256</v>
      </c>
      <c r="T179" t="s">
        <v>1257</v>
      </c>
      <c r="U179">
        <v>1000</v>
      </c>
      <c r="V179" t="s">
        <v>507</v>
      </c>
      <c r="X179">
        <v>2</v>
      </c>
      <c r="Y179">
        <v>1.5</v>
      </c>
      <c r="Z179">
        <v>-1.5</v>
      </c>
      <c r="AA179">
        <v>-4.5</v>
      </c>
      <c r="AB179">
        <v>0</v>
      </c>
      <c r="AC179">
        <v>50</v>
      </c>
      <c r="AD179">
        <v>50</v>
      </c>
      <c r="AE179">
        <v>24</v>
      </c>
      <c r="AF179">
        <v>76</v>
      </c>
      <c r="AG179">
        <v>30</v>
      </c>
      <c r="AH179">
        <v>70</v>
      </c>
      <c r="AI179">
        <v>26</v>
      </c>
      <c r="AJ179">
        <v>74</v>
      </c>
      <c r="AK179">
        <v>16</v>
      </c>
      <c r="AL179">
        <v>84</v>
      </c>
      <c r="AM179">
        <v>0</v>
      </c>
      <c r="AN179">
        <v>100</v>
      </c>
      <c r="AO179">
        <v>12</v>
      </c>
      <c r="AP179">
        <v>88</v>
      </c>
      <c r="AQ179">
        <v>27</v>
      </c>
      <c r="AR179">
        <v>33</v>
      </c>
      <c r="AS179">
        <v>6</v>
      </c>
      <c r="AT179">
        <v>87</v>
      </c>
      <c r="AU179">
        <v>78</v>
      </c>
      <c r="AV179">
        <v>67</v>
      </c>
      <c r="AW179">
        <v>6</v>
      </c>
      <c r="AX179">
        <v>1.2</v>
      </c>
      <c r="AY179">
        <v>17</v>
      </c>
      <c r="AZ179">
        <v>3.4</v>
      </c>
      <c r="BA179">
        <v>4</v>
      </c>
      <c r="BB179">
        <v>7</v>
      </c>
      <c r="BC179">
        <v>1</v>
      </c>
      <c r="BD179">
        <v>0</v>
      </c>
      <c r="BE179">
        <v>0</v>
      </c>
      <c r="BF179">
        <v>1</v>
      </c>
      <c r="BG179">
        <v>3</v>
      </c>
      <c r="BH179">
        <v>6</v>
      </c>
      <c r="BI179">
        <v>4</v>
      </c>
      <c r="BJ179">
        <v>5</v>
      </c>
      <c r="BK179">
        <v>9</v>
      </c>
      <c r="BL179">
        <v>29</v>
      </c>
      <c r="BM179">
        <v>1</v>
      </c>
      <c r="BN179">
        <v>0.7</v>
      </c>
      <c r="BO179">
        <v>2.2999999999999998</v>
      </c>
      <c r="BP179">
        <v>4.0999999999999996</v>
      </c>
      <c r="BQ179">
        <v>3</v>
      </c>
      <c r="BR179">
        <v>3</v>
      </c>
      <c r="BS179">
        <v>0</v>
      </c>
      <c r="BT179">
        <v>0</v>
      </c>
      <c r="BU179">
        <v>0</v>
      </c>
      <c r="BV179">
        <v>0</v>
      </c>
      <c r="BW179">
        <v>3</v>
      </c>
      <c r="BX179">
        <v>3</v>
      </c>
      <c r="BY179">
        <v>14</v>
      </c>
      <c r="BZ179">
        <v>2.8</v>
      </c>
      <c r="CA179">
        <v>6</v>
      </c>
      <c r="CB179">
        <v>1.2</v>
      </c>
      <c r="CC179">
        <v>7</v>
      </c>
      <c r="CD179">
        <v>5</v>
      </c>
      <c r="CE179">
        <v>6</v>
      </c>
      <c r="CF179">
        <v>3</v>
      </c>
      <c r="CG179">
        <v>0</v>
      </c>
      <c r="CH179">
        <v>2</v>
      </c>
      <c r="CI179">
        <v>1</v>
      </c>
      <c r="CJ179">
        <v>0</v>
      </c>
      <c r="CK179">
        <v>20</v>
      </c>
      <c r="CL179">
        <v>11</v>
      </c>
      <c r="CM179">
        <v>7</v>
      </c>
      <c r="CN179">
        <v>7</v>
      </c>
      <c r="CO179">
        <v>2.9</v>
      </c>
      <c r="CP179">
        <v>2.2000000000000002</v>
      </c>
      <c r="CQ179">
        <v>1</v>
      </c>
      <c r="CR179">
        <v>1.4</v>
      </c>
      <c r="CS179">
        <v>3</v>
      </c>
      <c r="CT179">
        <v>3</v>
      </c>
      <c r="CU179">
        <v>3</v>
      </c>
      <c r="CV179">
        <v>3</v>
      </c>
      <c r="CW179">
        <v>0</v>
      </c>
      <c r="CX179">
        <v>0</v>
      </c>
      <c r="CY179">
        <v>0</v>
      </c>
      <c r="CZ179">
        <v>0</v>
      </c>
    </row>
    <row r="180" spans="1:104" x14ac:dyDescent="0.25">
      <c r="A180" s="1" t="s">
        <v>1258</v>
      </c>
      <c r="B180">
        <v>7746</v>
      </c>
      <c r="C180">
        <v>7635</v>
      </c>
      <c r="D180" s="2">
        <v>43715</v>
      </c>
      <c r="E180" s="3">
        <f t="shared" si="6"/>
        <v>2019</v>
      </c>
      <c r="F180" s="3">
        <f t="shared" si="7"/>
        <v>9</v>
      </c>
      <c r="G180" s="3">
        <f t="shared" si="8"/>
        <v>7</v>
      </c>
      <c r="H180" t="s">
        <v>1259</v>
      </c>
      <c r="I180">
        <v>1063</v>
      </c>
      <c r="J180" t="s">
        <v>526</v>
      </c>
      <c r="K180" t="s">
        <v>241</v>
      </c>
      <c r="L180">
        <v>2019</v>
      </c>
      <c r="M180" t="s">
        <v>1260</v>
      </c>
      <c r="N180" t="s">
        <v>1259</v>
      </c>
      <c r="O180" t="s">
        <v>1261</v>
      </c>
      <c r="P180">
        <v>3500</v>
      </c>
      <c r="Q180" t="s">
        <v>241</v>
      </c>
      <c r="S180" t="s">
        <v>1262</v>
      </c>
      <c r="T180" t="s">
        <v>1263</v>
      </c>
      <c r="U180">
        <v>1800</v>
      </c>
      <c r="V180" t="s">
        <v>241</v>
      </c>
      <c r="W180">
        <v>1996</v>
      </c>
      <c r="X180" t="s">
        <v>109</v>
      </c>
      <c r="Y180">
        <v>1.5</v>
      </c>
      <c r="AA180">
        <v>-4.5</v>
      </c>
      <c r="AB180">
        <v>35</v>
      </c>
      <c r="AC180">
        <v>35</v>
      </c>
      <c r="AD180">
        <v>30</v>
      </c>
      <c r="AE180">
        <v>0</v>
      </c>
      <c r="AF180">
        <v>100</v>
      </c>
      <c r="AG180">
        <v>0</v>
      </c>
      <c r="AH180">
        <v>100</v>
      </c>
      <c r="AI180">
        <v>0</v>
      </c>
      <c r="AJ180">
        <v>0</v>
      </c>
      <c r="AK180">
        <v>0</v>
      </c>
      <c r="AL180">
        <v>0</v>
      </c>
      <c r="AM180">
        <v>80</v>
      </c>
      <c r="AN180">
        <v>20</v>
      </c>
      <c r="AO180">
        <v>60</v>
      </c>
      <c r="AP180">
        <v>40</v>
      </c>
      <c r="AQ180">
        <v>0</v>
      </c>
      <c r="AR180">
        <v>0</v>
      </c>
      <c r="AS180">
        <v>0</v>
      </c>
      <c r="AT180">
        <v>100</v>
      </c>
      <c r="AU180">
        <v>20</v>
      </c>
      <c r="AV180">
        <v>100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2</v>
      </c>
      <c r="BR180">
        <v>2</v>
      </c>
      <c r="BS180">
        <v>1</v>
      </c>
      <c r="BT180">
        <v>0</v>
      </c>
      <c r="BU180">
        <v>1</v>
      </c>
      <c r="BV180">
        <v>1</v>
      </c>
      <c r="BW180">
        <v>0</v>
      </c>
      <c r="BX180">
        <v>1</v>
      </c>
      <c r="BY180">
        <v>4</v>
      </c>
      <c r="BZ180">
        <v>4</v>
      </c>
      <c r="CA180">
        <v>0</v>
      </c>
      <c r="CB180">
        <v>0</v>
      </c>
      <c r="CC180">
        <v>0</v>
      </c>
      <c r="CD180">
        <v>1</v>
      </c>
      <c r="CE180">
        <v>0</v>
      </c>
      <c r="CF180">
        <v>1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4</v>
      </c>
      <c r="CM180">
        <v>0</v>
      </c>
      <c r="CN180">
        <v>0</v>
      </c>
      <c r="CO180">
        <v>0</v>
      </c>
      <c r="CP180">
        <v>4</v>
      </c>
      <c r="CQ180">
        <v>0</v>
      </c>
      <c r="CR180">
        <v>0</v>
      </c>
      <c r="CS180">
        <v>2</v>
      </c>
      <c r="CT180">
        <v>2</v>
      </c>
      <c r="CU180">
        <v>1</v>
      </c>
      <c r="CV180">
        <v>0</v>
      </c>
      <c r="CW180">
        <v>1</v>
      </c>
      <c r="CX180">
        <v>1</v>
      </c>
      <c r="CY180">
        <v>0</v>
      </c>
      <c r="CZ180">
        <v>1</v>
      </c>
    </row>
    <row r="181" spans="1:104" x14ac:dyDescent="0.25">
      <c r="A181" s="1" t="s">
        <v>1264</v>
      </c>
      <c r="B181">
        <v>3456</v>
      </c>
      <c r="C181">
        <v>3459</v>
      </c>
      <c r="D181" s="2">
        <v>43793</v>
      </c>
      <c r="E181" s="3">
        <f t="shared" si="6"/>
        <v>2019</v>
      </c>
      <c r="F181" s="3">
        <f t="shared" si="7"/>
        <v>11</v>
      </c>
      <c r="G181" s="3">
        <f t="shared" si="8"/>
        <v>1</v>
      </c>
      <c r="H181" t="s">
        <v>1265</v>
      </c>
      <c r="I181">
        <v>927</v>
      </c>
      <c r="J181" t="s">
        <v>1266</v>
      </c>
      <c r="K181" t="s">
        <v>391</v>
      </c>
      <c r="L181">
        <v>2019</v>
      </c>
      <c r="M181" t="s">
        <v>168</v>
      </c>
      <c r="Q181" t="s">
        <v>391</v>
      </c>
      <c r="R181">
        <v>1984</v>
      </c>
      <c r="S181" t="s">
        <v>1267</v>
      </c>
      <c r="T181" t="s">
        <v>1268</v>
      </c>
      <c r="U181">
        <v>45000</v>
      </c>
      <c r="V181" t="s">
        <v>391</v>
      </c>
      <c r="W181">
        <v>1948</v>
      </c>
      <c r="X181" t="s">
        <v>109</v>
      </c>
      <c r="Y181">
        <v>-3.5</v>
      </c>
      <c r="Z181">
        <v>-1.5</v>
      </c>
      <c r="AA181">
        <v>-1.5</v>
      </c>
      <c r="AB181">
        <v>45</v>
      </c>
      <c r="AC181">
        <v>45</v>
      </c>
      <c r="AD181">
        <v>10</v>
      </c>
      <c r="AE181">
        <v>45</v>
      </c>
      <c r="AF181">
        <v>55</v>
      </c>
      <c r="AG181">
        <v>43</v>
      </c>
      <c r="AH181">
        <v>57</v>
      </c>
      <c r="AI181">
        <v>50</v>
      </c>
      <c r="AJ181">
        <v>50</v>
      </c>
      <c r="AK181">
        <v>0</v>
      </c>
      <c r="AL181">
        <v>0</v>
      </c>
      <c r="AM181">
        <v>80</v>
      </c>
      <c r="AN181">
        <v>20</v>
      </c>
      <c r="AO181">
        <v>60</v>
      </c>
      <c r="AP181">
        <v>40</v>
      </c>
      <c r="AQ181">
        <v>33</v>
      </c>
      <c r="AR181">
        <v>33</v>
      </c>
      <c r="AS181">
        <v>56</v>
      </c>
      <c r="AT181">
        <v>40</v>
      </c>
      <c r="AU181">
        <v>44</v>
      </c>
      <c r="AV181">
        <v>56</v>
      </c>
      <c r="AW181">
        <v>3</v>
      </c>
      <c r="AX181">
        <v>0.6</v>
      </c>
      <c r="AY181">
        <v>4</v>
      </c>
      <c r="AZ181">
        <v>0.8</v>
      </c>
      <c r="BA181">
        <v>3</v>
      </c>
      <c r="BB181">
        <v>4</v>
      </c>
      <c r="BC181">
        <v>2</v>
      </c>
      <c r="BD181">
        <v>0</v>
      </c>
      <c r="BE181">
        <v>1</v>
      </c>
      <c r="BF181">
        <v>1</v>
      </c>
      <c r="BG181">
        <v>0</v>
      </c>
      <c r="BH181">
        <v>3</v>
      </c>
      <c r="BI181">
        <v>4</v>
      </c>
      <c r="BJ181">
        <v>0</v>
      </c>
      <c r="BK181">
        <v>2</v>
      </c>
      <c r="BL181">
        <v>3</v>
      </c>
      <c r="BM181">
        <v>1.3</v>
      </c>
      <c r="BN181">
        <v>0</v>
      </c>
      <c r="BO181">
        <v>0.7</v>
      </c>
      <c r="BP181">
        <v>0.8</v>
      </c>
      <c r="BQ181">
        <v>2</v>
      </c>
      <c r="BR181">
        <v>2</v>
      </c>
      <c r="BS181">
        <v>1</v>
      </c>
      <c r="BT181">
        <v>2</v>
      </c>
      <c r="BU181">
        <v>1</v>
      </c>
      <c r="BV181">
        <v>0</v>
      </c>
      <c r="BW181">
        <v>0</v>
      </c>
      <c r="BX181">
        <v>0</v>
      </c>
      <c r="BY181">
        <v>4</v>
      </c>
      <c r="BZ181">
        <v>0.8</v>
      </c>
      <c r="CA181">
        <v>4</v>
      </c>
      <c r="CB181">
        <v>0.8</v>
      </c>
      <c r="CC181">
        <v>4</v>
      </c>
      <c r="CD181">
        <v>4</v>
      </c>
      <c r="CE181">
        <v>2</v>
      </c>
      <c r="CF181">
        <v>1</v>
      </c>
      <c r="CG181">
        <v>2</v>
      </c>
      <c r="CH181">
        <v>1</v>
      </c>
      <c r="CI181">
        <v>0</v>
      </c>
      <c r="CJ181">
        <v>2</v>
      </c>
      <c r="CK181">
        <v>4</v>
      </c>
      <c r="CL181">
        <v>4</v>
      </c>
      <c r="CM181">
        <v>2</v>
      </c>
      <c r="CN181">
        <v>4</v>
      </c>
      <c r="CO181">
        <v>1</v>
      </c>
      <c r="CP181">
        <v>1</v>
      </c>
      <c r="CQ181">
        <v>0.5</v>
      </c>
      <c r="CR181">
        <v>1</v>
      </c>
      <c r="CS181">
        <v>2</v>
      </c>
      <c r="CT181">
        <v>2</v>
      </c>
      <c r="CU181">
        <v>0</v>
      </c>
      <c r="CV181">
        <v>0</v>
      </c>
      <c r="CW181">
        <v>0</v>
      </c>
      <c r="CX181">
        <v>1</v>
      </c>
      <c r="CY181">
        <v>2</v>
      </c>
      <c r="CZ181">
        <v>1</v>
      </c>
    </row>
    <row r="182" spans="1:104" x14ac:dyDescent="0.25">
      <c r="A182" s="1" t="s">
        <v>1269</v>
      </c>
      <c r="B182">
        <v>8309</v>
      </c>
      <c r="C182">
        <v>5002</v>
      </c>
      <c r="D182" s="2">
        <v>43751</v>
      </c>
      <c r="E182" s="3">
        <f t="shared" si="6"/>
        <v>2019</v>
      </c>
      <c r="F182" s="3">
        <f t="shared" si="7"/>
        <v>10</v>
      </c>
      <c r="G182" s="3">
        <f t="shared" si="8"/>
        <v>1</v>
      </c>
      <c r="H182" t="s">
        <v>1270</v>
      </c>
      <c r="I182">
        <v>1091</v>
      </c>
      <c r="J182" t="s">
        <v>1147</v>
      </c>
      <c r="K182" t="s">
        <v>547</v>
      </c>
      <c r="L182">
        <v>2019</v>
      </c>
      <c r="M182" t="s">
        <v>1271</v>
      </c>
      <c r="N182" t="s">
        <v>1270</v>
      </c>
      <c r="O182" t="s">
        <v>1272</v>
      </c>
      <c r="P182">
        <v>2000</v>
      </c>
      <c r="Q182" t="s">
        <v>547</v>
      </c>
      <c r="S182" t="s">
        <v>1273</v>
      </c>
      <c r="T182" t="s">
        <v>1274</v>
      </c>
      <c r="U182">
        <v>1500</v>
      </c>
      <c r="V182" t="s">
        <v>547</v>
      </c>
      <c r="X182" t="s">
        <v>125</v>
      </c>
      <c r="Z182">
        <v>-2.5</v>
      </c>
      <c r="AA182">
        <v>-2.5</v>
      </c>
      <c r="AB182">
        <v>10</v>
      </c>
      <c r="AC182">
        <v>45</v>
      </c>
      <c r="AD182">
        <v>45</v>
      </c>
      <c r="AE182">
        <v>40</v>
      </c>
      <c r="AF182">
        <v>60</v>
      </c>
      <c r="AG182">
        <v>57</v>
      </c>
      <c r="AH182">
        <v>43</v>
      </c>
      <c r="AI182">
        <v>42</v>
      </c>
      <c r="AJ182">
        <v>58</v>
      </c>
      <c r="AK182">
        <v>44</v>
      </c>
      <c r="AL182">
        <v>56</v>
      </c>
      <c r="AM182">
        <v>0</v>
      </c>
      <c r="AN182">
        <v>0</v>
      </c>
      <c r="AO182">
        <v>0</v>
      </c>
      <c r="AP182">
        <v>0</v>
      </c>
      <c r="AQ182">
        <v>27</v>
      </c>
      <c r="AR182">
        <v>44</v>
      </c>
      <c r="AS182">
        <v>39</v>
      </c>
      <c r="AT182">
        <v>40</v>
      </c>
      <c r="AU182">
        <v>33</v>
      </c>
      <c r="AV182">
        <v>56</v>
      </c>
      <c r="AW182">
        <v>8</v>
      </c>
      <c r="AX182">
        <v>1.6</v>
      </c>
      <c r="AY182">
        <v>11</v>
      </c>
      <c r="AZ182">
        <v>2.2000000000000002</v>
      </c>
      <c r="BA182">
        <v>4</v>
      </c>
      <c r="BB182">
        <v>6</v>
      </c>
      <c r="BC182">
        <v>2</v>
      </c>
      <c r="BD182">
        <v>0</v>
      </c>
      <c r="BE182">
        <v>1</v>
      </c>
      <c r="BF182">
        <v>2</v>
      </c>
      <c r="BG182">
        <v>1</v>
      </c>
      <c r="BH182">
        <v>4</v>
      </c>
      <c r="BI182">
        <v>9</v>
      </c>
      <c r="BJ182">
        <v>7</v>
      </c>
      <c r="BK182">
        <v>2</v>
      </c>
      <c r="BL182">
        <v>16</v>
      </c>
      <c r="BM182">
        <v>2.2999999999999998</v>
      </c>
      <c r="BN182">
        <v>1.2</v>
      </c>
      <c r="BO182">
        <v>0.5</v>
      </c>
      <c r="BP182">
        <v>2.7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6</v>
      </c>
      <c r="BZ182">
        <v>1.2</v>
      </c>
      <c r="CA182">
        <v>8</v>
      </c>
      <c r="CB182">
        <v>1.6</v>
      </c>
      <c r="CC182">
        <v>6</v>
      </c>
      <c r="CD182">
        <v>4</v>
      </c>
      <c r="CE182">
        <v>2</v>
      </c>
      <c r="CF182">
        <v>2</v>
      </c>
      <c r="CG182">
        <v>2</v>
      </c>
      <c r="CH182">
        <v>2</v>
      </c>
      <c r="CI182">
        <v>2</v>
      </c>
      <c r="CJ182">
        <v>0</v>
      </c>
      <c r="CK182">
        <v>9</v>
      </c>
      <c r="CL182">
        <v>10</v>
      </c>
      <c r="CM182">
        <v>10</v>
      </c>
      <c r="CN182">
        <v>3</v>
      </c>
      <c r="CO182">
        <v>1.5</v>
      </c>
      <c r="CP182">
        <v>2.5</v>
      </c>
      <c r="CQ182">
        <v>1.7</v>
      </c>
      <c r="CR182">
        <v>0.8</v>
      </c>
      <c r="CS182">
        <v>1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1</v>
      </c>
    </row>
    <row r="183" spans="1:104" x14ac:dyDescent="0.25">
      <c r="A183" s="1" t="s">
        <v>1275</v>
      </c>
      <c r="B183">
        <v>645</v>
      </c>
      <c r="C183">
        <v>607</v>
      </c>
      <c r="D183" s="2">
        <v>43702</v>
      </c>
      <c r="E183" s="3">
        <f t="shared" si="6"/>
        <v>2019</v>
      </c>
      <c r="F183" s="3">
        <f t="shared" si="7"/>
        <v>8</v>
      </c>
      <c r="G183" s="3">
        <f t="shared" si="8"/>
        <v>1</v>
      </c>
      <c r="H183" t="s">
        <v>1276</v>
      </c>
      <c r="I183">
        <v>782</v>
      </c>
      <c r="J183" t="s">
        <v>1277</v>
      </c>
      <c r="K183" t="s">
        <v>329</v>
      </c>
      <c r="L183">
        <v>2019</v>
      </c>
      <c r="M183" t="s">
        <v>405</v>
      </c>
      <c r="N183" t="s">
        <v>1276</v>
      </c>
      <c r="O183" t="s">
        <v>436</v>
      </c>
      <c r="P183">
        <v>52695</v>
      </c>
      <c r="Q183" t="s">
        <v>329</v>
      </c>
      <c r="R183">
        <v>1905</v>
      </c>
      <c r="S183" t="s">
        <v>1278</v>
      </c>
      <c r="T183" t="s">
        <v>1279</v>
      </c>
      <c r="U183">
        <v>42276</v>
      </c>
      <c r="V183" t="s">
        <v>329</v>
      </c>
      <c r="W183">
        <v>1981</v>
      </c>
      <c r="X183" t="s">
        <v>109</v>
      </c>
      <c r="Y183">
        <v>-3.5</v>
      </c>
      <c r="AB183">
        <v>35</v>
      </c>
      <c r="AC183">
        <v>35</v>
      </c>
      <c r="AD183">
        <v>30</v>
      </c>
      <c r="AE183">
        <v>0</v>
      </c>
      <c r="AF183">
        <v>100</v>
      </c>
      <c r="AG183">
        <v>0</v>
      </c>
      <c r="AH183">
        <v>0</v>
      </c>
      <c r="AI183">
        <v>0</v>
      </c>
      <c r="AJ183">
        <v>100</v>
      </c>
      <c r="AK183">
        <v>0</v>
      </c>
      <c r="AL183">
        <v>0</v>
      </c>
      <c r="AM183">
        <v>75</v>
      </c>
      <c r="AN183">
        <v>25</v>
      </c>
      <c r="AO183">
        <v>64</v>
      </c>
      <c r="AP183">
        <v>36</v>
      </c>
      <c r="AQ183">
        <v>0</v>
      </c>
      <c r="AR183">
        <v>0</v>
      </c>
      <c r="AS183">
        <v>88</v>
      </c>
      <c r="AT183">
        <v>33</v>
      </c>
      <c r="AU183">
        <v>0</v>
      </c>
      <c r="AV183">
        <v>100</v>
      </c>
      <c r="AW183">
        <v>0</v>
      </c>
      <c r="AX183">
        <v>0</v>
      </c>
      <c r="AY183">
        <v>2</v>
      </c>
      <c r="AZ183">
        <v>2</v>
      </c>
      <c r="BA183">
        <v>0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0</v>
      </c>
      <c r="BL183">
        <v>2</v>
      </c>
      <c r="BM183">
        <v>0</v>
      </c>
      <c r="BN183">
        <v>0</v>
      </c>
      <c r="BO183">
        <v>0</v>
      </c>
      <c r="BP183">
        <v>2</v>
      </c>
      <c r="BQ183">
        <v>9</v>
      </c>
      <c r="BR183">
        <v>8</v>
      </c>
      <c r="BS183">
        <v>6</v>
      </c>
      <c r="BT183">
        <v>5</v>
      </c>
      <c r="BU183">
        <v>3</v>
      </c>
      <c r="BV183">
        <v>3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1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8</v>
      </c>
      <c r="CT183">
        <v>9</v>
      </c>
      <c r="CU183">
        <v>0</v>
      </c>
      <c r="CV183">
        <v>0</v>
      </c>
      <c r="CW183">
        <v>3</v>
      </c>
      <c r="CX183">
        <v>3</v>
      </c>
      <c r="CY183">
        <v>5</v>
      </c>
      <c r="CZ183">
        <v>6</v>
      </c>
    </row>
    <row r="184" spans="1:104" x14ac:dyDescent="0.25">
      <c r="A184" s="1" t="s">
        <v>1280</v>
      </c>
      <c r="B184">
        <v>9859</v>
      </c>
      <c r="C184">
        <v>9870</v>
      </c>
      <c r="D184" s="2">
        <v>43765</v>
      </c>
      <c r="E184" s="3">
        <f t="shared" si="6"/>
        <v>2019</v>
      </c>
      <c r="F184" s="3">
        <f t="shared" si="7"/>
        <v>10</v>
      </c>
      <c r="G184" s="3">
        <f t="shared" si="8"/>
        <v>1</v>
      </c>
      <c r="H184" t="s">
        <v>1281</v>
      </c>
      <c r="I184">
        <v>1284</v>
      </c>
      <c r="J184" t="s">
        <v>1282</v>
      </c>
      <c r="K184" t="s">
        <v>380</v>
      </c>
      <c r="L184">
        <v>2019</v>
      </c>
      <c r="M184" t="s">
        <v>1283</v>
      </c>
      <c r="N184" t="s">
        <v>1281</v>
      </c>
      <c r="O184" t="s">
        <v>1284</v>
      </c>
      <c r="P184">
        <v>2000</v>
      </c>
      <c r="Q184" t="s">
        <v>380</v>
      </c>
      <c r="S184" t="s">
        <v>1285</v>
      </c>
      <c r="T184" t="s">
        <v>1286</v>
      </c>
      <c r="U184">
        <v>1700</v>
      </c>
      <c r="V184" t="s">
        <v>380</v>
      </c>
      <c r="X184">
        <v>1</v>
      </c>
      <c r="Y184">
        <v>1.5</v>
      </c>
      <c r="Z184">
        <v>-3.5</v>
      </c>
      <c r="AA184">
        <v>-1.5</v>
      </c>
      <c r="AB184">
        <v>35</v>
      </c>
      <c r="AC184">
        <v>35</v>
      </c>
      <c r="AD184">
        <v>30</v>
      </c>
      <c r="AE184">
        <v>50</v>
      </c>
      <c r="AF184">
        <v>50</v>
      </c>
      <c r="AG184">
        <v>55</v>
      </c>
      <c r="AH184">
        <v>45</v>
      </c>
      <c r="AI184">
        <v>39</v>
      </c>
      <c r="AJ184">
        <v>61</v>
      </c>
      <c r="AK184">
        <v>89</v>
      </c>
      <c r="AL184">
        <v>11</v>
      </c>
      <c r="AM184">
        <v>0</v>
      </c>
      <c r="AN184">
        <v>0</v>
      </c>
      <c r="AO184">
        <v>0</v>
      </c>
      <c r="AP184">
        <v>0</v>
      </c>
      <c r="AQ184">
        <v>27</v>
      </c>
      <c r="AR184">
        <v>30</v>
      </c>
      <c r="AS184">
        <v>15</v>
      </c>
      <c r="AT184">
        <v>27</v>
      </c>
      <c r="AU184">
        <v>25</v>
      </c>
      <c r="AV184">
        <v>45</v>
      </c>
      <c r="AW184">
        <v>6</v>
      </c>
      <c r="AX184">
        <v>1.2</v>
      </c>
      <c r="AY184">
        <v>17</v>
      </c>
      <c r="AZ184">
        <v>3.4</v>
      </c>
      <c r="BA184">
        <v>4</v>
      </c>
      <c r="BB184">
        <v>5</v>
      </c>
      <c r="BC184">
        <v>2</v>
      </c>
      <c r="BD184">
        <v>1</v>
      </c>
      <c r="BE184">
        <v>0</v>
      </c>
      <c r="BF184">
        <v>1</v>
      </c>
      <c r="BG184">
        <v>2</v>
      </c>
      <c r="BH184">
        <v>3</v>
      </c>
      <c r="BI184">
        <v>8</v>
      </c>
      <c r="BJ184">
        <v>5</v>
      </c>
      <c r="BK184">
        <v>11</v>
      </c>
      <c r="BL184">
        <v>17</v>
      </c>
      <c r="BM184">
        <v>2</v>
      </c>
      <c r="BN184">
        <v>1</v>
      </c>
      <c r="BO184">
        <v>2.8</v>
      </c>
      <c r="BP184">
        <v>3.4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5</v>
      </c>
      <c r="BZ184">
        <v>1</v>
      </c>
      <c r="CA184">
        <v>11</v>
      </c>
      <c r="CB184">
        <v>2.2000000000000002</v>
      </c>
      <c r="CC184">
        <v>5</v>
      </c>
      <c r="CD184">
        <v>4</v>
      </c>
      <c r="CE184">
        <v>2</v>
      </c>
      <c r="CF184">
        <v>0</v>
      </c>
      <c r="CG184">
        <v>2</v>
      </c>
      <c r="CH184">
        <v>0</v>
      </c>
      <c r="CI184">
        <v>1</v>
      </c>
      <c r="CJ184">
        <v>4</v>
      </c>
      <c r="CK184">
        <v>10</v>
      </c>
      <c r="CL184">
        <v>1</v>
      </c>
      <c r="CM184">
        <v>4</v>
      </c>
      <c r="CN184">
        <v>15</v>
      </c>
      <c r="CO184">
        <v>2</v>
      </c>
      <c r="CP184">
        <v>0.3</v>
      </c>
      <c r="CQ184">
        <v>0.8</v>
      </c>
      <c r="CR184">
        <v>3.8</v>
      </c>
      <c r="CS184">
        <v>0</v>
      </c>
      <c r="CT184">
        <v>1</v>
      </c>
      <c r="CU184">
        <v>0</v>
      </c>
      <c r="CV184">
        <v>1</v>
      </c>
      <c r="CW184">
        <v>0</v>
      </c>
      <c r="CX184">
        <v>0</v>
      </c>
      <c r="CY184">
        <v>0</v>
      </c>
      <c r="CZ184">
        <v>0</v>
      </c>
    </row>
    <row r="185" spans="1:104" x14ac:dyDescent="0.25">
      <c r="A185" s="1" t="s">
        <v>1287</v>
      </c>
      <c r="B185">
        <v>4722</v>
      </c>
      <c r="C185">
        <v>4796</v>
      </c>
      <c r="D185" s="2">
        <v>43765</v>
      </c>
      <c r="E185" s="3">
        <f t="shared" si="6"/>
        <v>2019</v>
      </c>
      <c r="F185" s="3">
        <f t="shared" si="7"/>
        <v>10</v>
      </c>
      <c r="G185" s="3">
        <f t="shared" si="8"/>
        <v>1</v>
      </c>
      <c r="H185" t="s">
        <v>1288</v>
      </c>
      <c r="I185">
        <v>1290</v>
      </c>
      <c r="J185" t="s">
        <v>1289</v>
      </c>
      <c r="K185" t="s">
        <v>140</v>
      </c>
      <c r="L185">
        <v>2019</v>
      </c>
      <c r="M185" t="s">
        <v>1290</v>
      </c>
      <c r="N185" t="s">
        <v>1291</v>
      </c>
      <c r="O185" t="s">
        <v>1292</v>
      </c>
      <c r="P185">
        <v>5000</v>
      </c>
      <c r="Q185" t="s">
        <v>140</v>
      </c>
      <c r="S185" t="s">
        <v>1293</v>
      </c>
      <c r="T185" t="s">
        <v>1294</v>
      </c>
      <c r="U185">
        <v>2800</v>
      </c>
      <c r="V185" t="s">
        <v>140</v>
      </c>
      <c r="W185">
        <v>1911</v>
      </c>
      <c r="X185" t="s">
        <v>125</v>
      </c>
      <c r="Z185">
        <v>-1.5</v>
      </c>
      <c r="AA185">
        <v>-2.5</v>
      </c>
      <c r="AB185">
        <v>10</v>
      </c>
      <c r="AC185">
        <v>45</v>
      </c>
      <c r="AD185">
        <v>45</v>
      </c>
      <c r="AE185">
        <v>29</v>
      </c>
      <c r="AF185">
        <v>71</v>
      </c>
      <c r="AG185">
        <v>50</v>
      </c>
      <c r="AH185">
        <v>50</v>
      </c>
      <c r="AI185">
        <v>35</v>
      </c>
      <c r="AJ185">
        <v>65</v>
      </c>
      <c r="AK185">
        <v>29</v>
      </c>
      <c r="AL185">
        <v>71</v>
      </c>
      <c r="AM185">
        <v>0</v>
      </c>
      <c r="AN185">
        <v>0</v>
      </c>
      <c r="AO185">
        <v>0</v>
      </c>
      <c r="AP185">
        <v>0</v>
      </c>
      <c r="AQ185">
        <v>13</v>
      </c>
      <c r="AR185">
        <v>22</v>
      </c>
      <c r="AS185">
        <v>52</v>
      </c>
      <c r="AT185">
        <v>33</v>
      </c>
      <c r="AU185">
        <v>22</v>
      </c>
      <c r="AV185">
        <v>74</v>
      </c>
      <c r="AW185">
        <v>5</v>
      </c>
      <c r="AX185">
        <v>1</v>
      </c>
      <c r="AY185">
        <v>11</v>
      </c>
      <c r="AZ185">
        <v>2.2000000000000002</v>
      </c>
      <c r="BA185">
        <v>3</v>
      </c>
      <c r="BB185">
        <v>4</v>
      </c>
      <c r="BC185">
        <v>0</v>
      </c>
      <c r="BD185">
        <v>0</v>
      </c>
      <c r="BE185">
        <v>1</v>
      </c>
      <c r="BF185">
        <v>1</v>
      </c>
      <c r="BG185">
        <v>2</v>
      </c>
      <c r="BH185">
        <v>3</v>
      </c>
      <c r="BI185">
        <v>4</v>
      </c>
      <c r="BJ185">
        <v>2</v>
      </c>
      <c r="BK185">
        <v>7</v>
      </c>
      <c r="BL185">
        <v>8</v>
      </c>
      <c r="BM185">
        <v>1.3</v>
      </c>
      <c r="BN185">
        <v>0.5</v>
      </c>
      <c r="BO185">
        <v>2.2999999999999998</v>
      </c>
      <c r="BP185">
        <v>2</v>
      </c>
      <c r="BQ185">
        <v>1</v>
      </c>
      <c r="BR185">
        <v>1</v>
      </c>
      <c r="BS185">
        <v>0</v>
      </c>
      <c r="BT185">
        <v>0</v>
      </c>
      <c r="BU185">
        <v>1</v>
      </c>
      <c r="BV185">
        <v>0</v>
      </c>
      <c r="BW185">
        <v>0</v>
      </c>
      <c r="BX185">
        <v>1</v>
      </c>
      <c r="BY185">
        <v>5</v>
      </c>
      <c r="BZ185">
        <v>1</v>
      </c>
      <c r="CA185">
        <v>6</v>
      </c>
      <c r="CB185">
        <v>1.2</v>
      </c>
      <c r="CC185">
        <v>3</v>
      </c>
      <c r="CD185">
        <v>4</v>
      </c>
      <c r="CE185">
        <v>1</v>
      </c>
      <c r="CF185">
        <v>1</v>
      </c>
      <c r="CG185">
        <v>1</v>
      </c>
      <c r="CH185">
        <v>2</v>
      </c>
      <c r="CI185">
        <v>1</v>
      </c>
      <c r="CJ185">
        <v>1</v>
      </c>
      <c r="CK185">
        <v>3</v>
      </c>
      <c r="CL185">
        <v>3</v>
      </c>
      <c r="CM185">
        <v>3</v>
      </c>
      <c r="CN185">
        <v>3</v>
      </c>
      <c r="CO185">
        <v>1</v>
      </c>
      <c r="CP185">
        <v>0.8</v>
      </c>
      <c r="CQ185">
        <v>1</v>
      </c>
      <c r="CR185">
        <v>0.8</v>
      </c>
      <c r="CS185">
        <v>1</v>
      </c>
      <c r="CT185">
        <v>1</v>
      </c>
      <c r="CU185">
        <v>1</v>
      </c>
      <c r="CV185">
        <v>0</v>
      </c>
      <c r="CW185">
        <v>0</v>
      </c>
      <c r="CX185">
        <v>1</v>
      </c>
      <c r="CY185">
        <v>0</v>
      </c>
      <c r="CZ185">
        <v>0</v>
      </c>
    </row>
    <row r="186" spans="1:104" x14ac:dyDescent="0.25">
      <c r="A186" s="1" t="s">
        <v>1295</v>
      </c>
      <c r="B186">
        <v>4346</v>
      </c>
      <c r="C186">
        <v>4331</v>
      </c>
      <c r="D186" s="2">
        <v>43702</v>
      </c>
      <c r="E186" s="3">
        <f t="shared" si="6"/>
        <v>2019</v>
      </c>
      <c r="F186" s="3">
        <f t="shared" si="7"/>
        <v>8</v>
      </c>
      <c r="G186" s="3">
        <f t="shared" si="8"/>
        <v>1</v>
      </c>
      <c r="H186" t="s">
        <v>1296</v>
      </c>
      <c r="I186">
        <v>894</v>
      </c>
      <c r="J186" t="s">
        <v>456</v>
      </c>
      <c r="K186" t="s">
        <v>1297</v>
      </c>
      <c r="L186">
        <v>2019</v>
      </c>
      <c r="M186" t="s">
        <v>209</v>
      </c>
      <c r="N186" t="s">
        <v>1296</v>
      </c>
      <c r="O186" t="s">
        <v>1298</v>
      </c>
      <c r="P186">
        <v>2000</v>
      </c>
      <c r="Q186" t="s">
        <v>1297</v>
      </c>
      <c r="R186">
        <v>2015</v>
      </c>
      <c r="S186" t="s">
        <v>1299</v>
      </c>
      <c r="T186" t="s">
        <v>1300</v>
      </c>
      <c r="U186">
        <v>3000</v>
      </c>
      <c r="V186" t="s">
        <v>1297</v>
      </c>
      <c r="W186">
        <v>1965</v>
      </c>
      <c r="X186" t="s">
        <v>109</v>
      </c>
      <c r="Y186">
        <v>-3.5</v>
      </c>
      <c r="Z186">
        <v>-2.5</v>
      </c>
      <c r="AA186">
        <v>-1.5</v>
      </c>
      <c r="AB186">
        <v>35</v>
      </c>
      <c r="AC186">
        <v>35</v>
      </c>
      <c r="AD186">
        <v>30</v>
      </c>
      <c r="AE186">
        <v>50</v>
      </c>
      <c r="AF186">
        <v>50</v>
      </c>
      <c r="AG186">
        <v>75</v>
      </c>
      <c r="AH186">
        <v>25</v>
      </c>
      <c r="AI186">
        <v>25</v>
      </c>
      <c r="AJ186">
        <v>75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50</v>
      </c>
      <c r="AR186">
        <v>50</v>
      </c>
      <c r="AS186">
        <v>50</v>
      </c>
      <c r="AT186">
        <v>50</v>
      </c>
      <c r="AU186">
        <v>17</v>
      </c>
      <c r="AV186">
        <v>83</v>
      </c>
      <c r="AW186">
        <v>3</v>
      </c>
      <c r="AX186">
        <v>1.5</v>
      </c>
      <c r="AY186">
        <v>3</v>
      </c>
      <c r="AZ186">
        <v>1.5</v>
      </c>
      <c r="BA186">
        <v>1</v>
      </c>
      <c r="BB186">
        <v>1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1</v>
      </c>
      <c r="BI186">
        <v>2</v>
      </c>
      <c r="BJ186">
        <v>1</v>
      </c>
      <c r="BK186">
        <v>1</v>
      </c>
      <c r="BL186">
        <v>2</v>
      </c>
      <c r="BM186">
        <v>2</v>
      </c>
      <c r="BN186">
        <v>1</v>
      </c>
      <c r="BO186">
        <v>1</v>
      </c>
      <c r="BP186">
        <v>2</v>
      </c>
      <c r="BQ186">
        <v>3</v>
      </c>
      <c r="BR186">
        <v>1</v>
      </c>
      <c r="BS186">
        <v>2</v>
      </c>
      <c r="BT186">
        <v>0</v>
      </c>
      <c r="BU186">
        <v>1</v>
      </c>
      <c r="BV186">
        <v>0</v>
      </c>
      <c r="BW186">
        <v>0</v>
      </c>
      <c r="BX186">
        <v>1</v>
      </c>
      <c r="BY186">
        <v>1</v>
      </c>
      <c r="BZ186">
        <v>0.5</v>
      </c>
      <c r="CA186">
        <v>1</v>
      </c>
      <c r="CB186">
        <v>0.5</v>
      </c>
      <c r="CC186">
        <v>1</v>
      </c>
      <c r="CD186">
        <v>1</v>
      </c>
      <c r="CE186">
        <v>1</v>
      </c>
      <c r="CF186">
        <v>0</v>
      </c>
      <c r="CG186">
        <v>0</v>
      </c>
      <c r="CH186">
        <v>0</v>
      </c>
      <c r="CI186">
        <v>0</v>
      </c>
      <c r="CJ186">
        <v>1</v>
      </c>
      <c r="CK186">
        <v>1</v>
      </c>
      <c r="CL186">
        <v>0</v>
      </c>
      <c r="CM186">
        <v>0</v>
      </c>
      <c r="CN186">
        <v>1</v>
      </c>
      <c r="CO186">
        <v>1</v>
      </c>
      <c r="CP186">
        <v>0</v>
      </c>
      <c r="CQ186">
        <v>0</v>
      </c>
      <c r="CR186">
        <v>1</v>
      </c>
      <c r="CS186">
        <v>1</v>
      </c>
      <c r="CT186">
        <v>3</v>
      </c>
      <c r="CU186">
        <v>1</v>
      </c>
      <c r="CV186">
        <v>0</v>
      </c>
      <c r="CW186">
        <v>0</v>
      </c>
      <c r="CX186">
        <v>1</v>
      </c>
      <c r="CY186">
        <v>0</v>
      </c>
      <c r="CZ186">
        <v>2</v>
      </c>
    </row>
    <row r="187" spans="1:104" x14ac:dyDescent="0.25">
      <c r="A187" s="1" t="s">
        <v>1301</v>
      </c>
      <c r="B187">
        <v>4903</v>
      </c>
      <c r="C187">
        <v>3644</v>
      </c>
      <c r="D187" s="2">
        <v>43681</v>
      </c>
      <c r="E187" s="3">
        <f t="shared" si="6"/>
        <v>2019</v>
      </c>
      <c r="F187" s="3">
        <f t="shared" si="7"/>
        <v>8</v>
      </c>
      <c r="G187" s="3">
        <f t="shared" si="8"/>
        <v>1</v>
      </c>
      <c r="H187" t="s">
        <v>1302</v>
      </c>
      <c r="I187">
        <v>773</v>
      </c>
      <c r="J187" t="s">
        <v>344</v>
      </c>
      <c r="K187" t="s">
        <v>1303</v>
      </c>
      <c r="L187">
        <v>2019</v>
      </c>
      <c r="M187" t="s">
        <v>1304</v>
      </c>
      <c r="N187" t="s">
        <v>1302</v>
      </c>
      <c r="O187" t="s">
        <v>1305</v>
      </c>
      <c r="P187">
        <v>2500</v>
      </c>
      <c r="Q187" t="s">
        <v>1303</v>
      </c>
      <c r="S187" t="s">
        <v>1306</v>
      </c>
      <c r="T187" t="s">
        <v>1307</v>
      </c>
      <c r="U187">
        <v>8000</v>
      </c>
      <c r="V187" t="s">
        <v>1303</v>
      </c>
      <c r="W187">
        <v>1960</v>
      </c>
      <c r="X187" t="s">
        <v>125</v>
      </c>
      <c r="Y187">
        <v>-3.5</v>
      </c>
      <c r="Z187">
        <v>-1.5</v>
      </c>
      <c r="AA187">
        <v>-1.5</v>
      </c>
      <c r="AB187">
        <v>10</v>
      </c>
      <c r="AC187">
        <v>45</v>
      </c>
      <c r="AD187">
        <v>45</v>
      </c>
      <c r="AE187">
        <v>0</v>
      </c>
      <c r="AF187">
        <v>100</v>
      </c>
      <c r="AG187">
        <v>50</v>
      </c>
      <c r="AH187">
        <v>50</v>
      </c>
      <c r="AI187">
        <v>0</v>
      </c>
      <c r="AJ187">
        <v>100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8</v>
      </c>
      <c r="AS187">
        <v>85</v>
      </c>
      <c r="AT187">
        <v>100</v>
      </c>
      <c r="AU187">
        <v>8</v>
      </c>
      <c r="AV187">
        <v>100</v>
      </c>
      <c r="AW187">
        <v>1</v>
      </c>
      <c r="AX187">
        <v>1</v>
      </c>
      <c r="AY187">
        <v>2</v>
      </c>
      <c r="AZ187">
        <v>2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1</v>
      </c>
      <c r="BK187">
        <v>0</v>
      </c>
      <c r="BL187">
        <v>2</v>
      </c>
      <c r="BM187">
        <v>0</v>
      </c>
      <c r="BN187">
        <v>1</v>
      </c>
      <c r="BO187">
        <v>0</v>
      </c>
      <c r="BP187">
        <v>2</v>
      </c>
      <c r="BQ187">
        <v>1</v>
      </c>
      <c r="BR187">
        <v>2</v>
      </c>
      <c r="BS187">
        <v>1</v>
      </c>
      <c r="BT187">
        <v>0</v>
      </c>
      <c r="BU187">
        <v>0</v>
      </c>
      <c r="BV187">
        <v>0</v>
      </c>
      <c r="BW187">
        <v>0</v>
      </c>
      <c r="BX187">
        <v>2</v>
      </c>
      <c r="BY187">
        <v>1</v>
      </c>
      <c r="BZ187">
        <v>1</v>
      </c>
      <c r="CA187">
        <v>0</v>
      </c>
      <c r="CB187">
        <v>0</v>
      </c>
      <c r="CC187">
        <v>1</v>
      </c>
      <c r="CD187">
        <v>0</v>
      </c>
      <c r="CE187">
        <v>1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0</v>
      </c>
      <c r="CM187">
        <v>0</v>
      </c>
      <c r="CN187">
        <v>0</v>
      </c>
      <c r="CO187">
        <v>1</v>
      </c>
      <c r="CP187">
        <v>0</v>
      </c>
      <c r="CQ187">
        <v>0</v>
      </c>
      <c r="CR187">
        <v>0</v>
      </c>
      <c r="CS187">
        <v>2</v>
      </c>
      <c r="CT187">
        <v>1</v>
      </c>
      <c r="CU187">
        <v>2</v>
      </c>
      <c r="CV187">
        <v>0</v>
      </c>
      <c r="CW187">
        <v>0</v>
      </c>
      <c r="CX187">
        <v>0</v>
      </c>
      <c r="CY187">
        <v>0</v>
      </c>
      <c r="CZ187">
        <v>1</v>
      </c>
    </row>
    <row r="188" spans="1:104" x14ac:dyDescent="0.25">
      <c r="A188" s="1" t="s">
        <v>1308</v>
      </c>
      <c r="B188">
        <v>4316</v>
      </c>
      <c r="C188">
        <v>4320</v>
      </c>
      <c r="D188" s="2">
        <v>43667</v>
      </c>
      <c r="E188" s="3">
        <f t="shared" si="6"/>
        <v>2019</v>
      </c>
      <c r="F188" s="3">
        <f t="shared" si="7"/>
        <v>7</v>
      </c>
      <c r="G188" s="3">
        <f t="shared" si="8"/>
        <v>1</v>
      </c>
      <c r="H188" t="s">
        <v>1309</v>
      </c>
      <c r="I188">
        <v>601</v>
      </c>
      <c r="J188" t="s">
        <v>990</v>
      </c>
      <c r="K188" t="s">
        <v>149</v>
      </c>
      <c r="L188">
        <v>2019</v>
      </c>
      <c r="M188" t="s">
        <v>968</v>
      </c>
      <c r="N188" t="s">
        <v>993</v>
      </c>
      <c r="O188" t="s">
        <v>994</v>
      </c>
      <c r="P188">
        <v>50000</v>
      </c>
      <c r="Q188" t="s">
        <v>149</v>
      </c>
      <c r="S188" t="s">
        <v>1310</v>
      </c>
      <c r="T188" t="s">
        <v>1311</v>
      </c>
      <c r="U188">
        <v>40322</v>
      </c>
      <c r="V188" t="s">
        <v>149</v>
      </c>
      <c r="X188" t="s">
        <v>109</v>
      </c>
      <c r="Z188">
        <v>-2.5</v>
      </c>
      <c r="AA188">
        <v>-2.5</v>
      </c>
      <c r="AB188">
        <v>45</v>
      </c>
      <c r="AC188">
        <v>45</v>
      </c>
      <c r="AD188">
        <v>10</v>
      </c>
      <c r="AE188">
        <v>63</v>
      </c>
      <c r="AF188">
        <v>38</v>
      </c>
      <c r="AG188">
        <v>59</v>
      </c>
      <c r="AH188">
        <v>41</v>
      </c>
      <c r="AI188">
        <v>50</v>
      </c>
      <c r="AJ188">
        <v>50</v>
      </c>
      <c r="AK188">
        <v>0</v>
      </c>
      <c r="AL188">
        <v>0</v>
      </c>
      <c r="AM188">
        <v>62</v>
      </c>
      <c r="AN188">
        <v>38</v>
      </c>
      <c r="AO188">
        <v>58</v>
      </c>
      <c r="AP188">
        <v>42</v>
      </c>
      <c r="AQ188">
        <v>67</v>
      </c>
      <c r="AR188">
        <v>100</v>
      </c>
      <c r="AS188">
        <v>13</v>
      </c>
      <c r="AT188">
        <v>40</v>
      </c>
      <c r="AU188">
        <v>88</v>
      </c>
      <c r="AV188">
        <v>13</v>
      </c>
      <c r="AW188">
        <v>10</v>
      </c>
      <c r="AX188">
        <v>2</v>
      </c>
      <c r="AY188">
        <v>7</v>
      </c>
      <c r="AZ188">
        <v>1.4</v>
      </c>
      <c r="BA188">
        <v>8</v>
      </c>
      <c r="BB188">
        <v>8</v>
      </c>
      <c r="BC188">
        <v>6</v>
      </c>
      <c r="BD188">
        <v>2</v>
      </c>
      <c r="BE188">
        <v>1</v>
      </c>
      <c r="BF188">
        <v>2</v>
      </c>
      <c r="BG188">
        <v>1</v>
      </c>
      <c r="BH188">
        <v>4</v>
      </c>
      <c r="BI188">
        <v>17</v>
      </c>
      <c r="BJ188">
        <v>11</v>
      </c>
      <c r="BK188">
        <v>8</v>
      </c>
      <c r="BL188">
        <v>16</v>
      </c>
      <c r="BM188">
        <v>2.1</v>
      </c>
      <c r="BN188">
        <v>1.4</v>
      </c>
      <c r="BO188">
        <v>1</v>
      </c>
      <c r="BP188">
        <v>2</v>
      </c>
      <c r="BQ188">
        <v>4</v>
      </c>
      <c r="BR188">
        <v>5</v>
      </c>
      <c r="BS188">
        <v>1</v>
      </c>
      <c r="BT188">
        <v>2</v>
      </c>
      <c r="BU188">
        <v>1</v>
      </c>
      <c r="BV188">
        <v>2</v>
      </c>
      <c r="BW188">
        <v>2</v>
      </c>
      <c r="BX188">
        <v>1</v>
      </c>
      <c r="BY188">
        <v>7</v>
      </c>
      <c r="BZ188">
        <v>1.4</v>
      </c>
      <c r="CA188">
        <v>7</v>
      </c>
      <c r="CB188">
        <v>1.4</v>
      </c>
      <c r="CC188">
        <v>9</v>
      </c>
      <c r="CD188">
        <v>7</v>
      </c>
      <c r="CE188">
        <v>4</v>
      </c>
      <c r="CF188">
        <v>2</v>
      </c>
      <c r="CG188">
        <v>2</v>
      </c>
      <c r="CH188">
        <v>2</v>
      </c>
      <c r="CI188">
        <v>3</v>
      </c>
      <c r="CJ188">
        <v>3</v>
      </c>
      <c r="CK188">
        <v>17</v>
      </c>
      <c r="CL188">
        <v>9</v>
      </c>
      <c r="CM188">
        <v>13</v>
      </c>
      <c r="CN188">
        <v>7</v>
      </c>
      <c r="CO188">
        <v>1.9</v>
      </c>
      <c r="CP188">
        <v>1.3</v>
      </c>
      <c r="CQ188">
        <v>1.4</v>
      </c>
      <c r="CR188">
        <v>1</v>
      </c>
      <c r="CS188">
        <v>5</v>
      </c>
      <c r="CT188">
        <v>4</v>
      </c>
      <c r="CU188">
        <v>1</v>
      </c>
      <c r="CV188">
        <v>2</v>
      </c>
      <c r="CW188">
        <v>2</v>
      </c>
      <c r="CX188">
        <v>1</v>
      </c>
      <c r="CY188">
        <v>2</v>
      </c>
      <c r="CZ188">
        <v>1</v>
      </c>
    </row>
    <row r="189" spans="1:104" x14ac:dyDescent="0.25">
      <c r="A189" s="1" t="s">
        <v>1312</v>
      </c>
      <c r="B189">
        <v>423</v>
      </c>
      <c r="C189">
        <v>425</v>
      </c>
      <c r="D189" s="2">
        <v>43686</v>
      </c>
      <c r="E189" s="3">
        <f t="shared" si="6"/>
        <v>2019</v>
      </c>
      <c r="F189" s="3">
        <f t="shared" si="7"/>
        <v>8</v>
      </c>
      <c r="G189" s="3">
        <f t="shared" si="8"/>
        <v>6</v>
      </c>
      <c r="H189" t="s">
        <v>1313</v>
      </c>
      <c r="I189">
        <v>571</v>
      </c>
      <c r="J189" t="s">
        <v>1314</v>
      </c>
      <c r="K189" t="s">
        <v>286</v>
      </c>
      <c r="L189">
        <v>2019</v>
      </c>
      <c r="M189" t="s">
        <v>1170</v>
      </c>
      <c r="N189" t="s">
        <v>1315</v>
      </c>
      <c r="O189" t="s">
        <v>1316</v>
      </c>
      <c r="P189">
        <v>4700</v>
      </c>
      <c r="Q189" t="s">
        <v>286</v>
      </c>
      <c r="R189">
        <v>1928</v>
      </c>
      <c r="S189" t="s">
        <v>1317</v>
      </c>
      <c r="T189" t="s">
        <v>1318</v>
      </c>
      <c r="U189">
        <v>5000</v>
      </c>
      <c r="V189" t="s">
        <v>286</v>
      </c>
      <c r="X189" t="s">
        <v>125</v>
      </c>
      <c r="AB189">
        <v>0</v>
      </c>
      <c r="AC189">
        <v>50</v>
      </c>
      <c r="AD189">
        <v>50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20</v>
      </c>
      <c r="AN189">
        <v>80</v>
      </c>
      <c r="AO189">
        <v>17</v>
      </c>
      <c r="AP189">
        <v>83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4</v>
      </c>
      <c r="BR189">
        <v>4</v>
      </c>
      <c r="BS189">
        <v>2</v>
      </c>
      <c r="BT189">
        <v>0</v>
      </c>
      <c r="BU189">
        <v>0</v>
      </c>
      <c r="BV189">
        <v>0</v>
      </c>
      <c r="BW189">
        <v>2</v>
      </c>
      <c r="BX189">
        <v>4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4</v>
      </c>
      <c r="CT189">
        <v>4</v>
      </c>
      <c r="CU189">
        <v>4</v>
      </c>
      <c r="CV189">
        <v>2</v>
      </c>
      <c r="CW189">
        <v>0</v>
      </c>
      <c r="CX189">
        <v>0</v>
      </c>
      <c r="CY189">
        <v>0</v>
      </c>
      <c r="CZ189">
        <v>2</v>
      </c>
    </row>
    <row r="190" spans="1:104" x14ac:dyDescent="0.25">
      <c r="A190" s="1" t="s">
        <v>1319</v>
      </c>
      <c r="B190">
        <v>3907</v>
      </c>
      <c r="C190">
        <v>1271</v>
      </c>
      <c r="D190" s="2">
        <v>43743</v>
      </c>
      <c r="E190" s="3">
        <f t="shared" si="6"/>
        <v>2019</v>
      </c>
      <c r="F190" s="3">
        <f t="shared" si="7"/>
        <v>10</v>
      </c>
      <c r="G190" s="3">
        <f t="shared" si="8"/>
        <v>7</v>
      </c>
      <c r="H190" t="s">
        <v>1320</v>
      </c>
      <c r="I190">
        <v>1189</v>
      </c>
      <c r="J190" t="s">
        <v>285</v>
      </c>
      <c r="K190" t="s">
        <v>286</v>
      </c>
      <c r="L190">
        <v>2019</v>
      </c>
      <c r="M190" t="s">
        <v>1321</v>
      </c>
      <c r="Q190" t="s">
        <v>286</v>
      </c>
      <c r="V190" t="s">
        <v>286</v>
      </c>
      <c r="W190">
        <v>1926</v>
      </c>
      <c r="X190" t="s">
        <v>125</v>
      </c>
      <c r="Y190">
        <v>1.5</v>
      </c>
      <c r="Z190">
        <v>-2.5</v>
      </c>
      <c r="AA190">
        <v>-3.5</v>
      </c>
      <c r="AB190">
        <v>10</v>
      </c>
      <c r="AC190">
        <v>45</v>
      </c>
      <c r="AD190">
        <v>45</v>
      </c>
      <c r="AE190">
        <v>31</v>
      </c>
      <c r="AF190">
        <v>69</v>
      </c>
      <c r="AG190">
        <v>53</v>
      </c>
      <c r="AH190">
        <v>47</v>
      </c>
      <c r="AI190">
        <v>38</v>
      </c>
      <c r="AJ190">
        <v>63</v>
      </c>
      <c r="AK190">
        <v>38</v>
      </c>
      <c r="AL190">
        <v>62</v>
      </c>
      <c r="AM190">
        <v>0</v>
      </c>
      <c r="AN190">
        <v>100</v>
      </c>
      <c r="AO190">
        <v>0</v>
      </c>
      <c r="AP190">
        <v>100</v>
      </c>
      <c r="AQ190">
        <v>27</v>
      </c>
      <c r="AR190">
        <v>63</v>
      </c>
      <c r="AS190">
        <v>6</v>
      </c>
      <c r="AT190">
        <v>60</v>
      </c>
      <c r="AU190">
        <v>56</v>
      </c>
      <c r="AV190">
        <v>44</v>
      </c>
      <c r="AW190">
        <v>10</v>
      </c>
      <c r="AX190">
        <v>2</v>
      </c>
      <c r="AY190">
        <v>15</v>
      </c>
      <c r="AZ190">
        <v>3</v>
      </c>
      <c r="BA190">
        <v>3</v>
      </c>
      <c r="BB190">
        <v>3</v>
      </c>
      <c r="BC190">
        <v>1</v>
      </c>
      <c r="BD190">
        <v>0</v>
      </c>
      <c r="BE190">
        <v>1</v>
      </c>
      <c r="BF190">
        <v>0</v>
      </c>
      <c r="BG190">
        <v>1</v>
      </c>
      <c r="BH190">
        <v>3</v>
      </c>
      <c r="BI190">
        <v>5</v>
      </c>
      <c r="BJ190">
        <v>5</v>
      </c>
      <c r="BK190">
        <v>6</v>
      </c>
      <c r="BL190">
        <v>11</v>
      </c>
      <c r="BM190">
        <v>1.7</v>
      </c>
      <c r="BN190">
        <v>1.7</v>
      </c>
      <c r="BO190">
        <v>2</v>
      </c>
      <c r="BP190">
        <v>3.7</v>
      </c>
      <c r="BQ190">
        <v>1</v>
      </c>
      <c r="BR190">
        <v>1</v>
      </c>
      <c r="BS190">
        <v>1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9</v>
      </c>
      <c r="BZ190">
        <v>1.8</v>
      </c>
      <c r="CA190">
        <v>9</v>
      </c>
      <c r="CB190">
        <v>1.8</v>
      </c>
      <c r="CC190">
        <v>3</v>
      </c>
      <c r="CD190">
        <v>3</v>
      </c>
      <c r="CE190">
        <v>1</v>
      </c>
      <c r="CF190">
        <v>2</v>
      </c>
      <c r="CG190">
        <v>0</v>
      </c>
      <c r="CH190">
        <v>0</v>
      </c>
      <c r="CI190">
        <v>2</v>
      </c>
      <c r="CJ190">
        <v>1</v>
      </c>
      <c r="CK190">
        <v>4</v>
      </c>
      <c r="CL190">
        <v>7</v>
      </c>
      <c r="CM190">
        <v>6</v>
      </c>
      <c r="CN190">
        <v>6</v>
      </c>
      <c r="CO190">
        <v>1.3</v>
      </c>
      <c r="CP190">
        <v>2.2999999999999998</v>
      </c>
      <c r="CQ190">
        <v>2</v>
      </c>
      <c r="CR190">
        <v>2</v>
      </c>
      <c r="CS190">
        <v>1</v>
      </c>
      <c r="CT190">
        <v>1</v>
      </c>
      <c r="CU190">
        <v>1</v>
      </c>
      <c r="CV190">
        <v>0</v>
      </c>
      <c r="CW190">
        <v>0</v>
      </c>
      <c r="CX190">
        <v>0</v>
      </c>
      <c r="CY190">
        <v>0</v>
      </c>
      <c r="CZ190">
        <v>1</v>
      </c>
    </row>
    <row r="191" spans="1:104" x14ac:dyDescent="0.25">
      <c r="A191" s="1" t="s">
        <v>1322</v>
      </c>
      <c r="B191">
        <v>9341</v>
      </c>
      <c r="C191">
        <v>1655</v>
      </c>
      <c r="D191" s="2">
        <v>43785</v>
      </c>
      <c r="E191" s="3">
        <f t="shared" si="6"/>
        <v>2019</v>
      </c>
      <c r="F191" s="3">
        <f t="shared" si="7"/>
        <v>11</v>
      </c>
      <c r="G191" s="3">
        <f t="shared" si="8"/>
        <v>7</v>
      </c>
      <c r="H191" t="s">
        <v>561</v>
      </c>
      <c r="I191">
        <v>1241</v>
      </c>
      <c r="J191" t="s">
        <v>557</v>
      </c>
      <c r="K191" t="s">
        <v>558</v>
      </c>
      <c r="L191">
        <v>2019</v>
      </c>
      <c r="M191" t="s">
        <v>1323</v>
      </c>
      <c r="N191" t="s">
        <v>561</v>
      </c>
      <c r="O191" t="s">
        <v>562</v>
      </c>
      <c r="P191">
        <v>2500</v>
      </c>
      <c r="Q191" t="s">
        <v>558</v>
      </c>
      <c r="R191">
        <v>1896</v>
      </c>
      <c r="S191" t="s">
        <v>1324</v>
      </c>
      <c r="T191" t="s">
        <v>1325</v>
      </c>
      <c r="U191">
        <v>2000</v>
      </c>
      <c r="V191" t="s">
        <v>558</v>
      </c>
      <c r="X191" t="s">
        <v>125</v>
      </c>
      <c r="Z191">
        <v>-2.5</v>
      </c>
      <c r="AA191">
        <v>-2.5</v>
      </c>
      <c r="AB191">
        <v>10</v>
      </c>
      <c r="AC191">
        <v>45</v>
      </c>
      <c r="AD191">
        <v>45</v>
      </c>
      <c r="AE191">
        <v>0</v>
      </c>
      <c r="AF191">
        <v>100</v>
      </c>
      <c r="AG191">
        <v>36</v>
      </c>
      <c r="AH191">
        <v>64</v>
      </c>
      <c r="AI191">
        <v>50</v>
      </c>
      <c r="AJ191">
        <v>50</v>
      </c>
      <c r="AK191">
        <v>55</v>
      </c>
      <c r="AL191">
        <v>45</v>
      </c>
      <c r="AM191">
        <v>0</v>
      </c>
      <c r="AN191">
        <v>100</v>
      </c>
      <c r="AO191">
        <v>0</v>
      </c>
      <c r="AP191">
        <v>100</v>
      </c>
      <c r="AQ191">
        <v>0</v>
      </c>
      <c r="AR191">
        <v>22</v>
      </c>
      <c r="AS191">
        <v>33</v>
      </c>
      <c r="AT191">
        <v>13</v>
      </c>
      <c r="AU191">
        <v>39</v>
      </c>
      <c r="AV191">
        <v>33</v>
      </c>
      <c r="AW191">
        <v>4</v>
      </c>
      <c r="AX191">
        <v>0.8</v>
      </c>
      <c r="AY191">
        <v>12</v>
      </c>
      <c r="AZ191">
        <v>2.4</v>
      </c>
      <c r="BA191">
        <v>7</v>
      </c>
      <c r="BB191">
        <v>10</v>
      </c>
      <c r="BC191">
        <v>2</v>
      </c>
      <c r="BD191">
        <v>2</v>
      </c>
      <c r="BE191">
        <v>1</v>
      </c>
      <c r="BF191">
        <v>1</v>
      </c>
      <c r="BG191">
        <v>4</v>
      </c>
      <c r="BH191">
        <v>7</v>
      </c>
      <c r="BI191">
        <v>10</v>
      </c>
      <c r="BJ191">
        <v>8</v>
      </c>
      <c r="BK191">
        <v>12</v>
      </c>
      <c r="BL191">
        <v>22</v>
      </c>
      <c r="BM191">
        <v>1.4</v>
      </c>
      <c r="BN191">
        <v>0.8</v>
      </c>
      <c r="BO191">
        <v>1.7</v>
      </c>
      <c r="BP191">
        <v>2.2000000000000002</v>
      </c>
      <c r="BQ191">
        <v>1</v>
      </c>
      <c r="BR191">
        <v>1</v>
      </c>
      <c r="BS191">
        <v>1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7</v>
      </c>
      <c r="BZ191">
        <v>1.4</v>
      </c>
      <c r="CA191">
        <v>12</v>
      </c>
      <c r="CB191">
        <v>2.4</v>
      </c>
      <c r="CC191">
        <v>10</v>
      </c>
      <c r="CD191">
        <v>8</v>
      </c>
      <c r="CE191">
        <v>3</v>
      </c>
      <c r="CF191">
        <v>0</v>
      </c>
      <c r="CG191">
        <v>3</v>
      </c>
      <c r="CH191">
        <v>3</v>
      </c>
      <c r="CI191">
        <v>4</v>
      </c>
      <c r="CJ191">
        <v>5</v>
      </c>
      <c r="CK191">
        <v>25</v>
      </c>
      <c r="CL191">
        <v>9</v>
      </c>
      <c r="CM191">
        <v>22</v>
      </c>
      <c r="CN191">
        <v>18</v>
      </c>
      <c r="CO191">
        <v>2.5</v>
      </c>
      <c r="CP191">
        <v>1.1000000000000001</v>
      </c>
      <c r="CQ191">
        <v>2.2000000000000002</v>
      </c>
      <c r="CR191">
        <v>2.2999999999999998</v>
      </c>
      <c r="CS191">
        <v>1</v>
      </c>
      <c r="CT191">
        <v>1</v>
      </c>
      <c r="CU191">
        <v>1</v>
      </c>
      <c r="CV191">
        <v>0</v>
      </c>
      <c r="CW191">
        <v>0</v>
      </c>
      <c r="CX191">
        <v>0</v>
      </c>
      <c r="CY191">
        <v>0</v>
      </c>
      <c r="CZ191">
        <v>1</v>
      </c>
    </row>
    <row r="192" spans="1:104" x14ac:dyDescent="0.25">
      <c r="A192" s="1" t="s">
        <v>1326</v>
      </c>
      <c r="B192">
        <v>2014</v>
      </c>
      <c r="C192">
        <v>1081</v>
      </c>
      <c r="D192" s="2">
        <v>43702</v>
      </c>
      <c r="E192" s="3">
        <f t="shared" si="6"/>
        <v>2019</v>
      </c>
      <c r="F192" s="3">
        <f t="shared" si="7"/>
        <v>8</v>
      </c>
      <c r="G192" s="3">
        <f t="shared" si="8"/>
        <v>1</v>
      </c>
      <c r="H192" t="s">
        <v>468</v>
      </c>
      <c r="I192">
        <v>516</v>
      </c>
      <c r="J192" t="s">
        <v>278</v>
      </c>
      <c r="K192" t="s">
        <v>279</v>
      </c>
      <c r="L192">
        <v>2019</v>
      </c>
      <c r="M192" t="s">
        <v>122</v>
      </c>
      <c r="N192" t="s">
        <v>1327</v>
      </c>
      <c r="O192" t="s">
        <v>471</v>
      </c>
      <c r="P192">
        <v>4000</v>
      </c>
      <c r="Q192" t="s">
        <v>279</v>
      </c>
      <c r="S192" t="s">
        <v>1328</v>
      </c>
      <c r="T192" t="s">
        <v>1329</v>
      </c>
      <c r="U192">
        <v>15500</v>
      </c>
      <c r="V192" t="s">
        <v>279</v>
      </c>
      <c r="W192">
        <v>1957</v>
      </c>
      <c r="X192" t="s">
        <v>125</v>
      </c>
      <c r="Y192">
        <v>-3.5</v>
      </c>
      <c r="Z192">
        <v>-1.5</v>
      </c>
      <c r="AA192">
        <v>-1.5</v>
      </c>
      <c r="AB192">
        <v>10</v>
      </c>
      <c r="AC192">
        <v>45</v>
      </c>
      <c r="AD192">
        <v>45</v>
      </c>
      <c r="AE192">
        <v>50</v>
      </c>
      <c r="AF192">
        <v>50</v>
      </c>
      <c r="AG192">
        <v>67</v>
      </c>
      <c r="AH192">
        <v>33</v>
      </c>
      <c r="AI192">
        <v>29</v>
      </c>
      <c r="AJ192">
        <v>71</v>
      </c>
      <c r="AK192">
        <v>26</v>
      </c>
      <c r="AL192">
        <v>74</v>
      </c>
      <c r="AM192">
        <v>20</v>
      </c>
      <c r="AN192">
        <v>80</v>
      </c>
      <c r="AO192">
        <v>33</v>
      </c>
      <c r="AP192">
        <v>67</v>
      </c>
      <c r="AQ192">
        <v>53</v>
      </c>
      <c r="AR192">
        <v>60</v>
      </c>
      <c r="AS192">
        <v>50</v>
      </c>
      <c r="AT192">
        <v>53</v>
      </c>
      <c r="AU192">
        <v>30</v>
      </c>
      <c r="AV192">
        <v>80</v>
      </c>
      <c r="AW192">
        <v>6</v>
      </c>
      <c r="AX192">
        <v>1.2</v>
      </c>
      <c r="AY192">
        <v>5</v>
      </c>
      <c r="AZ192">
        <v>1</v>
      </c>
      <c r="BA192">
        <v>4</v>
      </c>
      <c r="BB192">
        <v>5</v>
      </c>
      <c r="BC192">
        <v>2</v>
      </c>
      <c r="BD192">
        <v>3</v>
      </c>
      <c r="BE192">
        <v>1</v>
      </c>
      <c r="BF192">
        <v>2</v>
      </c>
      <c r="BG192">
        <v>1</v>
      </c>
      <c r="BH192">
        <v>0</v>
      </c>
      <c r="BI192">
        <v>4</v>
      </c>
      <c r="BJ192">
        <v>6</v>
      </c>
      <c r="BK192">
        <v>3</v>
      </c>
      <c r="BL192">
        <v>3</v>
      </c>
      <c r="BM192">
        <v>1</v>
      </c>
      <c r="BN192">
        <v>1.2</v>
      </c>
      <c r="BO192">
        <v>0.8</v>
      </c>
      <c r="BP192">
        <v>0.6</v>
      </c>
      <c r="BQ192">
        <v>3</v>
      </c>
      <c r="BR192">
        <v>1</v>
      </c>
      <c r="BS192">
        <v>1</v>
      </c>
      <c r="BT192">
        <v>0</v>
      </c>
      <c r="BU192">
        <v>2</v>
      </c>
      <c r="BV192">
        <v>0</v>
      </c>
      <c r="BW192">
        <v>0</v>
      </c>
      <c r="BX192">
        <v>1</v>
      </c>
      <c r="BY192">
        <v>3</v>
      </c>
      <c r="BZ192">
        <v>0.6</v>
      </c>
      <c r="CA192">
        <v>2</v>
      </c>
      <c r="CB192">
        <v>0.4</v>
      </c>
      <c r="CC192">
        <v>6</v>
      </c>
      <c r="CD192">
        <v>3</v>
      </c>
      <c r="CE192">
        <v>3</v>
      </c>
      <c r="CF192">
        <v>2</v>
      </c>
      <c r="CG192">
        <v>2</v>
      </c>
      <c r="CH192">
        <v>1</v>
      </c>
      <c r="CI192">
        <v>1</v>
      </c>
      <c r="CJ192">
        <v>0</v>
      </c>
      <c r="CK192">
        <v>6</v>
      </c>
      <c r="CL192">
        <v>4</v>
      </c>
      <c r="CM192">
        <v>2</v>
      </c>
      <c r="CN192">
        <v>1</v>
      </c>
      <c r="CO192">
        <v>1</v>
      </c>
      <c r="CP192">
        <v>1.3</v>
      </c>
      <c r="CQ192">
        <v>0.3</v>
      </c>
      <c r="CR192">
        <v>0.3</v>
      </c>
      <c r="CS192">
        <v>1</v>
      </c>
      <c r="CT192">
        <v>3</v>
      </c>
      <c r="CU192">
        <v>1</v>
      </c>
      <c r="CV192">
        <v>0</v>
      </c>
      <c r="CW192">
        <v>0</v>
      </c>
      <c r="CX192">
        <v>2</v>
      </c>
      <c r="CY192">
        <v>0</v>
      </c>
      <c r="CZ192">
        <v>1</v>
      </c>
    </row>
    <row r="193" spans="1:104" x14ac:dyDescent="0.25">
      <c r="A193" s="1" t="s">
        <v>1330</v>
      </c>
      <c r="B193">
        <v>110</v>
      </c>
      <c r="C193">
        <v>103</v>
      </c>
      <c r="D193" s="2">
        <v>43735</v>
      </c>
      <c r="E193" s="3">
        <f t="shared" si="6"/>
        <v>2019</v>
      </c>
      <c r="F193" s="3">
        <f t="shared" si="7"/>
        <v>9</v>
      </c>
      <c r="G193" s="3">
        <f t="shared" si="8"/>
        <v>6</v>
      </c>
      <c r="H193" t="s">
        <v>289</v>
      </c>
      <c r="I193">
        <v>526</v>
      </c>
      <c r="J193" t="s">
        <v>290</v>
      </c>
      <c r="K193" t="s">
        <v>158</v>
      </c>
      <c r="L193">
        <v>2019</v>
      </c>
      <c r="M193" t="s">
        <v>168</v>
      </c>
      <c r="N193" t="s">
        <v>291</v>
      </c>
      <c r="O193" t="s">
        <v>292</v>
      </c>
      <c r="P193">
        <v>21877</v>
      </c>
      <c r="Q193" t="s">
        <v>158</v>
      </c>
      <c r="R193">
        <v>1986</v>
      </c>
      <c r="S193" t="s">
        <v>1331</v>
      </c>
      <c r="T193" t="s">
        <v>1332</v>
      </c>
      <c r="U193">
        <v>7812</v>
      </c>
      <c r="V193" t="s">
        <v>158</v>
      </c>
      <c r="W193">
        <v>1976</v>
      </c>
      <c r="X193" t="s">
        <v>109</v>
      </c>
      <c r="Z193">
        <v>-2.5</v>
      </c>
      <c r="AA193">
        <v>-1.5</v>
      </c>
      <c r="AB193">
        <v>50</v>
      </c>
      <c r="AC193">
        <v>50</v>
      </c>
      <c r="AD193">
        <v>0</v>
      </c>
      <c r="AE193">
        <v>81</v>
      </c>
      <c r="AF193">
        <v>19</v>
      </c>
      <c r="AG193">
        <v>62</v>
      </c>
      <c r="AH193">
        <v>38</v>
      </c>
      <c r="AI193">
        <v>70</v>
      </c>
      <c r="AJ193">
        <v>30</v>
      </c>
      <c r="AK193">
        <v>60</v>
      </c>
      <c r="AL193">
        <v>40</v>
      </c>
      <c r="AM193">
        <v>93</v>
      </c>
      <c r="AN193">
        <v>7</v>
      </c>
      <c r="AO193">
        <v>67</v>
      </c>
      <c r="AP193">
        <v>33</v>
      </c>
      <c r="AQ193">
        <v>87</v>
      </c>
      <c r="AR193">
        <v>44</v>
      </c>
      <c r="AS193">
        <v>83</v>
      </c>
      <c r="AT193">
        <v>20</v>
      </c>
      <c r="AU193">
        <v>28</v>
      </c>
      <c r="AV193">
        <v>61</v>
      </c>
      <c r="AW193">
        <v>8</v>
      </c>
      <c r="AX193">
        <v>1.6</v>
      </c>
      <c r="AY193">
        <v>3</v>
      </c>
      <c r="AZ193">
        <v>0.6</v>
      </c>
      <c r="BA193">
        <v>4</v>
      </c>
      <c r="BB193">
        <v>4</v>
      </c>
      <c r="BC193">
        <v>2</v>
      </c>
      <c r="BD193">
        <v>3</v>
      </c>
      <c r="BE193">
        <v>0</v>
      </c>
      <c r="BF193">
        <v>1</v>
      </c>
      <c r="BG193">
        <v>2</v>
      </c>
      <c r="BH193">
        <v>0</v>
      </c>
      <c r="BI193">
        <v>6</v>
      </c>
      <c r="BJ193">
        <v>6</v>
      </c>
      <c r="BK193">
        <v>5</v>
      </c>
      <c r="BL193">
        <v>2</v>
      </c>
      <c r="BM193">
        <v>1.5</v>
      </c>
      <c r="BN193">
        <v>1.5</v>
      </c>
      <c r="BO193">
        <v>1.3</v>
      </c>
      <c r="BP193">
        <v>0.5</v>
      </c>
      <c r="BQ193">
        <v>4</v>
      </c>
      <c r="BR193">
        <v>4</v>
      </c>
      <c r="BS193">
        <v>3</v>
      </c>
      <c r="BT193">
        <v>3</v>
      </c>
      <c r="BU193">
        <v>0</v>
      </c>
      <c r="BV193">
        <v>1</v>
      </c>
      <c r="BW193">
        <v>1</v>
      </c>
      <c r="BX193">
        <v>0</v>
      </c>
      <c r="BY193">
        <v>5</v>
      </c>
      <c r="BZ193">
        <v>1</v>
      </c>
      <c r="CA193">
        <v>7</v>
      </c>
      <c r="CB193">
        <v>1.4</v>
      </c>
      <c r="CC193">
        <v>4</v>
      </c>
      <c r="CD193">
        <v>4</v>
      </c>
      <c r="CE193">
        <v>0</v>
      </c>
      <c r="CF193">
        <v>0</v>
      </c>
      <c r="CG193">
        <v>1</v>
      </c>
      <c r="CH193">
        <v>3</v>
      </c>
      <c r="CI193">
        <v>3</v>
      </c>
      <c r="CJ193">
        <v>1</v>
      </c>
      <c r="CK193">
        <v>2</v>
      </c>
      <c r="CL193">
        <v>3</v>
      </c>
      <c r="CM193">
        <v>5</v>
      </c>
      <c r="CN193">
        <v>4</v>
      </c>
      <c r="CO193">
        <v>0.5</v>
      </c>
      <c r="CP193">
        <v>0.8</v>
      </c>
      <c r="CQ193">
        <v>1.3</v>
      </c>
      <c r="CR193">
        <v>1</v>
      </c>
      <c r="CS193">
        <v>4</v>
      </c>
      <c r="CT193">
        <v>4</v>
      </c>
      <c r="CU193">
        <v>0</v>
      </c>
      <c r="CV193">
        <v>1</v>
      </c>
      <c r="CW193">
        <v>1</v>
      </c>
      <c r="CX193">
        <v>0</v>
      </c>
      <c r="CY193">
        <v>3</v>
      </c>
      <c r="CZ193">
        <v>3</v>
      </c>
    </row>
    <row r="194" spans="1:104" x14ac:dyDescent="0.25">
      <c r="A194" s="1" t="s">
        <v>1333</v>
      </c>
      <c r="B194">
        <v>4371</v>
      </c>
      <c r="C194">
        <v>4368</v>
      </c>
      <c r="D194" s="2">
        <v>43694</v>
      </c>
      <c r="E194" s="3">
        <f t="shared" si="6"/>
        <v>2019</v>
      </c>
      <c r="F194" s="3">
        <f t="shared" si="7"/>
        <v>8</v>
      </c>
      <c r="G194" s="3">
        <f t="shared" si="8"/>
        <v>7</v>
      </c>
      <c r="H194" t="s">
        <v>1334</v>
      </c>
      <c r="I194">
        <v>611</v>
      </c>
      <c r="J194" t="s">
        <v>1335</v>
      </c>
      <c r="K194" t="s">
        <v>1336</v>
      </c>
      <c r="L194">
        <v>2019</v>
      </c>
      <c r="M194" t="s">
        <v>306</v>
      </c>
      <c r="Q194" t="s">
        <v>1336</v>
      </c>
      <c r="V194" t="s">
        <v>1336</v>
      </c>
      <c r="X194" t="s">
        <v>109</v>
      </c>
      <c r="Z194">
        <v>-2.5</v>
      </c>
      <c r="AA194">
        <v>-2.5</v>
      </c>
      <c r="AB194">
        <v>45</v>
      </c>
      <c r="AC194">
        <v>45</v>
      </c>
      <c r="AD194">
        <v>10</v>
      </c>
      <c r="AE194">
        <v>50</v>
      </c>
      <c r="AF194">
        <v>50</v>
      </c>
      <c r="AG194">
        <v>60</v>
      </c>
      <c r="AH194">
        <v>40</v>
      </c>
      <c r="AI194">
        <v>42</v>
      </c>
      <c r="AJ194">
        <v>58</v>
      </c>
      <c r="AK194">
        <v>43</v>
      </c>
      <c r="AL194">
        <v>57</v>
      </c>
      <c r="AM194">
        <v>80</v>
      </c>
      <c r="AN194">
        <v>20</v>
      </c>
      <c r="AO194">
        <v>56</v>
      </c>
      <c r="AP194">
        <v>44</v>
      </c>
      <c r="AQ194">
        <v>22</v>
      </c>
      <c r="AR194">
        <v>30</v>
      </c>
      <c r="AS194">
        <v>65</v>
      </c>
      <c r="AT194">
        <v>22</v>
      </c>
      <c r="AU194">
        <v>20</v>
      </c>
      <c r="AV194">
        <v>75</v>
      </c>
      <c r="AW194">
        <v>6</v>
      </c>
      <c r="AX194">
        <v>2</v>
      </c>
      <c r="AY194">
        <v>7</v>
      </c>
      <c r="AZ194">
        <v>2.2999999999999998</v>
      </c>
      <c r="BA194">
        <v>1</v>
      </c>
      <c r="BB194">
        <v>2</v>
      </c>
      <c r="BC194">
        <v>0</v>
      </c>
      <c r="BD194">
        <v>0</v>
      </c>
      <c r="BE194">
        <v>1</v>
      </c>
      <c r="BF194">
        <v>1</v>
      </c>
      <c r="BG194">
        <v>0</v>
      </c>
      <c r="BH194">
        <v>1</v>
      </c>
      <c r="BI194">
        <v>3</v>
      </c>
      <c r="BJ194">
        <v>3</v>
      </c>
      <c r="BK194">
        <v>3</v>
      </c>
      <c r="BL194">
        <v>4</v>
      </c>
      <c r="BM194">
        <v>3</v>
      </c>
      <c r="BN194">
        <v>1.5</v>
      </c>
      <c r="BO194">
        <v>3</v>
      </c>
      <c r="BP194">
        <v>2</v>
      </c>
      <c r="BQ194">
        <v>2</v>
      </c>
      <c r="BR194">
        <v>2</v>
      </c>
      <c r="BS194">
        <v>1</v>
      </c>
      <c r="BT194">
        <v>0</v>
      </c>
      <c r="BU194">
        <v>1</v>
      </c>
      <c r="BV194">
        <v>2</v>
      </c>
      <c r="BW194">
        <v>0</v>
      </c>
      <c r="BX194">
        <v>0</v>
      </c>
      <c r="BY194">
        <v>4</v>
      </c>
      <c r="BZ194">
        <v>1.3</v>
      </c>
      <c r="CA194">
        <v>5</v>
      </c>
      <c r="CB194">
        <v>1.7</v>
      </c>
      <c r="CC194">
        <v>2</v>
      </c>
      <c r="CD194">
        <v>1</v>
      </c>
      <c r="CE194">
        <v>0</v>
      </c>
      <c r="CF194">
        <v>0</v>
      </c>
      <c r="CG194">
        <v>1</v>
      </c>
      <c r="CH194">
        <v>1</v>
      </c>
      <c r="CI194">
        <v>1</v>
      </c>
      <c r="CJ194">
        <v>0</v>
      </c>
      <c r="CK194">
        <v>3</v>
      </c>
      <c r="CL194">
        <v>1</v>
      </c>
      <c r="CM194">
        <v>4</v>
      </c>
      <c r="CN194">
        <v>1</v>
      </c>
      <c r="CO194">
        <v>1.5</v>
      </c>
      <c r="CP194">
        <v>1</v>
      </c>
      <c r="CQ194">
        <v>2</v>
      </c>
      <c r="CR194">
        <v>1</v>
      </c>
      <c r="CS194">
        <v>2</v>
      </c>
      <c r="CT194">
        <v>2</v>
      </c>
      <c r="CU194">
        <v>0</v>
      </c>
      <c r="CV194">
        <v>0</v>
      </c>
      <c r="CW194">
        <v>2</v>
      </c>
      <c r="CX194">
        <v>1</v>
      </c>
      <c r="CY194">
        <v>0</v>
      </c>
      <c r="CZ194">
        <v>1</v>
      </c>
    </row>
    <row r="195" spans="1:104" x14ac:dyDescent="0.25">
      <c r="A195" s="1" t="s">
        <v>1337</v>
      </c>
      <c r="B195">
        <v>2873</v>
      </c>
      <c r="C195">
        <v>2872</v>
      </c>
      <c r="D195" s="2">
        <v>43765</v>
      </c>
      <c r="E195" s="3">
        <f t="shared" ref="E195:E258" si="9">YEAR(D195)</f>
        <v>2019</v>
      </c>
      <c r="F195" s="3">
        <f t="shared" ref="F195:F258" si="10">MONTH(D195)</f>
        <v>10</v>
      </c>
      <c r="G195" s="3">
        <f t="shared" ref="G195:G258" si="11">WEEKDAY(D195)</f>
        <v>1</v>
      </c>
      <c r="H195" t="s">
        <v>1338</v>
      </c>
      <c r="I195">
        <v>789</v>
      </c>
      <c r="J195" t="s">
        <v>1339</v>
      </c>
      <c r="K195" t="s">
        <v>208</v>
      </c>
      <c r="L195">
        <v>2019</v>
      </c>
      <c r="M195" t="s">
        <v>591</v>
      </c>
      <c r="N195" t="s">
        <v>1340</v>
      </c>
      <c r="O195" t="s">
        <v>1341</v>
      </c>
      <c r="P195">
        <v>5020</v>
      </c>
      <c r="Q195" t="s">
        <v>208</v>
      </c>
      <c r="R195">
        <v>2000</v>
      </c>
      <c r="S195" t="s">
        <v>1342</v>
      </c>
      <c r="T195" t="s">
        <v>1343</v>
      </c>
      <c r="U195">
        <v>12000</v>
      </c>
      <c r="V195" t="s">
        <v>208</v>
      </c>
      <c r="W195">
        <v>1960</v>
      </c>
      <c r="X195" t="s">
        <v>109</v>
      </c>
      <c r="Y195">
        <v>-3.5</v>
      </c>
      <c r="Z195">
        <v>-1.5</v>
      </c>
      <c r="AA195">
        <v>-1.5</v>
      </c>
      <c r="AB195">
        <v>45</v>
      </c>
      <c r="AC195">
        <v>45</v>
      </c>
      <c r="AD195">
        <v>10</v>
      </c>
      <c r="AE195">
        <v>88</v>
      </c>
      <c r="AF195">
        <v>13</v>
      </c>
      <c r="AG195">
        <v>67</v>
      </c>
      <c r="AH195">
        <v>33</v>
      </c>
      <c r="AI195">
        <v>69</v>
      </c>
      <c r="AJ195">
        <v>31</v>
      </c>
      <c r="AK195">
        <v>100</v>
      </c>
      <c r="AL195">
        <v>0</v>
      </c>
      <c r="AM195">
        <v>50</v>
      </c>
      <c r="AN195">
        <v>50</v>
      </c>
      <c r="AO195">
        <v>43</v>
      </c>
      <c r="AP195">
        <v>57</v>
      </c>
      <c r="AQ195">
        <v>58</v>
      </c>
      <c r="AR195">
        <v>19</v>
      </c>
      <c r="AS195">
        <v>81</v>
      </c>
      <c r="AT195">
        <v>8</v>
      </c>
      <c r="AU195">
        <v>10</v>
      </c>
      <c r="AV195">
        <v>57</v>
      </c>
      <c r="AW195">
        <v>4</v>
      </c>
      <c r="AX195">
        <v>1</v>
      </c>
      <c r="AY195">
        <v>4</v>
      </c>
      <c r="AZ195">
        <v>1</v>
      </c>
      <c r="BA195">
        <v>2</v>
      </c>
      <c r="BB195">
        <v>2</v>
      </c>
      <c r="BC195">
        <v>1</v>
      </c>
      <c r="BD195">
        <v>1</v>
      </c>
      <c r="BE195">
        <v>1</v>
      </c>
      <c r="BF195">
        <v>0</v>
      </c>
      <c r="BG195">
        <v>0</v>
      </c>
      <c r="BH195">
        <v>1</v>
      </c>
      <c r="BI195">
        <v>2</v>
      </c>
      <c r="BJ195">
        <v>2</v>
      </c>
      <c r="BK195">
        <v>1</v>
      </c>
      <c r="BL195">
        <v>3</v>
      </c>
      <c r="BM195">
        <v>1</v>
      </c>
      <c r="BN195">
        <v>1</v>
      </c>
      <c r="BO195">
        <v>0.5</v>
      </c>
      <c r="BP195">
        <v>1.5</v>
      </c>
      <c r="BQ195">
        <v>9</v>
      </c>
      <c r="BR195">
        <v>12</v>
      </c>
      <c r="BS195">
        <v>6</v>
      </c>
      <c r="BT195">
        <v>3</v>
      </c>
      <c r="BU195">
        <v>2</v>
      </c>
      <c r="BV195">
        <v>2</v>
      </c>
      <c r="BW195">
        <v>1</v>
      </c>
      <c r="BX195">
        <v>7</v>
      </c>
      <c r="BY195">
        <v>2</v>
      </c>
      <c r="BZ195">
        <v>0.5</v>
      </c>
      <c r="CA195">
        <v>9</v>
      </c>
      <c r="CB195">
        <v>2.2999999999999998</v>
      </c>
      <c r="CC195">
        <v>2</v>
      </c>
      <c r="CD195">
        <v>2</v>
      </c>
      <c r="CE195">
        <v>0</v>
      </c>
      <c r="CF195">
        <v>0</v>
      </c>
      <c r="CG195">
        <v>0</v>
      </c>
      <c r="CH195">
        <v>1</v>
      </c>
      <c r="CI195">
        <v>2</v>
      </c>
      <c r="CJ195">
        <v>1</v>
      </c>
      <c r="CK195">
        <v>2</v>
      </c>
      <c r="CL195">
        <v>0</v>
      </c>
      <c r="CM195">
        <v>8</v>
      </c>
      <c r="CN195">
        <v>1</v>
      </c>
      <c r="CO195">
        <v>1</v>
      </c>
      <c r="CP195">
        <v>0</v>
      </c>
      <c r="CQ195">
        <v>4</v>
      </c>
      <c r="CR195">
        <v>0.5</v>
      </c>
      <c r="CS195">
        <v>12</v>
      </c>
      <c r="CT195">
        <v>9</v>
      </c>
      <c r="CU195">
        <v>7</v>
      </c>
      <c r="CV195">
        <v>1</v>
      </c>
      <c r="CW195">
        <v>2</v>
      </c>
      <c r="CX195">
        <v>2</v>
      </c>
      <c r="CY195">
        <v>3</v>
      </c>
      <c r="CZ195">
        <v>6</v>
      </c>
    </row>
    <row r="196" spans="1:104" x14ac:dyDescent="0.25">
      <c r="A196" s="1" t="s">
        <v>1344</v>
      </c>
      <c r="B196">
        <v>9548</v>
      </c>
      <c r="C196">
        <v>521</v>
      </c>
      <c r="D196" s="2">
        <v>43723</v>
      </c>
      <c r="E196" s="3">
        <f t="shared" si="9"/>
        <v>2019</v>
      </c>
      <c r="F196" s="3">
        <f t="shared" si="10"/>
        <v>9</v>
      </c>
      <c r="G196" s="3">
        <f t="shared" si="11"/>
        <v>1</v>
      </c>
      <c r="H196" t="s">
        <v>1345</v>
      </c>
      <c r="I196">
        <v>1260</v>
      </c>
      <c r="J196" t="s">
        <v>604</v>
      </c>
      <c r="K196" t="s">
        <v>338</v>
      </c>
      <c r="L196">
        <v>2019</v>
      </c>
      <c r="M196" t="s">
        <v>209</v>
      </c>
      <c r="N196" t="s">
        <v>1346</v>
      </c>
      <c r="O196" t="s">
        <v>1347</v>
      </c>
      <c r="P196">
        <v>9998</v>
      </c>
      <c r="Q196" t="s">
        <v>338</v>
      </c>
      <c r="R196">
        <v>1910</v>
      </c>
      <c r="S196" t="s">
        <v>1348</v>
      </c>
      <c r="T196" t="s">
        <v>1349</v>
      </c>
      <c r="U196">
        <v>25085</v>
      </c>
      <c r="V196" t="s">
        <v>338</v>
      </c>
      <c r="W196">
        <v>1920</v>
      </c>
      <c r="X196" t="s">
        <v>109</v>
      </c>
      <c r="Z196">
        <v>-2.5</v>
      </c>
      <c r="AA196">
        <v>-1.5</v>
      </c>
      <c r="AB196">
        <v>45</v>
      </c>
      <c r="AC196">
        <v>45</v>
      </c>
      <c r="AD196">
        <v>10</v>
      </c>
      <c r="AE196">
        <v>50</v>
      </c>
      <c r="AF196">
        <v>50</v>
      </c>
      <c r="AG196">
        <v>60</v>
      </c>
      <c r="AH196">
        <v>40</v>
      </c>
      <c r="AI196">
        <v>33</v>
      </c>
      <c r="AJ196">
        <v>67</v>
      </c>
      <c r="AK196">
        <v>100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50</v>
      </c>
      <c r="AR196">
        <v>43</v>
      </c>
      <c r="AS196">
        <v>71</v>
      </c>
      <c r="AT196">
        <v>50</v>
      </c>
      <c r="AU196">
        <v>29</v>
      </c>
      <c r="AV196">
        <v>86</v>
      </c>
      <c r="AW196">
        <v>3</v>
      </c>
      <c r="AX196">
        <v>1.5</v>
      </c>
      <c r="AY196">
        <v>2</v>
      </c>
      <c r="AZ196">
        <v>1</v>
      </c>
      <c r="BA196">
        <v>1</v>
      </c>
      <c r="BB196">
        <v>1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3</v>
      </c>
      <c r="BJ196">
        <v>0</v>
      </c>
      <c r="BK196">
        <v>1</v>
      </c>
      <c r="BL196">
        <v>1</v>
      </c>
      <c r="BM196">
        <v>3</v>
      </c>
      <c r="BN196">
        <v>0</v>
      </c>
      <c r="BO196">
        <v>1</v>
      </c>
      <c r="BP196">
        <v>1</v>
      </c>
      <c r="BQ196">
        <v>1</v>
      </c>
      <c r="BR196">
        <v>1</v>
      </c>
      <c r="BS196">
        <v>0</v>
      </c>
      <c r="BT196">
        <v>0</v>
      </c>
      <c r="BU196">
        <v>0</v>
      </c>
      <c r="BV196">
        <v>0</v>
      </c>
      <c r="BW196">
        <v>1</v>
      </c>
      <c r="BX196">
        <v>1</v>
      </c>
      <c r="BY196">
        <v>2</v>
      </c>
      <c r="BZ196">
        <v>1</v>
      </c>
      <c r="CA196">
        <v>1</v>
      </c>
      <c r="CB196">
        <v>0.5</v>
      </c>
      <c r="CC196">
        <v>1</v>
      </c>
      <c r="CD196">
        <v>1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2</v>
      </c>
      <c r="CL196">
        <v>0</v>
      </c>
      <c r="CM196">
        <v>0</v>
      </c>
      <c r="CN196">
        <v>1</v>
      </c>
      <c r="CO196">
        <v>2</v>
      </c>
      <c r="CP196">
        <v>0</v>
      </c>
      <c r="CQ196">
        <v>0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0</v>
      </c>
      <c r="CX196">
        <v>0</v>
      </c>
      <c r="CY196">
        <v>0</v>
      </c>
      <c r="CZ196">
        <v>0</v>
      </c>
    </row>
    <row r="197" spans="1:104" x14ac:dyDescent="0.25">
      <c r="A197" s="1" t="s">
        <v>1350</v>
      </c>
      <c r="B197">
        <v>2768</v>
      </c>
      <c r="C197">
        <v>2762</v>
      </c>
      <c r="D197" s="2">
        <v>44017</v>
      </c>
      <c r="E197" s="3">
        <f t="shared" si="9"/>
        <v>2020</v>
      </c>
      <c r="F197" s="3">
        <f t="shared" si="10"/>
        <v>7</v>
      </c>
      <c r="G197" s="3">
        <f t="shared" si="11"/>
        <v>1</v>
      </c>
      <c r="H197" t="s">
        <v>1351</v>
      </c>
      <c r="I197">
        <v>1336</v>
      </c>
      <c r="J197" t="s">
        <v>462</v>
      </c>
      <c r="K197" t="s">
        <v>463</v>
      </c>
      <c r="L197">
        <v>2020</v>
      </c>
      <c r="M197" t="s">
        <v>122</v>
      </c>
      <c r="N197" t="s">
        <v>1352</v>
      </c>
      <c r="O197" t="s">
        <v>1353</v>
      </c>
      <c r="P197">
        <v>15042</v>
      </c>
      <c r="Q197" t="s">
        <v>463</v>
      </c>
      <c r="R197">
        <v>1985</v>
      </c>
      <c r="S197" t="s">
        <v>1354</v>
      </c>
      <c r="T197" t="s">
        <v>1355</v>
      </c>
      <c r="U197">
        <v>42477</v>
      </c>
      <c r="V197" t="s">
        <v>463</v>
      </c>
      <c r="W197">
        <v>1993</v>
      </c>
      <c r="X197" t="s">
        <v>125</v>
      </c>
      <c r="Z197">
        <v>-2.5</v>
      </c>
      <c r="AA197">
        <v>-2.5</v>
      </c>
      <c r="AB197">
        <v>0</v>
      </c>
      <c r="AC197">
        <v>50</v>
      </c>
      <c r="AD197">
        <v>50</v>
      </c>
      <c r="AE197">
        <v>40</v>
      </c>
      <c r="AF197">
        <v>60</v>
      </c>
      <c r="AG197">
        <v>38</v>
      </c>
      <c r="AH197">
        <v>63</v>
      </c>
      <c r="AI197">
        <v>29</v>
      </c>
      <c r="AJ197">
        <v>71</v>
      </c>
      <c r="AK197">
        <v>37</v>
      </c>
      <c r="AL197">
        <v>63</v>
      </c>
      <c r="AM197">
        <v>7</v>
      </c>
      <c r="AN197">
        <v>93</v>
      </c>
      <c r="AO197">
        <v>21</v>
      </c>
      <c r="AP197">
        <v>79</v>
      </c>
      <c r="AQ197">
        <v>67</v>
      </c>
      <c r="AR197">
        <v>30</v>
      </c>
      <c r="AS197">
        <v>75</v>
      </c>
      <c r="AT197">
        <v>100</v>
      </c>
      <c r="AU197">
        <v>50</v>
      </c>
      <c r="AV197">
        <v>90</v>
      </c>
      <c r="AW197">
        <v>6</v>
      </c>
      <c r="AX197">
        <v>1.2</v>
      </c>
      <c r="AY197">
        <v>5</v>
      </c>
      <c r="AZ197">
        <v>1</v>
      </c>
      <c r="BA197">
        <v>4</v>
      </c>
      <c r="BB197">
        <v>5</v>
      </c>
      <c r="BC197">
        <v>3</v>
      </c>
      <c r="BD197">
        <v>2</v>
      </c>
      <c r="BE197">
        <v>0</v>
      </c>
      <c r="BF197">
        <v>2</v>
      </c>
      <c r="BG197">
        <v>1</v>
      </c>
      <c r="BH197">
        <v>1</v>
      </c>
      <c r="BI197">
        <v>6</v>
      </c>
      <c r="BJ197">
        <v>4</v>
      </c>
      <c r="BK197">
        <v>4</v>
      </c>
      <c r="BL197">
        <v>6</v>
      </c>
      <c r="BM197">
        <v>1.5</v>
      </c>
      <c r="BN197">
        <v>0.8</v>
      </c>
      <c r="BO197">
        <v>1</v>
      </c>
      <c r="BP197">
        <v>1.2</v>
      </c>
      <c r="BQ197">
        <v>6</v>
      </c>
      <c r="BR197">
        <v>6</v>
      </c>
      <c r="BS197">
        <v>1</v>
      </c>
      <c r="BT197">
        <v>0</v>
      </c>
      <c r="BU197">
        <v>3</v>
      </c>
      <c r="BV197">
        <v>0</v>
      </c>
      <c r="BW197">
        <v>2</v>
      </c>
      <c r="BX197">
        <v>6</v>
      </c>
      <c r="BY197">
        <v>10</v>
      </c>
      <c r="BZ197">
        <v>2</v>
      </c>
      <c r="CA197">
        <v>2</v>
      </c>
      <c r="CB197">
        <v>0.4</v>
      </c>
      <c r="CC197">
        <v>4</v>
      </c>
      <c r="CD197">
        <v>5</v>
      </c>
      <c r="CE197">
        <v>4</v>
      </c>
      <c r="CF197">
        <v>4</v>
      </c>
      <c r="CG197">
        <v>0</v>
      </c>
      <c r="CH197">
        <v>0</v>
      </c>
      <c r="CI197">
        <v>0</v>
      </c>
      <c r="CJ197">
        <v>1</v>
      </c>
      <c r="CK197">
        <v>5</v>
      </c>
      <c r="CL197">
        <v>10</v>
      </c>
      <c r="CM197">
        <v>0</v>
      </c>
      <c r="CN197">
        <v>4</v>
      </c>
      <c r="CO197">
        <v>1.3</v>
      </c>
      <c r="CP197">
        <v>2</v>
      </c>
      <c r="CQ197">
        <v>0</v>
      </c>
      <c r="CR197">
        <v>0.8</v>
      </c>
      <c r="CS197">
        <v>6</v>
      </c>
      <c r="CT197">
        <v>6</v>
      </c>
      <c r="CU197">
        <v>6</v>
      </c>
      <c r="CV197">
        <v>2</v>
      </c>
      <c r="CW197">
        <v>0</v>
      </c>
      <c r="CX197">
        <v>3</v>
      </c>
      <c r="CY197">
        <v>0</v>
      </c>
      <c r="CZ197">
        <v>1</v>
      </c>
    </row>
    <row r="198" spans="1:104" x14ac:dyDescent="0.25">
      <c r="A198" s="1" t="s">
        <v>1356</v>
      </c>
      <c r="B198">
        <v>10135</v>
      </c>
      <c r="C198">
        <v>4308</v>
      </c>
      <c r="D198" s="2">
        <v>43709</v>
      </c>
      <c r="E198" s="3">
        <f t="shared" si="9"/>
        <v>2019</v>
      </c>
      <c r="F198" s="3">
        <f t="shared" si="10"/>
        <v>9</v>
      </c>
      <c r="G198" s="3">
        <f t="shared" si="11"/>
        <v>1</v>
      </c>
      <c r="H198" t="s">
        <v>1357</v>
      </c>
      <c r="I198">
        <v>875</v>
      </c>
      <c r="J198" t="s">
        <v>344</v>
      </c>
      <c r="K198" t="s">
        <v>1358</v>
      </c>
      <c r="L198">
        <v>2019</v>
      </c>
      <c r="M198" t="s">
        <v>1359</v>
      </c>
      <c r="N198" t="s">
        <v>1357</v>
      </c>
      <c r="O198" t="s">
        <v>1360</v>
      </c>
      <c r="P198">
        <v>8000</v>
      </c>
      <c r="Q198" t="s">
        <v>1358</v>
      </c>
      <c r="S198" t="s">
        <v>1361</v>
      </c>
      <c r="T198" t="s">
        <v>1362</v>
      </c>
      <c r="U198">
        <v>3000</v>
      </c>
      <c r="V198" t="s">
        <v>1358</v>
      </c>
      <c r="W198">
        <v>2007</v>
      </c>
      <c r="X198" t="s">
        <v>109</v>
      </c>
      <c r="Y198">
        <v>-3.5</v>
      </c>
      <c r="Z198">
        <v>-1.5</v>
      </c>
      <c r="AA198">
        <v>-1.5</v>
      </c>
      <c r="AB198">
        <v>35</v>
      </c>
      <c r="AC198">
        <v>35</v>
      </c>
      <c r="AD198">
        <v>30</v>
      </c>
      <c r="AE198">
        <v>60</v>
      </c>
      <c r="AF198">
        <v>40</v>
      </c>
      <c r="AG198">
        <v>38</v>
      </c>
      <c r="AH198">
        <v>63</v>
      </c>
      <c r="AI198">
        <v>63</v>
      </c>
      <c r="AJ198">
        <v>38</v>
      </c>
      <c r="AK198">
        <v>38</v>
      </c>
      <c r="AL198">
        <v>62</v>
      </c>
      <c r="AM198">
        <v>0</v>
      </c>
      <c r="AN198">
        <v>0</v>
      </c>
      <c r="AO198">
        <v>0</v>
      </c>
      <c r="AP198">
        <v>0</v>
      </c>
      <c r="AQ198">
        <v>40</v>
      </c>
      <c r="AR198">
        <v>20</v>
      </c>
      <c r="AS198">
        <v>80</v>
      </c>
      <c r="AT198">
        <v>27</v>
      </c>
      <c r="AU198">
        <v>33</v>
      </c>
      <c r="AV198">
        <v>67</v>
      </c>
      <c r="AW198">
        <v>3</v>
      </c>
      <c r="AX198">
        <v>0.6</v>
      </c>
      <c r="AY198">
        <v>3</v>
      </c>
      <c r="AZ198">
        <v>0.6</v>
      </c>
      <c r="BA198">
        <v>3</v>
      </c>
      <c r="BB198">
        <v>3</v>
      </c>
      <c r="BC198">
        <v>0</v>
      </c>
      <c r="BD198">
        <v>1</v>
      </c>
      <c r="BE198">
        <v>1</v>
      </c>
      <c r="BF198">
        <v>2</v>
      </c>
      <c r="BG198">
        <v>2</v>
      </c>
      <c r="BH198">
        <v>0</v>
      </c>
      <c r="BI198">
        <v>1</v>
      </c>
      <c r="BJ198">
        <v>2</v>
      </c>
      <c r="BK198">
        <v>3</v>
      </c>
      <c r="BL198">
        <v>1</v>
      </c>
      <c r="BM198">
        <v>0.3</v>
      </c>
      <c r="BN198">
        <v>0.7</v>
      </c>
      <c r="BO198">
        <v>1</v>
      </c>
      <c r="BP198">
        <v>0.3</v>
      </c>
      <c r="BQ198">
        <v>1</v>
      </c>
      <c r="BR198">
        <v>2</v>
      </c>
      <c r="BS198">
        <v>0</v>
      </c>
      <c r="BT198">
        <v>0</v>
      </c>
      <c r="BU198">
        <v>0</v>
      </c>
      <c r="BV198">
        <v>1</v>
      </c>
      <c r="BW198">
        <v>1</v>
      </c>
      <c r="BX198">
        <v>1</v>
      </c>
      <c r="BY198">
        <v>5</v>
      </c>
      <c r="BZ198">
        <v>1</v>
      </c>
      <c r="CA198">
        <v>5</v>
      </c>
      <c r="CB198">
        <v>1</v>
      </c>
      <c r="CC198">
        <v>2</v>
      </c>
      <c r="CD198">
        <v>3</v>
      </c>
      <c r="CE198">
        <v>1</v>
      </c>
      <c r="CF198">
        <v>0</v>
      </c>
      <c r="CG198">
        <v>1</v>
      </c>
      <c r="CH198">
        <v>0</v>
      </c>
      <c r="CI198">
        <v>0</v>
      </c>
      <c r="CJ198">
        <v>3</v>
      </c>
      <c r="CK198">
        <v>3</v>
      </c>
      <c r="CL198">
        <v>2</v>
      </c>
      <c r="CM198">
        <v>0</v>
      </c>
      <c r="CN198">
        <v>5</v>
      </c>
      <c r="CO198">
        <v>1.5</v>
      </c>
      <c r="CP198">
        <v>0.7</v>
      </c>
      <c r="CQ198">
        <v>0</v>
      </c>
      <c r="CR198">
        <v>1.7</v>
      </c>
      <c r="CS198">
        <v>2</v>
      </c>
      <c r="CT198">
        <v>1</v>
      </c>
      <c r="CU198">
        <v>1</v>
      </c>
      <c r="CV198">
        <v>1</v>
      </c>
      <c r="CW198">
        <v>1</v>
      </c>
      <c r="CX198">
        <v>0</v>
      </c>
      <c r="CY198">
        <v>0</v>
      </c>
      <c r="CZ198">
        <v>0</v>
      </c>
    </row>
    <row r="199" spans="1:104" x14ac:dyDescent="0.25">
      <c r="A199" s="1" t="s">
        <v>1363</v>
      </c>
      <c r="B199">
        <v>3382</v>
      </c>
      <c r="C199">
        <v>4282</v>
      </c>
      <c r="D199" s="2">
        <v>43729</v>
      </c>
      <c r="E199" s="3">
        <f t="shared" si="9"/>
        <v>2019</v>
      </c>
      <c r="F199" s="3">
        <f t="shared" si="10"/>
        <v>9</v>
      </c>
      <c r="G199" s="3">
        <f t="shared" si="11"/>
        <v>7</v>
      </c>
      <c r="H199" t="s">
        <v>1364</v>
      </c>
      <c r="I199">
        <v>1130</v>
      </c>
      <c r="J199" t="s">
        <v>1365</v>
      </c>
      <c r="K199" t="s">
        <v>423</v>
      </c>
      <c r="L199">
        <v>2019</v>
      </c>
      <c r="M199" t="s">
        <v>1366</v>
      </c>
      <c r="Q199" t="s">
        <v>423</v>
      </c>
      <c r="R199">
        <v>1922</v>
      </c>
      <c r="S199" t="s">
        <v>1367</v>
      </c>
      <c r="T199" t="s">
        <v>1368</v>
      </c>
      <c r="U199">
        <v>3000</v>
      </c>
      <c r="V199" t="s">
        <v>423</v>
      </c>
      <c r="W199">
        <v>1993</v>
      </c>
      <c r="X199" t="s">
        <v>125</v>
      </c>
      <c r="Z199">
        <v>-3.5</v>
      </c>
      <c r="AA199">
        <v>-2.5</v>
      </c>
      <c r="AB199">
        <v>10</v>
      </c>
      <c r="AC199">
        <v>45</v>
      </c>
      <c r="AD199">
        <v>45</v>
      </c>
      <c r="AE199">
        <v>41</v>
      </c>
      <c r="AF199">
        <v>59</v>
      </c>
      <c r="AG199">
        <v>52</v>
      </c>
      <c r="AH199">
        <v>48</v>
      </c>
      <c r="AI199">
        <v>25</v>
      </c>
      <c r="AJ199">
        <v>75</v>
      </c>
      <c r="AK199">
        <v>0</v>
      </c>
      <c r="AL199">
        <v>0</v>
      </c>
      <c r="AM199">
        <v>20</v>
      </c>
      <c r="AN199">
        <v>80</v>
      </c>
      <c r="AO199">
        <v>25</v>
      </c>
      <c r="AP199">
        <v>75</v>
      </c>
      <c r="AQ199">
        <v>60</v>
      </c>
      <c r="AR199">
        <v>92</v>
      </c>
      <c r="AS199">
        <v>25</v>
      </c>
      <c r="AT199">
        <v>87</v>
      </c>
      <c r="AU199">
        <v>83</v>
      </c>
      <c r="AV199">
        <v>75</v>
      </c>
      <c r="AW199">
        <v>11</v>
      </c>
      <c r="AX199">
        <v>2.2000000000000002</v>
      </c>
      <c r="AY199">
        <v>9</v>
      </c>
      <c r="AZ199">
        <v>1.8</v>
      </c>
      <c r="BA199">
        <v>2</v>
      </c>
      <c r="BB199">
        <v>4</v>
      </c>
      <c r="BC199">
        <v>2</v>
      </c>
      <c r="BD199">
        <v>1</v>
      </c>
      <c r="BE199">
        <v>0</v>
      </c>
      <c r="BF199">
        <v>1</v>
      </c>
      <c r="BG199">
        <v>0</v>
      </c>
      <c r="BH199">
        <v>2</v>
      </c>
      <c r="BI199">
        <v>9</v>
      </c>
      <c r="BJ199">
        <v>3</v>
      </c>
      <c r="BK199">
        <v>1</v>
      </c>
      <c r="BL199">
        <v>9</v>
      </c>
      <c r="BM199">
        <v>4.5</v>
      </c>
      <c r="BN199">
        <v>0.8</v>
      </c>
      <c r="BO199">
        <v>0.5</v>
      </c>
      <c r="BP199">
        <v>2.2999999999999998</v>
      </c>
      <c r="BQ199">
        <v>3</v>
      </c>
      <c r="BR199">
        <v>2</v>
      </c>
      <c r="BS199">
        <v>0</v>
      </c>
      <c r="BT199">
        <v>0</v>
      </c>
      <c r="BU199">
        <v>1</v>
      </c>
      <c r="BV199">
        <v>1</v>
      </c>
      <c r="BW199">
        <v>2</v>
      </c>
      <c r="BX199">
        <v>1</v>
      </c>
      <c r="BY199">
        <v>10</v>
      </c>
      <c r="BZ199">
        <v>2</v>
      </c>
      <c r="CA199">
        <v>3</v>
      </c>
      <c r="CB199">
        <v>0.6</v>
      </c>
      <c r="CC199">
        <v>3</v>
      </c>
      <c r="CD199">
        <v>3</v>
      </c>
      <c r="CE199">
        <v>3</v>
      </c>
      <c r="CF199">
        <v>2</v>
      </c>
      <c r="CG199">
        <v>0</v>
      </c>
      <c r="CH199">
        <v>1</v>
      </c>
      <c r="CI199">
        <v>0</v>
      </c>
      <c r="CJ199">
        <v>0</v>
      </c>
      <c r="CK199">
        <v>7</v>
      </c>
      <c r="CL199">
        <v>4</v>
      </c>
      <c r="CM199">
        <v>1</v>
      </c>
      <c r="CN199">
        <v>2</v>
      </c>
      <c r="CO199">
        <v>2.2999999999999998</v>
      </c>
      <c r="CP199">
        <v>1.3</v>
      </c>
      <c r="CQ199">
        <v>0.3</v>
      </c>
      <c r="CR199">
        <v>0.7</v>
      </c>
      <c r="CS199">
        <v>2</v>
      </c>
      <c r="CT199">
        <v>3</v>
      </c>
      <c r="CU199">
        <v>1</v>
      </c>
      <c r="CV199">
        <v>2</v>
      </c>
      <c r="CW199">
        <v>1</v>
      </c>
      <c r="CX199">
        <v>1</v>
      </c>
      <c r="CY199">
        <v>0</v>
      </c>
      <c r="CZ199">
        <v>0</v>
      </c>
    </row>
    <row r="200" spans="1:104" x14ac:dyDescent="0.25">
      <c r="A200" s="1" t="s">
        <v>1369</v>
      </c>
      <c r="B200">
        <v>6964</v>
      </c>
      <c r="C200">
        <v>9132</v>
      </c>
      <c r="D200" s="2">
        <v>43763</v>
      </c>
      <c r="E200" s="3">
        <f t="shared" si="9"/>
        <v>2019</v>
      </c>
      <c r="F200" s="3">
        <f t="shared" si="10"/>
        <v>10</v>
      </c>
      <c r="G200" s="3">
        <f t="shared" si="11"/>
        <v>6</v>
      </c>
      <c r="H200" t="s">
        <v>1370</v>
      </c>
      <c r="I200">
        <v>1191</v>
      </c>
      <c r="J200" t="s">
        <v>166</v>
      </c>
      <c r="K200" t="s">
        <v>167</v>
      </c>
      <c r="L200">
        <v>2019</v>
      </c>
      <c r="M200" t="s">
        <v>906</v>
      </c>
      <c r="Q200" t="s">
        <v>167</v>
      </c>
      <c r="R200">
        <v>1923</v>
      </c>
      <c r="V200" t="s">
        <v>167</v>
      </c>
      <c r="W200">
        <v>1947</v>
      </c>
      <c r="X200" t="s">
        <v>125</v>
      </c>
      <c r="Z200">
        <v>-1.5</v>
      </c>
      <c r="AA200">
        <v>-2.5</v>
      </c>
      <c r="AB200">
        <v>10</v>
      </c>
      <c r="AC200">
        <v>45</v>
      </c>
      <c r="AD200">
        <v>45</v>
      </c>
      <c r="AE200">
        <v>42</v>
      </c>
      <c r="AF200">
        <v>58</v>
      </c>
      <c r="AG200">
        <v>38</v>
      </c>
      <c r="AH200">
        <v>62</v>
      </c>
      <c r="AI200">
        <v>40</v>
      </c>
      <c r="AJ200">
        <v>60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33</v>
      </c>
      <c r="AR200">
        <v>29</v>
      </c>
      <c r="AS200">
        <v>65</v>
      </c>
      <c r="AT200">
        <v>47</v>
      </c>
      <c r="AU200">
        <v>47</v>
      </c>
      <c r="AV200">
        <v>76</v>
      </c>
      <c r="AW200">
        <v>5</v>
      </c>
      <c r="AX200">
        <v>1</v>
      </c>
      <c r="AY200">
        <v>6</v>
      </c>
      <c r="AZ200">
        <v>1.2</v>
      </c>
      <c r="BA200">
        <v>5</v>
      </c>
      <c r="BB200">
        <v>8</v>
      </c>
      <c r="BC200">
        <v>2</v>
      </c>
      <c r="BD200">
        <v>4</v>
      </c>
      <c r="BE200">
        <v>1</v>
      </c>
      <c r="BF200">
        <v>2</v>
      </c>
      <c r="BG200">
        <v>2</v>
      </c>
      <c r="BH200">
        <v>2</v>
      </c>
      <c r="BI200">
        <v>11</v>
      </c>
      <c r="BJ200">
        <v>10</v>
      </c>
      <c r="BK200">
        <v>9</v>
      </c>
      <c r="BL200">
        <v>9</v>
      </c>
      <c r="BM200">
        <v>2.2000000000000002</v>
      </c>
      <c r="BN200">
        <v>1.3</v>
      </c>
      <c r="BO200">
        <v>1.8</v>
      </c>
      <c r="BP200">
        <v>1.1000000000000001</v>
      </c>
      <c r="BQ200">
        <v>1</v>
      </c>
      <c r="BR200">
        <v>1</v>
      </c>
      <c r="BS200">
        <v>0</v>
      </c>
      <c r="BT200">
        <v>1</v>
      </c>
      <c r="BU200">
        <v>0</v>
      </c>
      <c r="BV200">
        <v>0</v>
      </c>
      <c r="BW200">
        <v>1</v>
      </c>
      <c r="BX200">
        <v>0</v>
      </c>
      <c r="BY200">
        <v>8</v>
      </c>
      <c r="BZ200">
        <v>1.6</v>
      </c>
      <c r="CA200">
        <v>4</v>
      </c>
      <c r="CB200">
        <v>0.8</v>
      </c>
      <c r="CC200">
        <v>9</v>
      </c>
      <c r="CD200">
        <v>5</v>
      </c>
      <c r="CE200">
        <v>2</v>
      </c>
      <c r="CF200">
        <v>2</v>
      </c>
      <c r="CG200">
        <v>4</v>
      </c>
      <c r="CH200">
        <v>1</v>
      </c>
      <c r="CI200">
        <v>3</v>
      </c>
      <c r="CJ200">
        <v>2</v>
      </c>
      <c r="CK200">
        <v>13</v>
      </c>
      <c r="CL200">
        <v>6</v>
      </c>
      <c r="CM200">
        <v>10</v>
      </c>
      <c r="CN200">
        <v>4</v>
      </c>
      <c r="CO200">
        <v>1.4</v>
      </c>
      <c r="CP200">
        <v>1.2</v>
      </c>
      <c r="CQ200">
        <v>1.1000000000000001</v>
      </c>
      <c r="CR200">
        <v>0.8</v>
      </c>
      <c r="CS200">
        <v>1</v>
      </c>
      <c r="CT200">
        <v>1</v>
      </c>
      <c r="CU200">
        <v>0</v>
      </c>
      <c r="CV200">
        <v>1</v>
      </c>
      <c r="CW200">
        <v>0</v>
      </c>
      <c r="CX200">
        <v>0</v>
      </c>
      <c r="CY200">
        <v>1</v>
      </c>
      <c r="CZ200">
        <v>0</v>
      </c>
    </row>
    <row r="201" spans="1:104" x14ac:dyDescent="0.25">
      <c r="A201" s="1" t="s">
        <v>1371</v>
      </c>
      <c r="B201">
        <v>1612</v>
      </c>
      <c r="C201">
        <v>1605</v>
      </c>
      <c r="D201" s="2">
        <v>43759</v>
      </c>
      <c r="E201" s="3">
        <f t="shared" si="9"/>
        <v>2019</v>
      </c>
      <c r="F201" s="3">
        <f t="shared" si="10"/>
        <v>10</v>
      </c>
      <c r="G201" s="3">
        <f t="shared" si="11"/>
        <v>2</v>
      </c>
      <c r="H201" t="s">
        <v>1372</v>
      </c>
      <c r="I201">
        <v>294</v>
      </c>
      <c r="J201" t="s">
        <v>611</v>
      </c>
      <c r="K201" t="s">
        <v>612</v>
      </c>
      <c r="L201">
        <v>2019</v>
      </c>
      <c r="M201" t="s">
        <v>1373</v>
      </c>
      <c r="N201" t="s">
        <v>1372</v>
      </c>
      <c r="O201" t="s">
        <v>1374</v>
      </c>
      <c r="P201">
        <v>19939</v>
      </c>
      <c r="Q201" t="s">
        <v>612</v>
      </c>
      <c r="R201">
        <v>2010</v>
      </c>
      <c r="S201" t="s">
        <v>1375</v>
      </c>
      <c r="T201" t="s">
        <v>1376</v>
      </c>
      <c r="U201">
        <v>30510</v>
      </c>
      <c r="V201" t="s">
        <v>612</v>
      </c>
      <c r="W201">
        <v>1995</v>
      </c>
      <c r="X201" t="s">
        <v>125</v>
      </c>
      <c r="Z201">
        <v>-2.5</v>
      </c>
      <c r="AA201">
        <v>-2.5</v>
      </c>
      <c r="AB201">
        <v>10</v>
      </c>
      <c r="AC201">
        <v>45</v>
      </c>
      <c r="AD201">
        <v>45</v>
      </c>
      <c r="AE201">
        <v>47</v>
      </c>
      <c r="AF201">
        <v>53</v>
      </c>
      <c r="AG201">
        <v>27</v>
      </c>
      <c r="AH201">
        <v>73</v>
      </c>
      <c r="AI201">
        <v>75</v>
      </c>
      <c r="AJ201">
        <v>25</v>
      </c>
      <c r="AK201">
        <v>71</v>
      </c>
      <c r="AL201">
        <v>29</v>
      </c>
      <c r="AM201">
        <v>15</v>
      </c>
      <c r="AN201">
        <v>85</v>
      </c>
      <c r="AO201">
        <v>31</v>
      </c>
      <c r="AP201">
        <v>69</v>
      </c>
      <c r="AQ201">
        <v>53</v>
      </c>
      <c r="AR201">
        <v>25</v>
      </c>
      <c r="AS201">
        <v>83</v>
      </c>
      <c r="AT201">
        <v>60</v>
      </c>
      <c r="AU201">
        <v>67</v>
      </c>
      <c r="AV201">
        <v>50</v>
      </c>
      <c r="AW201">
        <v>6</v>
      </c>
      <c r="AX201">
        <v>1.2</v>
      </c>
      <c r="AY201">
        <v>4</v>
      </c>
      <c r="AZ201">
        <v>0.8</v>
      </c>
      <c r="BA201">
        <v>17</v>
      </c>
      <c r="BB201">
        <v>17</v>
      </c>
      <c r="BC201">
        <v>10</v>
      </c>
      <c r="BD201">
        <v>5</v>
      </c>
      <c r="BE201">
        <v>6</v>
      </c>
      <c r="BF201">
        <v>2</v>
      </c>
      <c r="BG201">
        <v>1</v>
      </c>
      <c r="BH201">
        <v>10</v>
      </c>
      <c r="BI201">
        <v>29</v>
      </c>
      <c r="BJ201">
        <v>23</v>
      </c>
      <c r="BK201">
        <v>13</v>
      </c>
      <c r="BL201">
        <v>30</v>
      </c>
      <c r="BM201">
        <v>1.7</v>
      </c>
      <c r="BN201">
        <v>1.4</v>
      </c>
      <c r="BO201">
        <v>0.8</v>
      </c>
      <c r="BP201">
        <v>1.8</v>
      </c>
      <c r="BQ201">
        <v>4</v>
      </c>
      <c r="BR201">
        <v>3</v>
      </c>
      <c r="BS201">
        <v>0</v>
      </c>
      <c r="BT201">
        <v>0</v>
      </c>
      <c r="BU201">
        <v>1</v>
      </c>
      <c r="BV201">
        <v>1</v>
      </c>
      <c r="BW201">
        <v>3</v>
      </c>
      <c r="BX201">
        <v>2</v>
      </c>
      <c r="BY201">
        <v>16</v>
      </c>
      <c r="BZ201">
        <v>3.2</v>
      </c>
      <c r="CA201">
        <v>12</v>
      </c>
      <c r="CB201">
        <v>2.4</v>
      </c>
      <c r="CC201">
        <v>18</v>
      </c>
      <c r="CD201">
        <v>17</v>
      </c>
      <c r="CE201">
        <v>12</v>
      </c>
      <c r="CF201">
        <v>5</v>
      </c>
      <c r="CG201">
        <v>1</v>
      </c>
      <c r="CH201">
        <v>2</v>
      </c>
      <c r="CI201">
        <v>5</v>
      </c>
      <c r="CJ201">
        <v>10</v>
      </c>
      <c r="CK201">
        <v>40</v>
      </c>
      <c r="CL201">
        <v>22</v>
      </c>
      <c r="CM201">
        <v>26</v>
      </c>
      <c r="CN201">
        <v>34</v>
      </c>
      <c r="CO201">
        <v>2.2000000000000002</v>
      </c>
      <c r="CP201">
        <v>1.3</v>
      </c>
      <c r="CQ201">
        <v>1.4</v>
      </c>
      <c r="CR201">
        <v>2</v>
      </c>
      <c r="CS201">
        <v>3</v>
      </c>
      <c r="CT201">
        <v>4</v>
      </c>
      <c r="CU201">
        <v>2</v>
      </c>
      <c r="CV201">
        <v>3</v>
      </c>
      <c r="CW201">
        <v>1</v>
      </c>
      <c r="CX201">
        <v>1</v>
      </c>
      <c r="CY201">
        <v>0</v>
      </c>
      <c r="CZ201">
        <v>0</v>
      </c>
    </row>
    <row r="202" spans="1:104" x14ac:dyDescent="0.25">
      <c r="A202" s="1" t="s">
        <v>1377</v>
      </c>
      <c r="B202">
        <v>2292</v>
      </c>
      <c r="C202">
        <v>2282</v>
      </c>
      <c r="D202" s="2">
        <v>43769</v>
      </c>
      <c r="E202" s="3">
        <f t="shared" si="9"/>
        <v>2019</v>
      </c>
      <c r="F202" s="3">
        <f t="shared" si="10"/>
        <v>10</v>
      </c>
      <c r="G202" s="3">
        <f t="shared" si="11"/>
        <v>5</v>
      </c>
      <c r="H202" t="s">
        <v>1378</v>
      </c>
      <c r="I202">
        <v>584</v>
      </c>
      <c r="J202" t="s">
        <v>1379</v>
      </c>
      <c r="K202" t="s">
        <v>1380</v>
      </c>
      <c r="L202">
        <v>2019</v>
      </c>
      <c r="M202" t="s">
        <v>1381</v>
      </c>
      <c r="Q202" t="s">
        <v>1380</v>
      </c>
      <c r="R202">
        <v>1901</v>
      </c>
      <c r="V202" t="s">
        <v>1380</v>
      </c>
      <c r="W202">
        <v>1945</v>
      </c>
      <c r="X202" t="s">
        <v>109</v>
      </c>
      <c r="Z202">
        <v>-2.5</v>
      </c>
      <c r="AA202">
        <v>-2.5</v>
      </c>
      <c r="AB202">
        <v>35</v>
      </c>
      <c r="AC202">
        <v>35</v>
      </c>
      <c r="AD202">
        <v>30</v>
      </c>
      <c r="AE202">
        <v>64</v>
      </c>
      <c r="AF202">
        <v>36</v>
      </c>
      <c r="AG202">
        <v>63</v>
      </c>
      <c r="AH202">
        <v>38</v>
      </c>
      <c r="AI202">
        <v>57</v>
      </c>
      <c r="AJ202">
        <v>43</v>
      </c>
      <c r="AK202">
        <v>0</v>
      </c>
      <c r="AL202">
        <v>0</v>
      </c>
      <c r="AM202">
        <v>0</v>
      </c>
      <c r="AN202">
        <v>100</v>
      </c>
      <c r="AO202">
        <v>8</v>
      </c>
      <c r="AP202">
        <v>92</v>
      </c>
      <c r="AQ202">
        <v>60</v>
      </c>
      <c r="AR202">
        <v>83</v>
      </c>
      <c r="AS202">
        <v>50</v>
      </c>
      <c r="AT202">
        <v>33</v>
      </c>
      <c r="AU202">
        <v>50</v>
      </c>
      <c r="AV202">
        <v>33</v>
      </c>
      <c r="AW202">
        <v>10</v>
      </c>
      <c r="AX202">
        <v>2</v>
      </c>
      <c r="AY202">
        <v>6</v>
      </c>
      <c r="AZ202">
        <v>1.2</v>
      </c>
      <c r="BA202">
        <v>7</v>
      </c>
      <c r="BB202">
        <v>7</v>
      </c>
      <c r="BC202">
        <v>3</v>
      </c>
      <c r="BD202">
        <v>2</v>
      </c>
      <c r="BE202">
        <v>0</v>
      </c>
      <c r="BF202">
        <v>3</v>
      </c>
      <c r="BG202">
        <v>4</v>
      </c>
      <c r="BH202">
        <v>2</v>
      </c>
      <c r="BI202">
        <v>11</v>
      </c>
      <c r="BJ202">
        <v>15</v>
      </c>
      <c r="BK202">
        <v>10</v>
      </c>
      <c r="BL202">
        <v>12</v>
      </c>
      <c r="BM202">
        <v>1.6</v>
      </c>
      <c r="BN202">
        <v>2.1</v>
      </c>
      <c r="BO202">
        <v>1.4</v>
      </c>
      <c r="BP202">
        <v>1.7</v>
      </c>
      <c r="BQ202">
        <v>4</v>
      </c>
      <c r="BR202">
        <v>3</v>
      </c>
      <c r="BS202">
        <v>0</v>
      </c>
      <c r="BT202">
        <v>0</v>
      </c>
      <c r="BU202">
        <v>1</v>
      </c>
      <c r="BV202">
        <v>0</v>
      </c>
      <c r="BW202">
        <v>3</v>
      </c>
      <c r="BX202">
        <v>3</v>
      </c>
      <c r="BY202">
        <v>6</v>
      </c>
      <c r="BZ202">
        <v>1.2</v>
      </c>
      <c r="CA202">
        <v>8</v>
      </c>
      <c r="CB202">
        <v>1.6</v>
      </c>
      <c r="CC202">
        <v>7</v>
      </c>
      <c r="CD202">
        <v>7</v>
      </c>
      <c r="CE202">
        <v>4</v>
      </c>
      <c r="CF202">
        <v>1</v>
      </c>
      <c r="CG202">
        <v>1</v>
      </c>
      <c r="CH202">
        <v>1</v>
      </c>
      <c r="CI202">
        <v>2</v>
      </c>
      <c r="CJ202">
        <v>5</v>
      </c>
      <c r="CK202">
        <v>11</v>
      </c>
      <c r="CL202">
        <v>6</v>
      </c>
      <c r="CM202">
        <v>9</v>
      </c>
      <c r="CN202">
        <v>11</v>
      </c>
      <c r="CO202">
        <v>1.6</v>
      </c>
      <c r="CP202">
        <v>0.9</v>
      </c>
      <c r="CQ202">
        <v>1.3</v>
      </c>
      <c r="CR202">
        <v>1.6</v>
      </c>
      <c r="CS202">
        <v>3</v>
      </c>
      <c r="CT202">
        <v>4</v>
      </c>
      <c r="CU202">
        <v>3</v>
      </c>
      <c r="CV202">
        <v>3</v>
      </c>
      <c r="CW202">
        <v>0</v>
      </c>
      <c r="CX202">
        <v>1</v>
      </c>
      <c r="CY202">
        <v>0</v>
      </c>
      <c r="CZ202">
        <v>0</v>
      </c>
    </row>
    <row r="203" spans="1:104" x14ac:dyDescent="0.25">
      <c r="A203" s="1" t="s">
        <v>1382</v>
      </c>
      <c r="B203">
        <v>2181</v>
      </c>
      <c r="C203">
        <v>2182</v>
      </c>
      <c r="D203" s="2">
        <v>44016</v>
      </c>
      <c r="E203" s="3">
        <f t="shared" si="9"/>
        <v>2020</v>
      </c>
      <c r="F203" s="3">
        <f t="shared" si="10"/>
        <v>7</v>
      </c>
      <c r="G203" s="3">
        <f t="shared" si="11"/>
        <v>7</v>
      </c>
      <c r="H203" t="s">
        <v>1383</v>
      </c>
      <c r="I203">
        <v>585</v>
      </c>
      <c r="J203" t="s">
        <v>1384</v>
      </c>
      <c r="K203" t="s">
        <v>442</v>
      </c>
      <c r="L203">
        <v>2019</v>
      </c>
      <c r="M203" t="s">
        <v>373</v>
      </c>
      <c r="N203" t="s">
        <v>1383</v>
      </c>
      <c r="O203" t="s">
        <v>1385</v>
      </c>
      <c r="P203">
        <v>11168</v>
      </c>
      <c r="Q203" t="s">
        <v>442</v>
      </c>
      <c r="R203">
        <v>1905</v>
      </c>
      <c r="S203" t="s">
        <v>1386</v>
      </c>
      <c r="T203" t="s">
        <v>1387</v>
      </c>
      <c r="U203">
        <v>8200</v>
      </c>
      <c r="V203" t="s">
        <v>442</v>
      </c>
      <c r="W203">
        <v>1896</v>
      </c>
      <c r="X203" t="s">
        <v>125</v>
      </c>
      <c r="Z203">
        <v>-2.5</v>
      </c>
      <c r="AA203">
        <v>-1.5</v>
      </c>
      <c r="AB203">
        <v>10</v>
      </c>
      <c r="AC203">
        <v>45</v>
      </c>
      <c r="AD203">
        <v>45</v>
      </c>
      <c r="AE203">
        <v>38</v>
      </c>
      <c r="AF203">
        <v>63</v>
      </c>
      <c r="AG203">
        <v>55</v>
      </c>
      <c r="AH203">
        <v>45</v>
      </c>
      <c r="AI203">
        <v>48</v>
      </c>
      <c r="AJ203">
        <v>52</v>
      </c>
      <c r="AK203">
        <v>0</v>
      </c>
      <c r="AL203">
        <v>0</v>
      </c>
      <c r="AM203">
        <v>29</v>
      </c>
      <c r="AN203">
        <v>71</v>
      </c>
      <c r="AO203">
        <v>45</v>
      </c>
      <c r="AP203">
        <v>55</v>
      </c>
      <c r="AQ203">
        <v>20</v>
      </c>
      <c r="AR203">
        <v>21</v>
      </c>
      <c r="AS203">
        <v>61</v>
      </c>
      <c r="AT203">
        <v>33</v>
      </c>
      <c r="AU203">
        <v>18</v>
      </c>
      <c r="AV203">
        <v>64</v>
      </c>
      <c r="AW203">
        <v>6</v>
      </c>
      <c r="AX203">
        <v>1.2</v>
      </c>
      <c r="AY203">
        <v>11</v>
      </c>
      <c r="AZ203">
        <v>2.2000000000000002</v>
      </c>
      <c r="BA203">
        <v>13</v>
      </c>
      <c r="BB203">
        <v>14</v>
      </c>
      <c r="BC203">
        <v>3</v>
      </c>
      <c r="BD203">
        <v>1</v>
      </c>
      <c r="BE203">
        <v>3</v>
      </c>
      <c r="BF203">
        <v>2</v>
      </c>
      <c r="BG203">
        <v>7</v>
      </c>
      <c r="BH203">
        <v>11</v>
      </c>
      <c r="BI203">
        <v>15</v>
      </c>
      <c r="BJ203">
        <v>17</v>
      </c>
      <c r="BK203">
        <v>20</v>
      </c>
      <c r="BL203">
        <v>33</v>
      </c>
      <c r="BM203">
        <v>1.2</v>
      </c>
      <c r="BN203">
        <v>1.2</v>
      </c>
      <c r="BO203">
        <v>1.5</v>
      </c>
      <c r="BP203">
        <v>2.4</v>
      </c>
      <c r="BQ203">
        <v>8</v>
      </c>
      <c r="BR203">
        <v>8</v>
      </c>
      <c r="BS203">
        <v>3</v>
      </c>
      <c r="BT203">
        <v>2</v>
      </c>
      <c r="BU203">
        <v>2</v>
      </c>
      <c r="BV203">
        <v>0</v>
      </c>
      <c r="BW203">
        <v>3</v>
      </c>
      <c r="BX203">
        <v>6</v>
      </c>
      <c r="BY203">
        <v>5</v>
      </c>
      <c r="BZ203">
        <v>1</v>
      </c>
      <c r="CA203">
        <v>10</v>
      </c>
      <c r="CB203">
        <v>2</v>
      </c>
      <c r="CC203">
        <v>14</v>
      </c>
      <c r="CD203">
        <v>13</v>
      </c>
      <c r="CE203">
        <v>3</v>
      </c>
      <c r="CF203">
        <v>3</v>
      </c>
      <c r="CG203">
        <v>7</v>
      </c>
      <c r="CH203">
        <v>4</v>
      </c>
      <c r="CI203">
        <v>4</v>
      </c>
      <c r="CJ203">
        <v>6</v>
      </c>
      <c r="CK203">
        <v>13</v>
      </c>
      <c r="CL203">
        <v>10</v>
      </c>
      <c r="CM203">
        <v>19</v>
      </c>
      <c r="CN203">
        <v>23</v>
      </c>
      <c r="CO203">
        <v>0.9</v>
      </c>
      <c r="CP203">
        <v>0.8</v>
      </c>
      <c r="CQ203">
        <v>1.4</v>
      </c>
      <c r="CR203">
        <v>1.8</v>
      </c>
      <c r="CS203">
        <v>8</v>
      </c>
      <c r="CT203">
        <v>8</v>
      </c>
      <c r="CU203">
        <v>6</v>
      </c>
      <c r="CV203">
        <v>3</v>
      </c>
      <c r="CW203">
        <v>0</v>
      </c>
      <c r="CX203">
        <v>2</v>
      </c>
      <c r="CY203">
        <v>2</v>
      </c>
      <c r="CZ203">
        <v>3</v>
      </c>
    </row>
    <row r="204" spans="1:104" x14ac:dyDescent="0.25">
      <c r="A204" s="1" t="s">
        <v>1388</v>
      </c>
      <c r="B204">
        <v>6766</v>
      </c>
      <c r="C204">
        <v>1388</v>
      </c>
      <c r="D204" s="2">
        <v>43666</v>
      </c>
      <c r="E204" s="3">
        <f t="shared" si="9"/>
        <v>2019</v>
      </c>
      <c r="F204" s="3">
        <f t="shared" si="10"/>
        <v>7</v>
      </c>
      <c r="G204" s="3">
        <f t="shared" si="11"/>
        <v>7</v>
      </c>
      <c r="H204" t="s">
        <v>1389</v>
      </c>
      <c r="I204">
        <v>1232</v>
      </c>
      <c r="J204" t="s">
        <v>1390</v>
      </c>
      <c r="K204" t="s">
        <v>1029</v>
      </c>
      <c r="L204">
        <v>2019</v>
      </c>
      <c r="M204" t="s">
        <v>613</v>
      </c>
      <c r="N204" t="s">
        <v>1389</v>
      </c>
      <c r="O204" t="s">
        <v>1391</v>
      </c>
      <c r="P204">
        <v>2504</v>
      </c>
      <c r="Q204" t="s">
        <v>1029</v>
      </c>
      <c r="S204" t="s">
        <v>1392</v>
      </c>
      <c r="T204" t="s">
        <v>1393</v>
      </c>
      <c r="U204">
        <v>11998</v>
      </c>
      <c r="V204" t="s">
        <v>1029</v>
      </c>
      <c r="W204">
        <v>1885</v>
      </c>
      <c r="X204">
        <v>2</v>
      </c>
      <c r="AA204">
        <v>-5.5</v>
      </c>
      <c r="AB204">
        <v>10</v>
      </c>
      <c r="AC204">
        <v>45</v>
      </c>
      <c r="AD204">
        <v>45</v>
      </c>
      <c r="AE204">
        <v>0</v>
      </c>
      <c r="AF204">
        <v>100</v>
      </c>
      <c r="AG204">
        <v>0</v>
      </c>
      <c r="AH204">
        <v>100</v>
      </c>
      <c r="AI204">
        <v>67</v>
      </c>
      <c r="AJ204">
        <v>33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94</v>
      </c>
      <c r="AT204">
        <v>100</v>
      </c>
      <c r="AU204">
        <v>50</v>
      </c>
      <c r="AV204">
        <v>89</v>
      </c>
      <c r="AW204">
        <v>0</v>
      </c>
      <c r="AX204">
        <v>0</v>
      </c>
      <c r="AY204">
        <v>1</v>
      </c>
      <c r="AZ204">
        <v>1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0</v>
      </c>
      <c r="BO204">
        <v>0</v>
      </c>
      <c r="BP204">
        <v>1</v>
      </c>
      <c r="BQ204">
        <v>1</v>
      </c>
      <c r="BR204">
        <v>0</v>
      </c>
      <c r="BS204">
        <v>1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9</v>
      </c>
      <c r="BZ204">
        <v>4.5</v>
      </c>
      <c r="CA204">
        <v>2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0</v>
      </c>
      <c r="CH204">
        <v>0</v>
      </c>
      <c r="CI204">
        <v>0</v>
      </c>
      <c r="CJ204">
        <v>0</v>
      </c>
      <c r="CK204">
        <v>6</v>
      </c>
      <c r="CL204">
        <v>3</v>
      </c>
      <c r="CM204">
        <v>0</v>
      </c>
      <c r="CN204">
        <v>2</v>
      </c>
      <c r="CO204">
        <v>6</v>
      </c>
      <c r="CP204">
        <v>3</v>
      </c>
      <c r="CQ204">
        <v>0</v>
      </c>
      <c r="CR204">
        <v>2</v>
      </c>
      <c r="CS204">
        <v>0</v>
      </c>
      <c r="CT204">
        <v>1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1</v>
      </c>
    </row>
    <row r="205" spans="1:104" x14ac:dyDescent="0.25">
      <c r="A205" s="1" t="s">
        <v>1394</v>
      </c>
      <c r="B205">
        <v>7248</v>
      </c>
      <c r="C205">
        <v>7228</v>
      </c>
      <c r="D205" s="2">
        <v>43754</v>
      </c>
      <c r="E205" s="3">
        <f t="shared" si="9"/>
        <v>2019</v>
      </c>
      <c r="F205" s="3">
        <f t="shared" si="10"/>
        <v>10</v>
      </c>
      <c r="G205" s="3">
        <f t="shared" si="11"/>
        <v>4</v>
      </c>
      <c r="H205" t="s">
        <v>1395</v>
      </c>
      <c r="I205">
        <v>1170</v>
      </c>
      <c r="J205" t="s">
        <v>982</v>
      </c>
      <c r="K205" t="s">
        <v>241</v>
      </c>
      <c r="L205">
        <v>2019</v>
      </c>
      <c r="M205" t="s">
        <v>1396</v>
      </c>
      <c r="N205" t="s">
        <v>1397</v>
      </c>
      <c r="O205" t="s">
        <v>1398</v>
      </c>
      <c r="P205">
        <v>1000</v>
      </c>
      <c r="Q205" t="s">
        <v>241</v>
      </c>
      <c r="R205">
        <v>1876</v>
      </c>
      <c r="S205" t="s">
        <v>986</v>
      </c>
      <c r="T205" t="s">
        <v>987</v>
      </c>
      <c r="U205">
        <v>1500</v>
      </c>
      <c r="V205" t="s">
        <v>241</v>
      </c>
      <c r="W205">
        <v>1890</v>
      </c>
      <c r="X205" t="s">
        <v>125</v>
      </c>
      <c r="Y205">
        <v>1.5</v>
      </c>
      <c r="Z205">
        <v>-2.5</v>
      </c>
      <c r="AA205">
        <v>-3.5</v>
      </c>
      <c r="AB205">
        <v>0</v>
      </c>
      <c r="AC205">
        <v>50</v>
      </c>
      <c r="AD205">
        <v>50</v>
      </c>
      <c r="AE205">
        <v>8</v>
      </c>
      <c r="AF205">
        <v>92</v>
      </c>
      <c r="AG205">
        <v>35</v>
      </c>
      <c r="AH205">
        <v>65</v>
      </c>
      <c r="AI205">
        <v>24</v>
      </c>
      <c r="AJ205">
        <v>76</v>
      </c>
      <c r="AK205">
        <v>20</v>
      </c>
      <c r="AL205">
        <v>80</v>
      </c>
      <c r="AM205">
        <v>0</v>
      </c>
      <c r="AN205">
        <v>100</v>
      </c>
      <c r="AO205">
        <v>33</v>
      </c>
      <c r="AP205">
        <v>67</v>
      </c>
      <c r="AQ205">
        <v>7</v>
      </c>
      <c r="AR205">
        <v>50</v>
      </c>
      <c r="AS205">
        <v>0</v>
      </c>
      <c r="AT205">
        <v>80</v>
      </c>
      <c r="AU205">
        <v>92</v>
      </c>
      <c r="AV205">
        <v>50</v>
      </c>
      <c r="AW205">
        <v>6</v>
      </c>
      <c r="AX205">
        <v>1.2</v>
      </c>
      <c r="AY205">
        <v>19</v>
      </c>
      <c r="AZ205">
        <v>3.8</v>
      </c>
      <c r="BA205">
        <v>3</v>
      </c>
      <c r="BB205">
        <v>3</v>
      </c>
      <c r="BC205">
        <v>0</v>
      </c>
      <c r="BD205">
        <v>0</v>
      </c>
      <c r="BE205">
        <v>0</v>
      </c>
      <c r="BF205">
        <v>1</v>
      </c>
      <c r="BG205">
        <v>3</v>
      </c>
      <c r="BH205">
        <v>2</v>
      </c>
      <c r="BI205">
        <v>3</v>
      </c>
      <c r="BJ205">
        <v>4</v>
      </c>
      <c r="BK205">
        <v>10</v>
      </c>
      <c r="BL205">
        <v>11</v>
      </c>
      <c r="BM205">
        <v>1</v>
      </c>
      <c r="BN205">
        <v>1.3</v>
      </c>
      <c r="BO205">
        <v>3.3</v>
      </c>
      <c r="BP205">
        <v>3.7</v>
      </c>
      <c r="BQ205">
        <v>1</v>
      </c>
      <c r="BR205">
        <v>2</v>
      </c>
      <c r="BS205">
        <v>0</v>
      </c>
      <c r="BT205">
        <v>0</v>
      </c>
      <c r="BU205">
        <v>0</v>
      </c>
      <c r="BV205">
        <v>1</v>
      </c>
      <c r="BW205">
        <v>1</v>
      </c>
      <c r="BX205">
        <v>1</v>
      </c>
      <c r="BY205">
        <v>11</v>
      </c>
      <c r="BZ205">
        <v>2.2000000000000002</v>
      </c>
      <c r="CA205">
        <v>6</v>
      </c>
      <c r="CB205">
        <v>1.2</v>
      </c>
      <c r="CC205">
        <v>5</v>
      </c>
      <c r="CD205">
        <v>2</v>
      </c>
      <c r="CE205">
        <v>4</v>
      </c>
      <c r="CF205">
        <v>1</v>
      </c>
      <c r="CG205">
        <v>0</v>
      </c>
      <c r="CH205">
        <v>0</v>
      </c>
      <c r="CI205">
        <v>1</v>
      </c>
      <c r="CJ205">
        <v>1</v>
      </c>
      <c r="CK205">
        <v>13</v>
      </c>
      <c r="CL205">
        <v>3</v>
      </c>
      <c r="CM205">
        <v>6</v>
      </c>
      <c r="CN205">
        <v>3</v>
      </c>
      <c r="CO205">
        <v>2.6</v>
      </c>
      <c r="CP205">
        <v>1.5</v>
      </c>
      <c r="CQ205">
        <v>1.2</v>
      </c>
      <c r="CR205">
        <v>1.5</v>
      </c>
      <c r="CS205">
        <v>2</v>
      </c>
      <c r="CT205">
        <v>1</v>
      </c>
      <c r="CU205">
        <v>1</v>
      </c>
      <c r="CV205">
        <v>1</v>
      </c>
      <c r="CW205">
        <v>1</v>
      </c>
      <c r="CX205">
        <v>0</v>
      </c>
      <c r="CY205">
        <v>0</v>
      </c>
      <c r="CZ205">
        <v>0</v>
      </c>
    </row>
    <row r="206" spans="1:104" x14ac:dyDescent="0.25">
      <c r="A206" s="1" t="s">
        <v>1399</v>
      </c>
      <c r="B206">
        <v>2043</v>
      </c>
      <c r="C206">
        <v>817</v>
      </c>
      <c r="D206" s="2">
        <v>43772</v>
      </c>
      <c r="E206" s="3">
        <f t="shared" si="9"/>
        <v>2019</v>
      </c>
      <c r="F206" s="3">
        <f t="shared" si="10"/>
        <v>11</v>
      </c>
      <c r="G206" s="3">
        <f t="shared" si="11"/>
        <v>1</v>
      </c>
      <c r="H206" t="s">
        <v>1400</v>
      </c>
      <c r="I206">
        <v>588</v>
      </c>
      <c r="J206" t="s">
        <v>344</v>
      </c>
      <c r="K206" t="s">
        <v>795</v>
      </c>
      <c r="L206">
        <v>2019</v>
      </c>
      <c r="M206" t="s">
        <v>1401</v>
      </c>
      <c r="N206" t="s">
        <v>1400</v>
      </c>
      <c r="O206" t="s">
        <v>1402</v>
      </c>
      <c r="P206">
        <v>2500</v>
      </c>
      <c r="Q206" t="s">
        <v>795</v>
      </c>
      <c r="S206" t="s">
        <v>1403</v>
      </c>
      <c r="T206" t="s">
        <v>1404</v>
      </c>
      <c r="U206">
        <v>2349</v>
      </c>
      <c r="V206" t="s">
        <v>795</v>
      </c>
      <c r="X206" t="s">
        <v>125</v>
      </c>
      <c r="Z206">
        <v>-2.5</v>
      </c>
      <c r="AA206">
        <v>-1.5</v>
      </c>
      <c r="AB206">
        <v>10</v>
      </c>
      <c r="AC206">
        <v>45</v>
      </c>
      <c r="AD206">
        <v>45</v>
      </c>
      <c r="AE206">
        <v>33</v>
      </c>
      <c r="AF206">
        <v>67</v>
      </c>
      <c r="AG206">
        <v>50</v>
      </c>
      <c r="AH206">
        <v>50</v>
      </c>
      <c r="AI206">
        <v>60</v>
      </c>
      <c r="AJ206">
        <v>40</v>
      </c>
      <c r="AK206">
        <v>78</v>
      </c>
      <c r="AL206">
        <v>22</v>
      </c>
      <c r="AM206">
        <v>0</v>
      </c>
      <c r="AN206">
        <v>100</v>
      </c>
      <c r="AO206">
        <v>0</v>
      </c>
      <c r="AP206">
        <v>100</v>
      </c>
      <c r="AQ206">
        <v>33</v>
      </c>
      <c r="AR206">
        <v>35</v>
      </c>
      <c r="AS206">
        <v>65</v>
      </c>
      <c r="AT206">
        <v>67</v>
      </c>
      <c r="AU206">
        <v>35</v>
      </c>
      <c r="AV206">
        <v>47</v>
      </c>
      <c r="AW206">
        <v>6</v>
      </c>
      <c r="AX206">
        <v>1.2</v>
      </c>
      <c r="AY206">
        <v>6</v>
      </c>
      <c r="AZ206">
        <v>1.2</v>
      </c>
      <c r="BA206">
        <v>9</v>
      </c>
      <c r="BB206">
        <v>10</v>
      </c>
      <c r="BC206">
        <v>4</v>
      </c>
      <c r="BD206">
        <v>3</v>
      </c>
      <c r="BE206">
        <v>3</v>
      </c>
      <c r="BF206">
        <v>3</v>
      </c>
      <c r="BG206">
        <v>2</v>
      </c>
      <c r="BH206">
        <v>4</v>
      </c>
      <c r="BI206">
        <v>11</v>
      </c>
      <c r="BJ206">
        <v>9</v>
      </c>
      <c r="BK206">
        <v>7</v>
      </c>
      <c r="BL206">
        <v>13</v>
      </c>
      <c r="BM206">
        <v>1.2</v>
      </c>
      <c r="BN206">
        <v>0.9</v>
      </c>
      <c r="BO206">
        <v>0.8</v>
      </c>
      <c r="BP206">
        <v>1.3</v>
      </c>
      <c r="BQ206">
        <v>2</v>
      </c>
      <c r="BR206">
        <v>2</v>
      </c>
      <c r="BS206">
        <v>1</v>
      </c>
      <c r="BT206">
        <v>1</v>
      </c>
      <c r="BU206">
        <v>0</v>
      </c>
      <c r="BV206">
        <v>0</v>
      </c>
      <c r="BW206">
        <v>1</v>
      </c>
      <c r="BX206">
        <v>1</v>
      </c>
      <c r="BY206">
        <v>6</v>
      </c>
      <c r="BZ206">
        <v>1.2</v>
      </c>
      <c r="CA206">
        <v>9</v>
      </c>
      <c r="CB206">
        <v>1.8</v>
      </c>
      <c r="CC206">
        <v>10</v>
      </c>
      <c r="CD206">
        <v>10</v>
      </c>
      <c r="CE206">
        <v>6</v>
      </c>
      <c r="CF206">
        <v>0</v>
      </c>
      <c r="CG206">
        <v>2</v>
      </c>
      <c r="CH206">
        <v>2</v>
      </c>
      <c r="CI206">
        <v>2</v>
      </c>
      <c r="CJ206">
        <v>8</v>
      </c>
      <c r="CK206">
        <v>13</v>
      </c>
      <c r="CL206">
        <v>9</v>
      </c>
      <c r="CM206">
        <v>9</v>
      </c>
      <c r="CN206">
        <v>29</v>
      </c>
      <c r="CO206">
        <v>1.3</v>
      </c>
      <c r="CP206">
        <v>0.9</v>
      </c>
      <c r="CQ206">
        <v>0.9</v>
      </c>
      <c r="CR206">
        <v>2.9</v>
      </c>
      <c r="CS206">
        <v>2</v>
      </c>
      <c r="CT206">
        <v>2</v>
      </c>
      <c r="CU206">
        <v>1</v>
      </c>
      <c r="CV206">
        <v>1</v>
      </c>
      <c r="CW206">
        <v>0</v>
      </c>
      <c r="CX206">
        <v>0</v>
      </c>
      <c r="CY206">
        <v>1</v>
      </c>
      <c r="CZ206">
        <v>1</v>
      </c>
    </row>
    <row r="207" spans="1:104" x14ac:dyDescent="0.25">
      <c r="A207" s="1" t="s">
        <v>1405</v>
      </c>
      <c r="B207">
        <v>5232</v>
      </c>
      <c r="C207">
        <v>5231</v>
      </c>
      <c r="D207" s="2">
        <v>43660</v>
      </c>
      <c r="E207" s="3">
        <f t="shared" si="9"/>
        <v>2019</v>
      </c>
      <c r="F207" s="3">
        <f t="shared" si="10"/>
        <v>7</v>
      </c>
      <c r="G207" s="3">
        <f t="shared" si="11"/>
        <v>1</v>
      </c>
      <c r="H207" t="s">
        <v>1406</v>
      </c>
      <c r="I207">
        <v>806</v>
      </c>
      <c r="J207" t="s">
        <v>1407</v>
      </c>
      <c r="K207" t="s">
        <v>1408</v>
      </c>
      <c r="L207">
        <v>2019</v>
      </c>
      <c r="M207" t="s">
        <v>218</v>
      </c>
      <c r="N207" t="s">
        <v>1406</v>
      </c>
      <c r="O207" t="s">
        <v>1409</v>
      </c>
      <c r="P207">
        <v>3000</v>
      </c>
      <c r="Q207" t="s">
        <v>1408</v>
      </c>
      <c r="R207">
        <v>1972</v>
      </c>
      <c r="V207" t="s">
        <v>1408</v>
      </c>
      <c r="X207" t="s">
        <v>109</v>
      </c>
      <c r="Z207">
        <v>-2.5</v>
      </c>
      <c r="AA207">
        <v>-2.5</v>
      </c>
      <c r="AB207">
        <v>45</v>
      </c>
      <c r="AC207">
        <v>45</v>
      </c>
      <c r="AD207">
        <v>10</v>
      </c>
      <c r="AE207">
        <v>79</v>
      </c>
      <c r="AF207">
        <v>21</v>
      </c>
      <c r="AG207">
        <v>58</v>
      </c>
      <c r="AH207">
        <v>42</v>
      </c>
      <c r="AI207">
        <v>73</v>
      </c>
      <c r="AJ207">
        <v>27</v>
      </c>
      <c r="AK207">
        <v>45</v>
      </c>
      <c r="AL207">
        <v>55</v>
      </c>
      <c r="AM207">
        <v>0</v>
      </c>
      <c r="AN207">
        <v>0</v>
      </c>
      <c r="AO207">
        <v>0</v>
      </c>
      <c r="AP207">
        <v>0</v>
      </c>
      <c r="AQ207">
        <v>73</v>
      </c>
      <c r="AR207">
        <v>100</v>
      </c>
      <c r="AS207">
        <v>25</v>
      </c>
      <c r="AT207">
        <v>20</v>
      </c>
      <c r="AU207">
        <v>100</v>
      </c>
      <c r="AV207">
        <v>0</v>
      </c>
      <c r="AW207">
        <v>7</v>
      </c>
      <c r="AX207">
        <v>1.4</v>
      </c>
      <c r="AY207">
        <v>3</v>
      </c>
      <c r="AZ207">
        <v>0.6</v>
      </c>
      <c r="BA207">
        <v>7</v>
      </c>
      <c r="BB207">
        <v>6</v>
      </c>
      <c r="BC207">
        <v>2</v>
      </c>
      <c r="BD207">
        <v>3</v>
      </c>
      <c r="BE207">
        <v>3</v>
      </c>
      <c r="BF207">
        <v>0</v>
      </c>
      <c r="BG207">
        <v>2</v>
      </c>
      <c r="BH207">
        <v>3</v>
      </c>
      <c r="BI207">
        <v>8</v>
      </c>
      <c r="BJ207">
        <v>8</v>
      </c>
      <c r="BK207">
        <v>8</v>
      </c>
      <c r="BL207">
        <v>7</v>
      </c>
      <c r="BM207">
        <v>1.1000000000000001</v>
      </c>
      <c r="BN207">
        <v>1.3</v>
      </c>
      <c r="BO207">
        <v>1.1000000000000001</v>
      </c>
      <c r="BP207">
        <v>1.2</v>
      </c>
      <c r="BQ207">
        <v>1</v>
      </c>
      <c r="BR207">
        <v>1</v>
      </c>
      <c r="BS207">
        <v>1</v>
      </c>
      <c r="BT207">
        <v>0</v>
      </c>
      <c r="BU207">
        <v>0</v>
      </c>
      <c r="BV207">
        <v>0</v>
      </c>
      <c r="BW207">
        <v>0</v>
      </c>
      <c r="BX207">
        <v>1</v>
      </c>
      <c r="BY207">
        <v>5</v>
      </c>
      <c r="BZ207">
        <v>1</v>
      </c>
      <c r="CA207">
        <v>8</v>
      </c>
      <c r="CB207">
        <v>1.6</v>
      </c>
      <c r="CC207">
        <v>6</v>
      </c>
      <c r="CD207">
        <v>7</v>
      </c>
      <c r="CE207">
        <v>1</v>
      </c>
      <c r="CF207">
        <v>1</v>
      </c>
      <c r="CG207">
        <v>2</v>
      </c>
      <c r="CH207">
        <v>5</v>
      </c>
      <c r="CI207">
        <v>3</v>
      </c>
      <c r="CJ207">
        <v>1</v>
      </c>
      <c r="CK207">
        <v>3</v>
      </c>
      <c r="CL207">
        <v>6</v>
      </c>
      <c r="CM207">
        <v>6</v>
      </c>
      <c r="CN207">
        <v>6</v>
      </c>
      <c r="CO207">
        <v>0.5</v>
      </c>
      <c r="CP207">
        <v>0.9</v>
      </c>
      <c r="CQ207">
        <v>1</v>
      </c>
      <c r="CR207">
        <v>0.9</v>
      </c>
      <c r="CS207">
        <v>1</v>
      </c>
      <c r="CT207">
        <v>1</v>
      </c>
      <c r="CU207">
        <v>1</v>
      </c>
      <c r="CV207">
        <v>0</v>
      </c>
      <c r="CW207">
        <v>0</v>
      </c>
      <c r="CX207">
        <v>0</v>
      </c>
      <c r="CY207">
        <v>0</v>
      </c>
      <c r="CZ207">
        <v>1</v>
      </c>
    </row>
    <row r="208" spans="1:104" x14ac:dyDescent="0.25">
      <c r="A208" s="1" t="s">
        <v>1410</v>
      </c>
      <c r="B208">
        <v>5085</v>
      </c>
      <c r="C208">
        <v>5138</v>
      </c>
      <c r="D208" s="2">
        <v>43800</v>
      </c>
      <c r="E208" s="3">
        <f t="shared" si="9"/>
        <v>2019</v>
      </c>
      <c r="F208" s="3">
        <f t="shared" si="10"/>
        <v>12</v>
      </c>
      <c r="G208" s="3">
        <f t="shared" si="11"/>
        <v>1</v>
      </c>
      <c r="H208" t="s">
        <v>1228</v>
      </c>
      <c r="I208">
        <v>2282</v>
      </c>
      <c r="J208" t="s">
        <v>1225</v>
      </c>
      <c r="K208" t="s">
        <v>190</v>
      </c>
      <c r="L208">
        <v>2019</v>
      </c>
      <c r="M208" t="s">
        <v>1411</v>
      </c>
      <c r="N208" t="s">
        <v>1228</v>
      </c>
      <c r="O208" t="s">
        <v>1229</v>
      </c>
      <c r="P208">
        <v>3000</v>
      </c>
      <c r="Q208" t="s">
        <v>190</v>
      </c>
      <c r="R208">
        <v>1920</v>
      </c>
      <c r="S208" t="s">
        <v>1412</v>
      </c>
      <c r="T208" t="s">
        <v>1413</v>
      </c>
      <c r="U208">
        <v>3000</v>
      </c>
      <c r="V208" t="s">
        <v>190</v>
      </c>
      <c r="W208">
        <v>1993</v>
      </c>
      <c r="X208" t="s">
        <v>109</v>
      </c>
      <c r="Z208">
        <v>-2.5</v>
      </c>
      <c r="AA208">
        <v>-3.5</v>
      </c>
      <c r="AB208">
        <v>45</v>
      </c>
      <c r="AC208">
        <v>45</v>
      </c>
      <c r="AD208">
        <v>10</v>
      </c>
      <c r="AE208">
        <v>73</v>
      </c>
      <c r="AF208">
        <v>27</v>
      </c>
      <c r="AG208">
        <v>43</v>
      </c>
      <c r="AH208">
        <v>57</v>
      </c>
      <c r="AI208">
        <v>72</v>
      </c>
      <c r="AJ208">
        <v>28</v>
      </c>
      <c r="AK208">
        <v>29</v>
      </c>
      <c r="AL208">
        <v>71</v>
      </c>
      <c r="AM208">
        <v>50</v>
      </c>
      <c r="AN208">
        <v>50</v>
      </c>
      <c r="AO208">
        <v>67</v>
      </c>
      <c r="AP208">
        <v>33</v>
      </c>
      <c r="AQ208">
        <v>53</v>
      </c>
      <c r="AR208">
        <v>46</v>
      </c>
      <c r="AS208">
        <v>62</v>
      </c>
      <c r="AT208">
        <v>20</v>
      </c>
      <c r="AU208">
        <v>62</v>
      </c>
      <c r="AV208">
        <v>0</v>
      </c>
      <c r="AW208">
        <v>6</v>
      </c>
      <c r="AX208">
        <v>1.2</v>
      </c>
      <c r="AY208">
        <v>5</v>
      </c>
      <c r="AZ208">
        <v>1</v>
      </c>
      <c r="BA208">
        <v>8</v>
      </c>
      <c r="BB208">
        <v>8</v>
      </c>
      <c r="BC208">
        <v>0</v>
      </c>
      <c r="BD208">
        <v>2</v>
      </c>
      <c r="BE208">
        <v>4</v>
      </c>
      <c r="BF208">
        <v>0</v>
      </c>
      <c r="BG208">
        <v>4</v>
      </c>
      <c r="BH208">
        <v>6</v>
      </c>
      <c r="BI208">
        <v>6</v>
      </c>
      <c r="BJ208">
        <v>5</v>
      </c>
      <c r="BK208">
        <v>19</v>
      </c>
      <c r="BL208">
        <v>15</v>
      </c>
      <c r="BM208">
        <v>0.8</v>
      </c>
      <c r="BN208">
        <v>0.6</v>
      </c>
      <c r="BO208">
        <v>2.4</v>
      </c>
      <c r="BP208">
        <v>1.9</v>
      </c>
      <c r="BQ208">
        <v>1</v>
      </c>
      <c r="BR208">
        <v>2</v>
      </c>
      <c r="BS208">
        <v>0</v>
      </c>
      <c r="BT208">
        <v>1</v>
      </c>
      <c r="BU208">
        <v>1</v>
      </c>
      <c r="BV208">
        <v>0</v>
      </c>
      <c r="BW208">
        <v>0</v>
      </c>
      <c r="BX208">
        <v>1</v>
      </c>
      <c r="BY208">
        <v>8</v>
      </c>
      <c r="BZ208">
        <v>1.6</v>
      </c>
      <c r="CA208">
        <v>13</v>
      </c>
      <c r="CB208">
        <v>2.6</v>
      </c>
      <c r="CC208">
        <v>8</v>
      </c>
      <c r="CD208">
        <v>8</v>
      </c>
      <c r="CE208">
        <v>2</v>
      </c>
      <c r="CF208">
        <v>2</v>
      </c>
      <c r="CG208">
        <v>2</v>
      </c>
      <c r="CH208">
        <v>3</v>
      </c>
      <c r="CI208">
        <v>4</v>
      </c>
      <c r="CJ208">
        <v>3</v>
      </c>
      <c r="CK208">
        <v>10</v>
      </c>
      <c r="CL208">
        <v>12</v>
      </c>
      <c r="CM208">
        <v>14</v>
      </c>
      <c r="CN208">
        <v>18</v>
      </c>
      <c r="CO208">
        <v>1.3</v>
      </c>
      <c r="CP208">
        <v>1.5</v>
      </c>
      <c r="CQ208">
        <v>1.8</v>
      </c>
      <c r="CR208">
        <v>2.2999999999999998</v>
      </c>
      <c r="CS208">
        <v>2</v>
      </c>
      <c r="CT208">
        <v>1</v>
      </c>
      <c r="CU208">
        <v>1</v>
      </c>
      <c r="CV208">
        <v>0</v>
      </c>
      <c r="CW208">
        <v>0</v>
      </c>
      <c r="CX208">
        <v>1</v>
      </c>
      <c r="CY208">
        <v>1</v>
      </c>
      <c r="CZ208">
        <v>0</v>
      </c>
    </row>
    <row r="209" spans="1:104" x14ac:dyDescent="0.25">
      <c r="A209" s="1" t="s">
        <v>1414</v>
      </c>
      <c r="B209">
        <v>9348</v>
      </c>
      <c r="C209">
        <v>9345</v>
      </c>
      <c r="D209" s="2">
        <v>43677</v>
      </c>
      <c r="E209" s="3">
        <f t="shared" si="9"/>
        <v>2019</v>
      </c>
      <c r="F209" s="3">
        <f t="shared" si="10"/>
        <v>7</v>
      </c>
      <c r="G209" s="3">
        <f t="shared" si="11"/>
        <v>4</v>
      </c>
      <c r="H209" t="s">
        <v>1415</v>
      </c>
      <c r="I209">
        <v>1241</v>
      </c>
      <c r="J209" t="s">
        <v>557</v>
      </c>
      <c r="K209" t="s">
        <v>558</v>
      </c>
      <c r="L209">
        <v>2019</v>
      </c>
      <c r="M209" t="s">
        <v>1416</v>
      </c>
      <c r="N209" t="s">
        <v>1415</v>
      </c>
      <c r="O209" t="s">
        <v>1417</v>
      </c>
      <c r="P209">
        <v>5200</v>
      </c>
      <c r="Q209" t="s">
        <v>558</v>
      </c>
      <c r="R209">
        <v>1945</v>
      </c>
      <c r="S209" t="s">
        <v>1418</v>
      </c>
      <c r="T209" t="s">
        <v>1419</v>
      </c>
      <c r="U209">
        <v>4350</v>
      </c>
      <c r="V209" t="s">
        <v>558</v>
      </c>
      <c r="W209">
        <v>1954</v>
      </c>
      <c r="X209">
        <v>1</v>
      </c>
      <c r="Y209">
        <v>-3.5</v>
      </c>
      <c r="Z209">
        <v>-2.5</v>
      </c>
      <c r="AB209">
        <v>45</v>
      </c>
      <c r="AC209">
        <v>45</v>
      </c>
      <c r="AD209">
        <v>10</v>
      </c>
      <c r="AE209">
        <v>100</v>
      </c>
      <c r="AF209">
        <v>0</v>
      </c>
      <c r="AG209">
        <v>100</v>
      </c>
      <c r="AH209">
        <v>0</v>
      </c>
      <c r="AI209">
        <v>50</v>
      </c>
      <c r="AJ209">
        <v>50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100</v>
      </c>
      <c r="AR209">
        <v>14</v>
      </c>
      <c r="AS209">
        <v>93</v>
      </c>
      <c r="AT209">
        <v>0</v>
      </c>
      <c r="AU209">
        <v>0</v>
      </c>
      <c r="AV209">
        <v>93</v>
      </c>
      <c r="AW209">
        <v>2</v>
      </c>
      <c r="AX209">
        <v>2</v>
      </c>
      <c r="AY209">
        <v>1</v>
      </c>
      <c r="AZ209">
        <v>1</v>
      </c>
      <c r="BA209">
        <v>0</v>
      </c>
      <c r="BB209">
        <v>1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2</v>
      </c>
      <c r="BK209">
        <v>0</v>
      </c>
      <c r="BL209">
        <v>1</v>
      </c>
      <c r="BM209">
        <v>0</v>
      </c>
      <c r="BN209">
        <v>2</v>
      </c>
      <c r="BO209">
        <v>0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1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1</v>
      </c>
      <c r="CJ209">
        <v>0</v>
      </c>
      <c r="CK209">
        <v>0</v>
      </c>
      <c r="CL209">
        <v>0</v>
      </c>
      <c r="CM209">
        <v>1</v>
      </c>
      <c r="CN209">
        <v>0</v>
      </c>
      <c r="CO209">
        <v>0</v>
      </c>
      <c r="CP209">
        <v>0</v>
      </c>
      <c r="CQ209">
        <v>1</v>
      </c>
      <c r="CR209">
        <v>0</v>
      </c>
      <c r="CS209">
        <v>1</v>
      </c>
      <c r="CT209">
        <v>1</v>
      </c>
      <c r="CU209">
        <v>0</v>
      </c>
      <c r="CV209">
        <v>0</v>
      </c>
      <c r="CW209">
        <v>0</v>
      </c>
      <c r="CX209">
        <v>0</v>
      </c>
      <c r="CY209">
        <v>1</v>
      </c>
      <c r="CZ209">
        <v>1</v>
      </c>
    </row>
    <row r="210" spans="1:104" x14ac:dyDescent="0.25">
      <c r="A210" s="1" t="s">
        <v>1420</v>
      </c>
      <c r="B210">
        <v>6941</v>
      </c>
      <c r="C210">
        <v>6959</v>
      </c>
      <c r="D210" s="2">
        <v>43744</v>
      </c>
      <c r="E210" s="3">
        <f t="shared" si="9"/>
        <v>2019</v>
      </c>
      <c r="F210" s="3">
        <f t="shared" si="10"/>
        <v>10</v>
      </c>
      <c r="G210" s="3">
        <f t="shared" si="11"/>
        <v>1</v>
      </c>
      <c r="H210" t="s">
        <v>1421</v>
      </c>
      <c r="I210">
        <v>1191</v>
      </c>
      <c r="J210" t="s">
        <v>166</v>
      </c>
      <c r="K210" t="s">
        <v>167</v>
      </c>
      <c r="L210">
        <v>2019</v>
      </c>
      <c r="M210" t="s">
        <v>272</v>
      </c>
      <c r="Q210" t="s">
        <v>167</v>
      </c>
      <c r="R210">
        <v>1979</v>
      </c>
      <c r="V210" t="s">
        <v>167</v>
      </c>
      <c r="X210" t="s">
        <v>109</v>
      </c>
      <c r="Z210">
        <v>-2.5</v>
      </c>
      <c r="AA210">
        <v>-2.5</v>
      </c>
      <c r="AB210">
        <v>45</v>
      </c>
      <c r="AC210">
        <v>45</v>
      </c>
      <c r="AD210">
        <v>10</v>
      </c>
      <c r="AE210">
        <v>57</v>
      </c>
      <c r="AF210">
        <v>43</v>
      </c>
      <c r="AG210">
        <v>50</v>
      </c>
      <c r="AH210">
        <v>50</v>
      </c>
      <c r="AI210">
        <v>62</v>
      </c>
      <c r="AJ210">
        <v>38</v>
      </c>
      <c r="AK210">
        <v>57</v>
      </c>
      <c r="AL210">
        <v>43</v>
      </c>
      <c r="AM210">
        <v>0</v>
      </c>
      <c r="AN210">
        <v>0</v>
      </c>
      <c r="AO210">
        <v>0</v>
      </c>
      <c r="AP210">
        <v>0</v>
      </c>
      <c r="AQ210">
        <v>80</v>
      </c>
      <c r="AR210">
        <v>100</v>
      </c>
      <c r="AS210">
        <v>29</v>
      </c>
      <c r="AT210">
        <v>60</v>
      </c>
      <c r="AU210">
        <v>100</v>
      </c>
      <c r="AV210">
        <v>0</v>
      </c>
      <c r="AW210">
        <v>9</v>
      </c>
      <c r="AX210">
        <v>1.8</v>
      </c>
      <c r="AY210">
        <v>5</v>
      </c>
      <c r="AZ210">
        <v>1</v>
      </c>
      <c r="BA210">
        <v>5</v>
      </c>
      <c r="BB210">
        <v>6</v>
      </c>
      <c r="BC210">
        <v>3</v>
      </c>
      <c r="BD210">
        <v>3</v>
      </c>
      <c r="BE210">
        <v>1</v>
      </c>
      <c r="BF210">
        <v>2</v>
      </c>
      <c r="BG210">
        <v>1</v>
      </c>
      <c r="BH210">
        <v>1</v>
      </c>
      <c r="BI210">
        <v>5</v>
      </c>
      <c r="BJ210">
        <v>10</v>
      </c>
      <c r="BK210">
        <v>4</v>
      </c>
      <c r="BL210">
        <v>7</v>
      </c>
      <c r="BM210">
        <v>1</v>
      </c>
      <c r="BN210">
        <v>1.7</v>
      </c>
      <c r="BO210">
        <v>0.8</v>
      </c>
      <c r="BP210">
        <v>1.2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9</v>
      </c>
      <c r="BZ210">
        <v>1.8</v>
      </c>
      <c r="CA210">
        <v>8</v>
      </c>
      <c r="CB210">
        <v>1.6</v>
      </c>
      <c r="CC210">
        <v>5</v>
      </c>
      <c r="CD210">
        <v>6</v>
      </c>
      <c r="CE210">
        <v>3</v>
      </c>
      <c r="CF210">
        <v>3</v>
      </c>
      <c r="CG210">
        <v>0</v>
      </c>
      <c r="CH210">
        <v>0</v>
      </c>
      <c r="CI210">
        <v>2</v>
      </c>
      <c r="CJ210">
        <v>3</v>
      </c>
      <c r="CK210">
        <v>7</v>
      </c>
      <c r="CL210">
        <v>8</v>
      </c>
      <c r="CM210">
        <v>7</v>
      </c>
      <c r="CN210">
        <v>9</v>
      </c>
      <c r="CO210">
        <v>1.4</v>
      </c>
      <c r="CP210">
        <v>1.3</v>
      </c>
      <c r="CQ210">
        <v>1.4</v>
      </c>
      <c r="CR210">
        <v>1.5</v>
      </c>
      <c r="CS210">
        <v>1</v>
      </c>
      <c r="CT210">
        <v>1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1</v>
      </c>
    </row>
    <row r="211" spans="1:104" x14ac:dyDescent="0.25">
      <c r="A211" s="1" t="s">
        <v>1422</v>
      </c>
      <c r="B211">
        <v>3390</v>
      </c>
      <c r="C211">
        <v>3388</v>
      </c>
      <c r="D211" s="2">
        <v>43721</v>
      </c>
      <c r="E211" s="3">
        <f t="shared" si="9"/>
        <v>2019</v>
      </c>
      <c r="F211" s="3">
        <f t="shared" si="10"/>
        <v>9</v>
      </c>
      <c r="G211" s="3">
        <f t="shared" si="11"/>
        <v>6</v>
      </c>
      <c r="H211" t="s">
        <v>1423</v>
      </c>
      <c r="I211">
        <v>448</v>
      </c>
      <c r="J211" t="s">
        <v>786</v>
      </c>
      <c r="K211" t="s">
        <v>217</v>
      </c>
      <c r="L211">
        <v>2019</v>
      </c>
      <c r="M211" t="s">
        <v>362</v>
      </c>
      <c r="N211" t="s">
        <v>1424</v>
      </c>
      <c r="O211" t="s">
        <v>1425</v>
      </c>
      <c r="P211">
        <v>2600</v>
      </c>
      <c r="Q211" t="s">
        <v>217</v>
      </c>
      <c r="R211">
        <v>1956</v>
      </c>
      <c r="S211" t="s">
        <v>1426</v>
      </c>
      <c r="T211" t="s">
        <v>1427</v>
      </c>
      <c r="U211">
        <v>2200</v>
      </c>
      <c r="V211" t="s">
        <v>217</v>
      </c>
      <c r="X211" t="s">
        <v>109</v>
      </c>
      <c r="Z211">
        <v>-2.5</v>
      </c>
      <c r="AA211">
        <v>-1.5</v>
      </c>
      <c r="AB211">
        <v>45</v>
      </c>
      <c r="AC211">
        <v>45</v>
      </c>
      <c r="AD211">
        <v>10</v>
      </c>
      <c r="AE211">
        <v>69</v>
      </c>
      <c r="AF211">
        <v>31</v>
      </c>
      <c r="AG211">
        <v>69</v>
      </c>
      <c r="AH211">
        <v>31</v>
      </c>
      <c r="AI211">
        <v>47</v>
      </c>
      <c r="AJ211">
        <v>53</v>
      </c>
      <c r="AK211">
        <v>51</v>
      </c>
      <c r="AL211">
        <v>49</v>
      </c>
      <c r="AM211">
        <v>50</v>
      </c>
      <c r="AN211">
        <v>50</v>
      </c>
      <c r="AO211">
        <v>56</v>
      </c>
      <c r="AP211">
        <v>44</v>
      </c>
      <c r="AQ211">
        <v>60</v>
      </c>
      <c r="AR211">
        <v>100</v>
      </c>
      <c r="AS211">
        <v>20</v>
      </c>
      <c r="AT211">
        <v>27</v>
      </c>
      <c r="AU211">
        <v>50</v>
      </c>
      <c r="AV211">
        <v>30</v>
      </c>
      <c r="AW211">
        <v>11</v>
      </c>
      <c r="AX211">
        <v>2.2000000000000002</v>
      </c>
      <c r="AY211">
        <v>8</v>
      </c>
      <c r="AZ211">
        <v>1.6</v>
      </c>
      <c r="BA211">
        <v>8</v>
      </c>
      <c r="BB211">
        <v>9</v>
      </c>
      <c r="BC211">
        <v>4</v>
      </c>
      <c r="BD211">
        <v>3</v>
      </c>
      <c r="BE211">
        <v>1</v>
      </c>
      <c r="BF211">
        <v>0</v>
      </c>
      <c r="BG211">
        <v>3</v>
      </c>
      <c r="BH211">
        <v>6</v>
      </c>
      <c r="BI211">
        <v>9</v>
      </c>
      <c r="BJ211">
        <v>12</v>
      </c>
      <c r="BK211">
        <v>8</v>
      </c>
      <c r="BL211">
        <v>24</v>
      </c>
      <c r="BM211">
        <v>1.1000000000000001</v>
      </c>
      <c r="BN211">
        <v>1.3</v>
      </c>
      <c r="BO211">
        <v>1</v>
      </c>
      <c r="BP211">
        <v>2.7</v>
      </c>
      <c r="BQ211">
        <v>6</v>
      </c>
      <c r="BR211">
        <v>7</v>
      </c>
      <c r="BS211">
        <v>1</v>
      </c>
      <c r="BT211">
        <v>1</v>
      </c>
      <c r="BU211">
        <v>1</v>
      </c>
      <c r="BV211">
        <v>3</v>
      </c>
      <c r="BW211">
        <v>4</v>
      </c>
      <c r="BX211">
        <v>3</v>
      </c>
      <c r="BY211">
        <v>5</v>
      </c>
      <c r="BZ211">
        <v>1</v>
      </c>
      <c r="CA211">
        <v>7</v>
      </c>
      <c r="CB211">
        <v>1.4</v>
      </c>
      <c r="CC211">
        <v>10</v>
      </c>
      <c r="CD211">
        <v>8</v>
      </c>
      <c r="CE211">
        <v>9</v>
      </c>
      <c r="CF211">
        <v>2</v>
      </c>
      <c r="CG211">
        <v>0</v>
      </c>
      <c r="CH211">
        <v>2</v>
      </c>
      <c r="CI211">
        <v>1</v>
      </c>
      <c r="CJ211">
        <v>4</v>
      </c>
      <c r="CK211">
        <v>26</v>
      </c>
      <c r="CL211">
        <v>10</v>
      </c>
      <c r="CM211">
        <v>5</v>
      </c>
      <c r="CN211">
        <v>11</v>
      </c>
      <c r="CO211">
        <v>2.6</v>
      </c>
      <c r="CP211">
        <v>1.3</v>
      </c>
      <c r="CQ211">
        <v>0.5</v>
      </c>
      <c r="CR211">
        <v>1.4</v>
      </c>
      <c r="CS211">
        <v>7</v>
      </c>
      <c r="CT211">
        <v>6</v>
      </c>
      <c r="CU211">
        <v>3</v>
      </c>
      <c r="CV211">
        <v>4</v>
      </c>
      <c r="CW211">
        <v>3</v>
      </c>
      <c r="CX211">
        <v>1</v>
      </c>
      <c r="CY211">
        <v>1</v>
      </c>
      <c r="CZ211">
        <v>1</v>
      </c>
    </row>
    <row r="212" spans="1:104" x14ac:dyDescent="0.25">
      <c r="A212" s="1" t="s">
        <v>1428</v>
      </c>
      <c r="B212">
        <v>1026</v>
      </c>
      <c r="C212">
        <v>177</v>
      </c>
      <c r="D212" s="2">
        <v>44079</v>
      </c>
      <c r="E212" s="3">
        <f t="shared" si="9"/>
        <v>2020</v>
      </c>
      <c r="F212" s="3">
        <f t="shared" si="10"/>
        <v>9</v>
      </c>
      <c r="G212" s="3">
        <f t="shared" si="11"/>
        <v>7</v>
      </c>
      <c r="H212" t="s">
        <v>1429</v>
      </c>
      <c r="I212">
        <v>2808</v>
      </c>
      <c r="J212" t="s">
        <v>1430</v>
      </c>
      <c r="K212" t="s">
        <v>129</v>
      </c>
      <c r="L212">
        <v>2020</v>
      </c>
      <c r="M212" t="s">
        <v>1431</v>
      </c>
      <c r="N212" t="s">
        <v>1429</v>
      </c>
      <c r="O212" t="s">
        <v>1432</v>
      </c>
      <c r="P212">
        <v>7870</v>
      </c>
      <c r="Q212" t="s">
        <v>547</v>
      </c>
      <c r="R212">
        <v>1908</v>
      </c>
      <c r="S212" t="s">
        <v>1433</v>
      </c>
      <c r="T212" t="s">
        <v>1434</v>
      </c>
      <c r="U212">
        <v>15224</v>
      </c>
      <c r="V212" t="s">
        <v>558</v>
      </c>
      <c r="W212">
        <v>2000</v>
      </c>
      <c r="X212" t="s">
        <v>125</v>
      </c>
      <c r="Z212">
        <v>-1.5</v>
      </c>
      <c r="AA212">
        <v>-2.5</v>
      </c>
      <c r="AB212">
        <v>10</v>
      </c>
      <c r="AC212">
        <v>45</v>
      </c>
      <c r="AD212">
        <v>45</v>
      </c>
      <c r="AE212">
        <v>0</v>
      </c>
      <c r="AF212">
        <v>100</v>
      </c>
      <c r="AG212">
        <v>50</v>
      </c>
      <c r="AH212">
        <v>50</v>
      </c>
      <c r="AI212">
        <v>38</v>
      </c>
      <c r="AJ212">
        <v>63</v>
      </c>
      <c r="AK212">
        <v>39</v>
      </c>
      <c r="AL212">
        <v>61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11</v>
      </c>
      <c r="AS212">
        <v>44</v>
      </c>
      <c r="AT212">
        <v>17</v>
      </c>
      <c r="AU212">
        <v>11</v>
      </c>
      <c r="AV212">
        <v>67</v>
      </c>
      <c r="AW212">
        <v>2</v>
      </c>
      <c r="AX212">
        <v>0.5</v>
      </c>
      <c r="AY212">
        <v>10</v>
      </c>
      <c r="AZ212">
        <v>2.5</v>
      </c>
      <c r="BA212">
        <v>4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4</v>
      </c>
      <c r="BH212">
        <v>0</v>
      </c>
      <c r="BI212">
        <v>2</v>
      </c>
      <c r="BJ212">
        <v>0</v>
      </c>
      <c r="BK212">
        <v>10</v>
      </c>
      <c r="BL212">
        <v>0</v>
      </c>
      <c r="BM212">
        <v>0.5</v>
      </c>
      <c r="BN212">
        <v>0</v>
      </c>
      <c r="BO212">
        <v>2.5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2</v>
      </c>
      <c r="BZ212">
        <v>0.5</v>
      </c>
      <c r="CA212">
        <v>6</v>
      </c>
      <c r="CB212">
        <v>1.5</v>
      </c>
      <c r="CC212">
        <v>3</v>
      </c>
      <c r="CD212">
        <v>1</v>
      </c>
      <c r="CE212">
        <v>0</v>
      </c>
      <c r="CF212">
        <v>0</v>
      </c>
      <c r="CG212">
        <v>2</v>
      </c>
      <c r="CH212">
        <v>0</v>
      </c>
      <c r="CI212">
        <v>1</v>
      </c>
      <c r="CJ212">
        <v>1</v>
      </c>
      <c r="CK212">
        <v>1</v>
      </c>
      <c r="CL212">
        <v>1</v>
      </c>
      <c r="CM212">
        <v>2</v>
      </c>
      <c r="CN212">
        <v>4</v>
      </c>
      <c r="CO212">
        <v>0.3</v>
      </c>
      <c r="CP212">
        <v>1</v>
      </c>
      <c r="CQ212">
        <v>0.7</v>
      </c>
      <c r="CR212">
        <v>4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</row>
    <row r="213" spans="1:104" x14ac:dyDescent="0.25">
      <c r="A213" s="1" t="s">
        <v>1435</v>
      </c>
      <c r="B213">
        <v>9458</v>
      </c>
      <c r="C213">
        <v>9446</v>
      </c>
      <c r="D213" s="2">
        <v>43768</v>
      </c>
      <c r="E213" s="3">
        <f t="shared" si="9"/>
        <v>2019</v>
      </c>
      <c r="F213" s="3">
        <f t="shared" si="10"/>
        <v>10</v>
      </c>
      <c r="G213" s="3">
        <f t="shared" si="11"/>
        <v>4</v>
      </c>
      <c r="H213" t="s">
        <v>1436</v>
      </c>
      <c r="I213">
        <v>1254</v>
      </c>
      <c r="J213" t="s">
        <v>1437</v>
      </c>
      <c r="K213" t="s">
        <v>338</v>
      </c>
      <c r="L213">
        <v>2019</v>
      </c>
      <c r="M213" t="s">
        <v>780</v>
      </c>
      <c r="N213" t="s">
        <v>1438</v>
      </c>
      <c r="O213" t="s">
        <v>1439</v>
      </c>
      <c r="P213">
        <v>1300</v>
      </c>
      <c r="Q213" t="s">
        <v>338</v>
      </c>
      <c r="R213">
        <v>1932</v>
      </c>
      <c r="S213" t="s">
        <v>1440</v>
      </c>
      <c r="T213" t="s">
        <v>1441</v>
      </c>
      <c r="U213">
        <v>2000</v>
      </c>
      <c r="V213" t="s">
        <v>338</v>
      </c>
      <c r="W213">
        <v>2015</v>
      </c>
      <c r="X213" t="s">
        <v>109</v>
      </c>
      <c r="Z213">
        <v>-2.5</v>
      </c>
      <c r="AA213">
        <v>-1.5</v>
      </c>
      <c r="AB213">
        <v>45</v>
      </c>
      <c r="AC213">
        <v>45</v>
      </c>
      <c r="AD213">
        <v>10</v>
      </c>
      <c r="AE213">
        <v>43</v>
      </c>
      <c r="AF213">
        <v>57</v>
      </c>
      <c r="AG213">
        <v>56</v>
      </c>
      <c r="AH213">
        <v>44</v>
      </c>
      <c r="AI213">
        <v>46</v>
      </c>
      <c r="AJ213">
        <v>54</v>
      </c>
      <c r="AK213">
        <v>75</v>
      </c>
      <c r="AL213">
        <v>25</v>
      </c>
      <c r="AM213">
        <v>0</v>
      </c>
      <c r="AN213">
        <v>0</v>
      </c>
      <c r="AO213">
        <v>0</v>
      </c>
      <c r="AP213">
        <v>0</v>
      </c>
      <c r="AQ213">
        <v>20</v>
      </c>
      <c r="AR213">
        <v>63</v>
      </c>
      <c r="AS213">
        <v>13</v>
      </c>
      <c r="AT213">
        <v>27</v>
      </c>
      <c r="AU213">
        <v>50</v>
      </c>
      <c r="AV213">
        <v>25</v>
      </c>
      <c r="AW213">
        <v>5</v>
      </c>
      <c r="AX213">
        <v>1</v>
      </c>
      <c r="AY213">
        <v>7</v>
      </c>
      <c r="AZ213">
        <v>1.4</v>
      </c>
      <c r="BA213">
        <v>5</v>
      </c>
      <c r="BB213">
        <v>5</v>
      </c>
      <c r="BC213">
        <v>2</v>
      </c>
      <c r="BD213">
        <v>2</v>
      </c>
      <c r="BE213">
        <v>3</v>
      </c>
      <c r="BF213">
        <v>1</v>
      </c>
      <c r="BG213">
        <v>0</v>
      </c>
      <c r="BH213">
        <v>2</v>
      </c>
      <c r="BI213">
        <v>6</v>
      </c>
      <c r="BJ213">
        <v>7</v>
      </c>
      <c r="BK213">
        <v>4</v>
      </c>
      <c r="BL213">
        <v>5</v>
      </c>
      <c r="BM213">
        <v>1.2</v>
      </c>
      <c r="BN213">
        <v>1.4</v>
      </c>
      <c r="BO213">
        <v>0.8</v>
      </c>
      <c r="BP213">
        <v>1</v>
      </c>
      <c r="BQ213">
        <v>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>
        <v>0</v>
      </c>
      <c r="BY213">
        <v>4</v>
      </c>
      <c r="BZ213">
        <v>0.8</v>
      </c>
      <c r="CA213">
        <v>6</v>
      </c>
      <c r="CB213">
        <v>1.2</v>
      </c>
      <c r="CC213">
        <v>5</v>
      </c>
      <c r="CD213">
        <v>5</v>
      </c>
      <c r="CE213">
        <v>0</v>
      </c>
      <c r="CF213">
        <v>0</v>
      </c>
      <c r="CG213">
        <v>3</v>
      </c>
      <c r="CH213">
        <v>3</v>
      </c>
      <c r="CI213">
        <v>2</v>
      </c>
      <c r="CJ213">
        <v>2</v>
      </c>
      <c r="CK213">
        <v>2</v>
      </c>
      <c r="CL213">
        <v>3</v>
      </c>
      <c r="CM213">
        <v>5</v>
      </c>
      <c r="CN213">
        <v>7</v>
      </c>
      <c r="CO213">
        <v>0.4</v>
      </c>
      <c r="CP213">
        <v>0.6</v>
      </c>
      <c r="CQ213">
        <v>1</v>
      </c>
      <c r="CR213">
        <v>1.4</v>
      </c>
      <c r="CS213">
        <v>0</v>
      </c>
      <c r="CT213">
        <v>1</v>
      </c>
      <c r="CU213">
        <v>0</v>
      </c>
      <c r="CV213">
        <v>1</v>
      </c>
      <c r="CW213">
        <v>0</v>
      </c>
      <c r="CX213">
        <v>0</v>
      </c>
      <c r="CY213">
        <v>0</v>
      </c>
      <c r="CZ213">
        <v>0</v>
      </c>
    </row>
    <row r="214" spans="1:104" x14ac:dyDescent="0.25">
      <c r="A214" s="1" t="s">
        <v>1442</v>
      </c>
      <c r="B214">
        <v>1354</v>
      </c>
      <c r="C214">
        <v>1334</v>
      </c>
      <c r="D214" s="2">
        <v>43757</v>
      </c>
      <c r="E214" s="3">
        <f t="shared" si="9"/>
        <v>2019</v>
      </c>
      <c r="F214" s="3">
        <f t="shared" si="10"/>
        <v>10</v>
      </c>
      <c r="G214" s="3">
        <f t="shared" si="11"/>
        <v>7</v>
      </c>
      <c r="H214" t="s">
        <v>1443</v>
      </c>
      <c r="I214">
        <v>581</v>
      </c>
      <c r="J214" t="s">
        <v>371</v>
      </c>
      <c r="K214" t="s">
        <v>241</v>
      </c>
      <c r="L214">
        <v>2019</v>
      </c>
      <c r="M214" t="s">
        <v>218</v>
      </c>
      <c r="N214" t="s">
        <v>1443</v>
      </c>
      <c r="O214" t="s">
        <v>1444</v>
      </c>
      <c r="P214">
        <v>15231</v>
      </c>
      <c r="Q214" t="s">
        <v>241</v>
      </c>
      <c r="R214">
        <v>1879</v>
      </c>
      <c r="S214" t="s">
        <v>1445</v>
      </c>
      <c r="T214" t="s">
        <v>1446</v>
      </c>
      <c r="U214">
        <v>11916</v>
      </c>
      <c r="V214" t="s">
        <v>241</v>
      </c>
      <c r="W214">
        <v>1883</v>
      </c>
      <c r="X214" t="s">
        <v>109</v>
      </c>
      <c r="Z214">
        <v>-2.5</v>
      </c>
      <c r="AA214">
        <v>-2.5</v>
      </c>
      <c r="AB214">
        <v>35</v>
      </c>
      <c r="AC214">
        <v>35</v>
      </c>
      <c r="AD214">
        <v>30</v>
      </c>
      <c r="AE214">
        <v>24</v>
      </c>
      <c r="AF214">
        <v>76</v>
      </c>
      <c r="AG214">
        <v>36</v>
      </c>
      <c r="AH214">
        <v>64</v>
      </c>
      <c r="AI214">
        <v>22</v>
      </c>
      <c r="AJ214">
        <v>78</v>
      </c>
      <c r="AK214">
        <v>65</v>
      </c>
      <c r="AL214">
        <v>35</v>
      </c>
      <c r="AM214">
        <v>75</v>
      </c>
      <c r="AN214">
        <v>25</v>
      </c>
      <c r="AO214">
        <v>71</v>
      </c>
      <c r="AP214">
        <v>29</v>
      </c>
      <c r="AQ214">
        <v>27</v>
      </c>
      <c r="AR214">
        <v>57</v>
      </c>
      <c r="AS214">
        <v>0</v>
      </c>
      <c r="AT214">
        <v>87</v>
      </c>
      <c r="AU214">
        <v>100</v>
      </c>
      <c r="AV214">
        <v>71</v>
      </c>
      <c r="AW214">
        <v>4</v>
      </c>
      <c r="AX214">
        <v>0.8</v>
      </c>
      <c r="AY214">
        <v>7</v>
      </c>
      <c r="AZ214">
        <v>1.4</v>
      </c>
      <c r="BA214">
        <v>7</v>
      </c>
      <c r="BB214">
        <v>4</v>
      </c>
      <c r="BC214">
        <v>4</v>
      </c>
      <c r="BD214">
        <v>0</v>
      </c>
      <c r="BE214">
        <v>1</v>
      </c>
      <c r="BF214">
        <v>3</v>
      </c>
      <c r="BG214">
        <v>2</v>
      </c>
      <c r="BH214">
        <v>1</v>
      </c>
      <c r="BI214">
        <v>11</v>
      </c>
      <c r="BJ214">
        <v>2</v>
      </c>
      <c r="BK214">
        <v>8</v>
      </c>
      <c r="BL214">
        <v>5</v>
      </c>
      <c r="BM214">
        <v>1.6</v>
      </c>
      <c r="BN214">
        <v>0.5</v>
      </c>
      <c r="BO214">
        <v>1.1000000000000001</v>
      </c>
      <c r="BP214">
        <v>1.3</v>
      </c>
      <c r="BQ214">
        <v>3</v>
      </c>
      <c r="BR214">
        <v>3</v>
      </c>
      <c r="BS214">
        <v>2</v>
      </c>
      <c r="BT214">
        <v>3</v>
      </c>
      <c r="BU214">
        <v>0</v>
      </c>
      <c r="BV214">
        <v>0</v>
      </c>
      <c r="BW214">
        <v>1</v>
      </c>
      <c r="BX214">
        <v>0</v>
      </c>
      <c r="BY214">
        <v>7</v>
      </c>
      <c r="BZ214">
        <v>1.4</v>
      </c>
      <c r="CA214">
        <v>2</v>
      </c>
      <c r="CB214">
        <v>0.4</v>
      </c>
      <c r="CC214">
        <v>7</v>
      </c>
      <c r="CD214">
        <v>5</v>
      </c>
      <c r="CE214">
        <v>4</v>
      </c>
      <c r="CF214">
        <v>2</v>
      </c>
      <c r="CG214">
        <v>3</v>
      </c>
      <c r="CH214">
        <v>0</v>
      </c>
      <c r="CI214">
        <v>0</v>
      </c>
      <c r="CJ214">
        <v>3</v>
      </c>
      <c r="CK214">
        <v>11</v>
      </c>
      <c r="CL214">
        <v>4</v>
      </c>
      <c r="CM214">
        <v>5</v>
      </c>
      <c r="CN214">
        <v>7</v>
      </c>
      <c r="CO214">
        <v>1.6</v>
      </c>
      <c r="CP214">
        <v>0.8</v>
      </c>
      <c r="CQ214">
        <v>0.7</v>
      </c>
      <c r="CR214">
        <v>1.4</v>
      </c>
      <c r="CS214">
        <v>3</v>
      </c>
      <c r="CT214">
        <v>3</v>
      </c>
      <c r="CU214">
        <v>0</v>
      </c>
      <c r="CV214">
        <v>1</v>
      </c>
      <c r="CW214">
        <v>0</v>
      </c>
      <c r="CX214">
        <v>0</v>
      </c>
      <c r="CY214">
        <v>3</v>
      </c>
      <c r="CZ214">
        <v>2</v>
      </c>
    </row>
    <row r="215" spans="1:104" x14ac:dyDescent="0.25">
      <c r="A215" s="1" t="s">
        <v>1447</v>
      </c>
      <c r="B215">
        <v>5436</v>
      </c>
      <c r="C215">
        <v>5590</v>
      </c>
      <c r="D215" s="2">
        <v>43900</v>
      </c>
      <c r="E215" s="3">
        <f t="shared" si="9"/>
        <v>2020</v>
      </c>
      <c r="F215" s="3">
        <f t="shared" si="10"/>
        <v>3</v>
      </c>
      <c r="G215" s="3">
        <f t="shared" si="11"/>
        <v>3</v>
      </c>
      <c r="H215" t="s">
        <v>1448</v>
      </c>
      <c r="I215">
        <v>1367</v>
      </c>
      <c r="J215" t="s">
        <v>761</v>
      </c>
      <c r="K215" t="s">
        <v>1449</v>
      </c>
      <c r="L215">
        <v>2020</v>
      </c>
      <c r="M215" t="s">
        <v>209</v>
      </c>
      <c r="N215" t="s">
        <v>1448</v>
      </c>
      <c r="O215" t="s">
        <v>1450</v>
      </c>
      <c r="P215">
        <v>15000</v>
      </c>
      <c r="Q215" t="s">
        <v>1449</v>
      </c>
      <c r="V215" t="s">
        <v>1449</v>
      </c>
      <c r="W215">
        <v>2016</v>
      </c>
      <c r="X215" t="s">
        <v>109</v>
      </c>
      <c r="Y215">
        <v>1.5</v>
      </c>
      <c r="Z215">
        <v>-4.5</v>
      </c>
      <c r="AA215">
        <v>-3.5</v>
      </c>
      <c r="AB215">
        <v>45</v>
      </c>
      <c r="AC215">
        <v>45</v>
      </c>
      <c r="AD215">
        <v>10</v>
      </c>
      <c r="AE215">
        <v>55</v>
      </c>
      <c r="AF215">
        <v>45</v>
      </c>
      <c r="AG215">
        <v>66</v>
      </c>
      <c r="AH215">
        <v>34</v>
      </c>
      <c r="AI215">
        <v>27</v>
      </c>
      <c r="AJ215">
        <v>73</v>
      </c>
      <c r="AK215">
        <v>48</v>
      </c>
      <c r="AL215">
        <v>52</v>
      </c>
      <c r="AM215">
        <v>100</v>
      </c>
      <c r="AN215">
        <v>0</v>
      </c>
      <c r="AO215">
        <v>63</v>
      </c>
      <c r="AP215">
        <v>38</v>
      </c>
      <c r="AQ215">
        <v>80</v>
      </c>
      <c r="AR215">
        <v>85</v>
      </c>
      <c r="AS215">
        <v>70</v>
      </c>
      <c r="AT215">
        <v>67</v>
      </c>
      <c r="AU215">
        <v>44</v>
      </c>
      <c r="AV215">
        <v>89</v>
      </c>
      <c r="AW215">
        <v>23</v>
      </c>
      <c r="AX215">
        <v>4.5999999999999996</v>
      </c>
      <c r="AY215">
        <v>8</v>
      </c>
      <c r="AZ215">
        <v>1.6</v>
      </c>
      <c r="BA215">
        <v>4</v>
      </c>
      <c r="BB215">
        <v>2</v>
      </c>
      <c r="BC215">
        <v>3</v>
      </c>
      <c r="BD215">
        <v>2</v>
      </c>
      <c r="BE215">
        <v>0</v>
      </c>
      <c r="BF215">
        <v>0</v>
      </c>
      <c r="BG215">
        <v>1</v>
      </c>
      <c r="BH215">
        <v>0</v>
      </c>
      <c r="BI215">
        <v>21</v>
      </c>
      <c r="BJ215">
        <v>8</v>
      </c>
      <c r="BK215">
        <v>8</v>
      </c>
      <c r="BL215">
        <v>1</v>
      </c>
      <c r="BM215">
        <v>5.3</v>
      </c>
      <c r="BN215">
        <v>4</v>
      </c>
      <c r="BO215">
        <v>2</v>
      </c>
      <c r="BP215">
        <v>0.5</v>
      </c>
      <c r="BQ215">
        <v>2</v>
      </c>
      <c r="BR215">
        <v>1</v>
      </c>
      <c r="BS215">
        <v>2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12</v>
      </c>
      <c r="BZ215">
        <v>2.4</v>
      </c>
      <c r="CA215">
        <v>3</v>
      </c>
      <c r="CB215">
        <v>0.6</v>
      </c>
      <c r="CC215">
        <v>3</v>
      </c>
      <c r="CD215">
        <v>3</v>
      </c>
      <c r="CE215">
        <v>2</v>
      </c>
      <c r="CF215">
        <v>2</v>
      </c>
      <c r="CG215">
        <v>1</v>
      </c>
      <c r="CH215">
        <v>0</v>
      </c>
      <c r="CI215">
        <v>0</v>
      </c>
      <c r="CJ215">
        <v>1</v>
      </c>
      <c r="CK215">
        <v>5</v>
      </c>
      <c r="CL215">
        <v>9</v>
      </c>
      <c r="CM215">
        <v>1</v>
      </c>
      <c r="CN215">
        <v>3</v>
      </c>
      <c r="CO215">
        <v>1.7</v>
      </c>
      <c r="CP215">
        <v>3</v>
      </c>
      <c r="CQ215">
        <v>0.3</v>
      </c>
      <c r="CR215">
        <v>1</v>
      </c>
      <c r="CS215">
        <v>1</v>
      </c>
      <c r="CT215">
        <v>2</v>
      </c>
      <c r="CU215">
        <v>0</v>
      </c>
      <c r="CV215">
        <v>0</v>
      </c>
      <c r="CW215">
        <v>0</v>
      </c>
      <c r="CX215">
        <v>0</v>
      </c>
      <c r="CY215">
        <v>1</v>
      </c>
      <c r="CZ215">
        <v>2</v>
      </c>
    </row>
    <row r="216" spans="1:104" x14ac:dyDescent="0.25">
      <c r="A216" s="1" t="s">
        <v>1451</v>
      </c>
      <c r="B216">
        <v>5061</v>
      </c>
      <c r="C216">
        <v>12381</v>
      </c>
      <c r="D216" s="2">
        <v>43758</v>
      </c>
      <c r="E216" s="3">
        <f t="shared" si="9"/>
        <v>2019</v>
      </c>
      <c r="F216" s="3">
        <f t="shared" si="10"/>
        <v>10</v>
      </c>
      <c r="G216" s="3">
        <f t="shared" si="11"/>
        <v>1</v>
      </c>
      <c r="H216" t="s">
        <v>1452</v>
      </c>
      <c r="I216">
        <v>2157</v>
      </c>
      <c r="J216" t="s">
        <v>1453</v>
      </c>
      <c r="K216" t="s">
        <v>597</v>
      </c>
      <c r="L216">
        <v>2019</v>
      </c>
      <c r="M216" t="s">
        <v>1454</v>
      </c>
      <c r="N216" t="s">
        <v>1455</v>
      </c>
      <c r="O216" t="s">
        <v>1456</v>
      </c>
      <c r="P216">
        <v>1500</v>
      </c>
      <c r="Q216" t="s">
        <v>597</v>
      </c>
      <c r="S216" t="s">
        <v>1457</v>
      </c>
      <c r="T216" t="s">
        <v>1458</v>
      </c>
      <c r="U216">
        <v>2000</v>
      </c>
      <c r="V216" t="s">
        <v>597</v>
      </c>
      <c r="X216" t="s">
        <v>109</v>
      </c>
      <c r="Z216">
        <v>-2.5</v>
      </c>
      <c r="AA216">
        <v>-1.5</v>
      </c>
      <c r="AB216">
        <v>50</v>
      </c>
      <c r="AC216">
        <v>50</v>
      </c>
      <c r="AD216">
        <v>0</v>
      </c>
      <c r="AE216">
        <v>77</v>
      </c>
      <c r="AF216">
        <v>23</v>
      </c>
      <c r="AG216">
        <v>70</v>
      </c>
      <c r="AH216">
        <v>30</v>
      </c>
      <c r="AI216">
        <v>79</v>
      </c>
      <c r="AJ216">
        <v>21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83</v>
      </c>
      <c r="AR216">
        <v>50</v>
      </c>
      <c r="AS216">
        <v>79</v>
      </c>
      <c r="AT216">
        <v>25</v>
      </c>
      <c r="AU216">
        <v>21</v>
      </c>
      <c r="AV216">
        <v>21</v>
      </c>
      <c r="AW216">
        <v>7</v>
      </c>
      <c r="AX216">
        <v>1.8</v>
      </c>
      <c r="AY216">
        <v>3</v>
      </c>
      <c r="AZ216">
        <v>0.8</v>
      </c>
      <c r="BA216">
        <v>2</v>
      </c>
      <c r="BB216">
        <v>2</v>
      </c>
      <c r="BC216">
        <v>1</v>
      </c>
      <c r="BD216">
        <v>2</v>
      </c>
      <c r="BE216">
        <v>1</v>
      </c>
      <c r="BF216">
        <v>0</v>
      </c>
      <c r="BG216">
        <v>0</v>
      </c>
      <c r="BH216">
        <v>0</v>
      </c>
      <c r="BI216">
        <v>3</v>
      </c>
      <c r="BJ216">
        <v>4</v>
      </c>
      <c r="BK216">
        <v>2</v>
      </c>
      <c r="BL216">
        <v>1</v>
      </c>
      <c r="BM216">
        <v>1.5</v>
      </c>
      <c r="BN216">
        <v>2</v>
      </c>
      <c r="BO216">
        <v>1</v>
      </c>
      <c r="BP216">
        <v>0.5</v>
      </c>
      <c r="BQ216">
        <v>1</v>
      </c>
      <c r="BR216">
        <v>1</v>
      </c>
      <c r="BS216">
        <v>1</v>
      </c>
      <c r="BT216">
        <v>0</v>
      </c>
      <c r="BU216">
        <v>0</v>
      </c>
      <c r="BV216">
        <v>0</v>
      </c>
      <c r="BW216">
        <v>0</v>
      </c>
      <c r="BX216">
        <v>1</v>
      </c>
      <c r="BY216">
        <v>3</v>
      </c>
      <c r="BZ216">
        <v>0.8</v>
      </c>
      <c r="CA216">
        <v>11</v>
      </c>
      <c r="CB216">
        <v>2.8</v>
      </c>
      <c r="CC216">
        <v>2</v>
      </c>
      <c r="CD216">
        <v>2</v>
      </c>
      <c r="CE216">
        <v>1</v>
      </c>
      <c r="CF216">
        <v>0</v>
      </c>
      <c r="CG216">
        <v>0</v>
      </c>
      <c r="CH216">
        <v>0</v>
      </c>
      <c r="CI216">
        <v>1</v>
      </c>
      <c r="CJ216">
        <v>2</v>
      </c>
      <c r="CK216">
        <v>2</v>
      </c>
      <c r="CL216">
        <v>1</v>
      </c>
      <c r="CM216">
        <v>2</v>
      </c>
      <c r="CN216">
        <v>9</v>
      </c>
      <c r="CO216">
        <v>1</v>
      </c>
      <c r="CP216">
        <v>0.5</v>
      </c>
      <c r="CQ216">
        <v>1</v>
      </c>
      <c r="CR216">
        <v>4.5</v>
      </c>
      <c r="CS216">
        <v>1</v>
      </c>
      <c r="CT216">
        <v>1</v>
      </c>
      <c r="CU216">
        <v>1</v>
      </c>
      <c r="CV216">
        <v>0</v>
      </c>
      <c r="CW216">
        <v>0</v>
      </c>
      <c r="CX216">
        <v>0</v>
      </c>
      <c r="CY216">
        <v>0</v>
      </c>
      <c r="CZ216">
        <v>1</v>
      </c>
    </row>
    <row r="217" spans="1:104" x14ac:dyDescent="0.25">
      <c r="A217" s="1" t="s">
        <v>1459</v>
      </c>
      <c r="B217">
        <v>58</v>
      </c>
      <c r="C217">
        <v>67</v>
      </c>
      <c r="D217" s="2">
        <v>44026</v>
      </c>
      <c r="E217" s="3">
        <f t="shared" si="9"/>
        <v>2020</v>
      </c>
      <c r="F217" s="3">
        <f t="shared" si="10"/>
        <v>7</v>
      </c>
      <c r="G217" s="3">
        <f t="shared" si="11"/>
        <v>3</v>
      </c>
      <c r="H217" t="s">
        <v>1460</v>
      </c>
      <c r="I217">
        <v>565</v>
      </c>
      <c r="J217" t="s">
        <v>240</v>
      </c>
      <c r="K217" t="s">
        <v>241</v>
      </c>
      <c r="L217">
        <v>2019</v>
      </c>
      <c r="M217" t="s">
        <v>1461</v>
      </c>
      <c r="N217" t="s">
        <v>1460</v>
      </c>
      <c r="O217" t="s">
        <v>1125</v>
      </c>
      <c r="P217">
        <v>20146</v>
      </c>
      <c r="Q217" t="s">
        <v>241</v>
      </c>
      <c r="R217">
        <v>1885</v>
      </c>
      <c r="S217" t="s">
        <v>1462</v>
      </c>
      <c r="T217" t="s">
        <v>1463</v>
      </c>
      <c r="U217">
        <v>31367</v>
      </c>
      <c r="V217" t="s">
        <v>241</v>
      </c>
      <c r="W217">
        <v>1875</v>
      </c>
      <c r="X217" t="s">
        <v>125</v>
      </c>
      <c r="Z217">
        <v>-2.5</v>
      </c>
      <c r="AA217">
        <v>-2.5</v>
      </c>
      <c r="AB217">
        <v>10</v>
      </c>
      <c r="AC217">
        <v>45</v>
      </c>
      <c r="AD217">
        <v>45</v>
      </c>
      <c r="AE217">
        <v>67</v>
      </c>
      <c r="AF217">
        <v>33</v>
      </c>
      <c r="AG217">
        <v>38</v>
      </c>
      <c r="AH217">
        <v>63</v>
      </c>
      <c r="AI217">
        <v>77</v>
      </c>
      <c r="AJ217">
        <v>23</v>
      </c>
      <c r="AK217">
        <v>54</v>
      </c>
      <c r="AL217">
        <v>46</v>
      </c>
      <c r="AM217">
        <v>15</v>
      </c>
      <c r="AN217">
        <v>85</v>
      </c>
      <c r="AO217">
        <v>20</v>
      </c>
      <c r="AP217">
        <v>80</v>
      </c>
      <c r="AQ217">
        <v>53</v>
      </c>
      <c r="AR217">
        <v>21</v>
      </c>
      <c r="AS217">
        <v>79</v>
      </c>
      <c r="AT217">
        <v>27</v>
      </c>
      <c r="AU217">
        <v>36</v>
      </c>
      <c r="AV217">
        <v>29</v>
      </c>
      <c r="AW217">
        <v>3</v>
      </c>
      <c r="AX217">
        <v>0.6</v>
      </c>
      <c r="AY217">
        <v>3</v>
      </c>
      <c r="AZ217">
        <v>0.6</v>
      </c>
      <c r="BA217">
        <v>21</v>
      </c>
      <c r="BB217">
        <v>22</v>
      </c>
      <c r="BC217">
        <v>8</v>
      </c>
      <c r="BD217">
        <v>7</v>
      </c>
      <c r="BE217">
        <v>8</v>
      </c>
      <c r="BF217">
        <v>9</v>
      </c>
      <c r="BG217">
        <v>5</v>
      </c>
      <c r="BH217">
        <v>6</v>
      </c>
      <c r="BI217">
        <v>28</v>
      </c>
      <c r="BJ217">
        <v>21</v>
      </c>
      <c r="BK217">
        <v>24</v>
      </c>
      <c r="BL217">
        <v>22</v>
      </c>
      <c r="BM217">
        <v>1.3</v>
      </c>
      <c r="BN217">
        <v>1</v>
      </c>
      <c r="BO217">
        <v>1.1000000000000001</v>
      </c>
      <c r="BP217">
        <v>1</v>
      </c>
      <c r="BQ217">
        <v>6</v>
      </c>
      <c r="BR217">
        <v>6</v>
      </c>
      <c r="BS217">
        <v>1</v>
      </c>
      <c r="BT217">
        <v>2</v>
      </c>
      <c r="BU217">
        <v>3</v>
      </c>
      <c r="BV217">
        <v>1</v>
      </c>
      <c r="BW217">
        <v>2</v>
      </c>
      <c r="BX217">
        <v>3</v>
      </c>
      <c r="BY217">
        <v>5</v>
      </c>
      <c r="BZ217">
        <v>1</v>
      </c>
      <c r="CA217">
        <v>10</v>
      </c>
      <c r="CB217">
        <v>2</v>
      </c>
      <c r="CC217">
        <v>22</v>
      </c>
      <c r="CD217">
        <v>21</v>
      </c>
      <c r="CE217">
        <v>9</v>
      </c>
      <c r="CF217">
        <v>7</v>
      </c>
      <c r="CG217">
        <v>9</v>
      </c>
      <c r="CH217">
        <v>3</v>
      </c>
      <c r="CI217">
        <v>4</v>
      </c>
      <c r="CJ217">
        <v>11</v>
      </c>
      <c r="CK217">
        <v>29</v>
      </c>
      <c r="CL217">
        <v>31</v>
      </c>
      <c r="CM217">
        <v>21</v>
      </c>
      <c r="CN217">
        <v>35</v>
      </c>
      <c r="CO217">
        <v>1.3</v>
      </c>
      <c r="CP217">
        <v>1.5</v>
      </c>
      <c r="CQ217">
        <v>1</v>
      </c>
      <c r="CR217">
        <v>1.7</v>
      </c>
      <c r="CS217">
        <v>6</v>
      </c>
      <c r="CT217">
        <v>6</v>
      </c>
      <c r="CU217">
        <v>3</v>
      </c>
      <c r="CV217">
        <v>2</v>
      </c>
      <c r="CW217">
        <v>1</v>
      </c>
      <c r="CX217">
        <v>3</v>
      </c>
      <c r="CY217">
        <v>2</v>
      </c>
      <c r="CZ217">
        <v>1</v>
      </c>
    </row>
    <row r="218" spans="1:104" x14ac:dyDescent="0.25">
      <c r="A218" s="1" t="s">
        <v>1464</v>
      </c>
      <c r="B218">
        <v>666</v>
      </c>
      <c r="C218">
        <v>5490</v>
      </c>
      <c r="D218" s="2">
        <v>43802</v>
      </c>
      <c r="E218" s="3">
        <f t="shared" si="9"/>
        <v>2019</v>
      </c>
      <c r="F218" s="3">
        <f t="shared" si="10"/>
        <v>12</v>
      </c>
      <c r="G218" s="3">
        <f t="shared" si="11"/>
        <v>3</v>
      </c>
      <c r="H218" t="s">
        <v>835</v>
      </c>
      <c r="I218">
        <v>1238</v>
      </c>
      <c r="J218" t="s">
        <v>1465</v>
      </c>
      <c r="K218" t="s">
        <v>832</v>
      </c>
      <c r="L218">
        <v>2019</v>
      </c>
      <c r="M218" t="s">
        <v>130</v>
      </c>
      <c r="N218" t="s">
        <v>1466</v>
      </c>
      <c r="O218" t="s">
        <v>834</v>
      </c>
      <c r="P218">
        <v>8152</v>
      </c>
      <c r="Q218" t="s">
        <v>832</v>
      </c>
      <c r="R218">
        <v>1997</v>
      </c>
      <c r="S218" t="s">
        <v>1467</v>
      </c>
      <c r="T218" t="s">
        <v>1468</v>
      </c>
      <c r="U218">
        <v>26120</v>
      </c>
      <c r="V218" t="s">
        <v>832</v>
      </c>
      <c r="X218" t="s">
        <v>109</v>
      </c>
      <c r="AB218">
        <v>45</v>
      </c>
      <c r="AC218">
        <v>45</v>
      </c>
      <c r="AD218">
        <v>10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71</v>
      </c>
      <c r="AN218">
        <v>29</v>
      </c>
      <c r="AO218">
        <v>58</v>
      </c>
      <c r="AP218">
        <v>42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4</v>
      </c>
      <c r="BR218">
        <v>3</v>
      </c>
      <c r="BS218">
        <v>3</v>
      </c>
      <c r="BT218">
        <v>2</v>
      </c>
      <c r="BU218">
        <v>0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3</v>
      </c>
      <c r="CT218">
        <v>4</v>
      </c>
      <c r="CU218">
        <v>0</v>
      </c>
      <c r="CV218">
        <v>1</v>
      </c>
      <c r="CW218">
        <v>1</v>
      </c>
      <c r="CX218">
        <v>0</v>
      </c>
      <c r="CY218">
        <v>2</v>
      </c>
      <c r="CZ218">
        <v>3</v>
      </c>
    </row>
    <row r="219" spans="1:104" x14ac:dyDescent="0.25">
      <c r="A219" s="1" t="s">
        <v>1469</v>
      </c>
      <c r="B219">
        <v>8546</v>
      </c>
      <c r="C219">
        <v>6392</v>
      </c>
      <c r="D219" s="2">
        <v>43694</v>
      </c>
      <c r="E219" s="3">
        <f t="shared" si="9"/>
        <v>2019</v>
      </c>
      <c r="F219" s="3">
        <f t="shared" si="10"/>
        <v>8</v>
      </c>
      <c r="G219" s="3">
        <f t="shared" si="11"/>
        <v>7</v>
      </c>
      <c r="H219" t="s">
        <v>1470</v>
      </c>
      <c r="I219">
        <v>1141</v>
      </c>
      <c r="J219" t="s">
        <v>1095</v>
      </c>
      <c r="K219" t="s">
        <v>172</v>
      </c>
      <c r="L219">
        <v>2019</v>
      </c>
      <c r="M219" t="s">
        <v>1471</v>
      </c>
      <c r="N219" t="s">
        <v>1470</v>
      </c>
      <c r="O219" t="s">
        <v>1472</v>
      </c>
      <c r="P219">
        <v>8000</v>
      </c>
      <c r="Q219" t="s">
        <v>172</v>
      </c>
      <c r="S219" t="s">
        <v>1473</v>
      </c>
      <c r="T219" t="s">
        <v>1474</v>
      </c>
      <c r="U219">
        <v>8000</v>
      </c>
      <c r="V219" t="s">
        <v>172</v>
      </c>
      <c r="W219">
        <v>2013</v>
      </c>
      <c r="X219">
        <v>2</v>
      </c>
      <c r="Y219">
        <v>-3.5</v>
      </c>
      <c r="AA219">
        <v>-2.5</v>
      </c>
      <c r="AB219">
        <v>0</v>
      </c>
      <c r="AC219">
        <v>50</v>
      </c>
      <c r="AD219">
        <v>50</v>
      </c>
      <c r="AE219">
        <v>14</v>
      </c>
      <c r="AF219">
        <v>86</v>
      </c>
      <c r="AG219">
        <v>0</v>
      </c>
      <c r="AH219">
        <v>100</v>
      </c>
      <c r="AI219">
        <v>0</v>
      </c>
      <c r="AJ219">
        <v>100</v>
      </c>
      <c r="AK219">
        <v>0</v>
      </c>
      <c r="AL219">
        <v>0</v>
      </c>
      <c r="AM219">
        <v>20</v>
      </c>
      <c r="AN219">
        <v>80</v>
      </c>
      <c r="AO219">
        <v>38</v>
      </c>
      <c r="AP219">
        <v>63</v>
      </c>
      <c r="AQ219">
        <v>17</v>
      </c>
      <c r="AR219">
        <v>0</v>
      </c>
      <c r="AS219">
        <v>87</v>
      </c>
      <c r="AT219">
        <v>100</v>
      </c>
      <c r="AU219">
        <v>20</v>
      </c>
      <c r="AV219">
        <v>100</v>
      </c>
      <c r="AW219">
        <v>0</v>
      </c>
      <c r="AX219">
        <v>0</v>
      </c>
      <c r="AY219">
        <v>2</v>
      </c>
      <c r="AZ219">
        <v>1</v>
      </c>
      <c r="BA219">
        <v>1</v>
      </c>
      <c r="BB219">
        <v>1</v>
      </c>
      <c r="BC219">
        <v>0</v>
      </c>
      <c r="BD219">
        <v>0</v>
      </c>
      <c r="BE219">
        <v>1</v>
      </c>
      <c r="BF219">
        <v>0</v>
      </c>
      <c r="BG219">
        <v>0</v>
      </c>
      <c r="BH219">
        <v>1</v>
      </c>
      <c r="BI219">
        <v>0</v>
      </c>
      <c r="BJ219">
        <v>0</v>
      </c>
      <c r="BK219">
        <v>0</v>
      </c>
      <c r="BL219">
        <v>2</v>
      </c>
      <c r="BM219">
        <v>0</v>
      </c>
      <c r="BN219">
        <v>0</v>
      </c>
      <c r="BO219">
        <v>0</v>
      </c>
      <c r="BP219">
        <v>2</v>
      </c>
      <c r="BQ219">
        <v>2</v>
      </c>
      <c r="BR219">
        <v>1</v>
      </c>
      <c r="BS219">
        <v>0</v>
      </c>
      <c r="BT219">
        <v>0</v>
      </c>
      <c r="BU219">
        <v>1</v>
      </c>
      <c r="BV219">
        <v>0</v>
      </c>
      <c r="BW219">
        <v>1</v>
      </c>
      <c r="BX219">
        <v>1</v>
      </c>
      <c r="BY219">
        <v>3</v>
      </c>
      <c r="BZ219">
        <v>1.5</v>
      </c>
      <c r="CA219">
        <v>0</v>
      </c>
      <c r="CB219">
        <v>0</v>
      </c>
      <c r="CC219">
        <v>1</v>
      </c>
      <c r="CD219">
        <v>1</v>
      </c>
      <c r="CE219">
        <v>1</v>
      </c>
      <c r="CF219">
        <v>1</v>
      </c>
      <c r="CG219">
        <v>0</v>
      </c>
      <c r="CH219">
        <v>0</v>
      </c>
      <c r="CI219">
        <v>0</v>
      </c>
      <c r="CJ219">
        <v>0</v>
      </c>
      <c r="CK219">
        <v>2</v>
      </c>
      <c r="CL219">
        <v>1</v>
      </c>
      <c r="CM219">
        <v>0</v>
      </c>
      <c r="CN219">
        <v>0</v>
      </c>
      <c r="CO219">
        <v>2</v>
      </c>
      <c r="CP219">
        <v>1</v>
      </c>
      <c r="CQ219">
        <v>0</v>
      </c>
      <c r="CR219">
        <v>0</v>
      </c>
      <c r="CS219">
        <v>1</v>
      </c>
      <c r="CT219">
        <v>2</v>
      </c>
      <c r="CU219">
        <v>1</v>
      </c>
      <c r="CV219">
        <v>1</v>
      </c>
      <c r="CW219">
        <v>0</v>
      </c>
      <c r="CX219">
        <v>1</v>
      </c>
      <c r="CY219">
        <v>0</v>
      </c>
      <c r="CZ219">
        <v>0</v>
      </c>
    </row>
    <row r="220" spans="1:104" x14ac:dyDescent="0.25">
      <c r="A220" s="1" t="s">
        <v>1475</v>
      </c>
      <c r="B220">
        <v>474</v>
      </c>
      <c r="C220">
        <v>485</v>
      </c>
      <c r="D220" s="2">
        <v>43708</v>
      </c>
      <c r="E220" s="3">
        <f t="shared" si="9"/>
        <v>2019</v>
      </c>
      <c r="F220" s="3">
        <f t="shared" si="10"/>
        <v>8</v>
      </c>
      <c r="G220" s="3">
        <f t="shared" si="11"/>
        <v>7</v>
      </c>
      <c r="H220" t="s">
        <v>1476</v>
      </c>
      <c r="I220">
        <v>899</v>
      </c>
      <c r="J220" t="s">
        <v>1477</v>
      </c>
      <c r="K220" t="s">
        <v>345</v>
      </c>
      <c r="L220">
        <v>2019</v>
      </c>
      <c r="M220" t="s">
        <v>209</v>
      </c>
      <c r="N220" t="s">
        <v>1476</v>
      </c>
      <c r="O220" t="s">
        <v>1478</v>
      </c>
      <c r="P220">
        <v>22000</v>
      </c>
      <c r="Q220" t="s">
        <v>345</v>
      </c>
      <c r="R220">
        <v>1911</v>
      </c>
      <c r="S220" t="s">
        <v>1479</v>
      </c>
      <c r="T220" t="s">
        <v>1480</v>
      </c>
      <c r="U220">
        <v>27000</v>
      </c>
      <c r="V220" t="s">
        <v>345</v>
      </c>
      <c r="W220">
        <v>1909</v>
      </c>
      <c r="X220" t="s">
        <v>125</v>
      </c>
      <c r="Y220">
        <v>-3.5</v>
      </c>
      <c r="Z220">
        <v>-2.5</v>
      </c>
      <c r="AA220">
        <v>-1.5</v>
      </c>
      <c r="AB220">
        <v>10</v>
      </c>
      <c r="AC220">
        <v>45</v>
      </c>
      <c r="AD220">
        <v>45</v>
      </c>
      <c r="AE220">
        <v>57</v>
      </c>
      <c r="AF220">
        <v>43</v>
      </c>
      <c r="AG220">
        <v>75</v>
      </c>
      <c r="AH220">
        <v>25</v>
      </c>
      <c r="AI220">
        <v>0</v>
      </c>
      <c r="AJ220">
        <v>100</v>
      </c>
      <c r="AK220">
        <v>0</v>
      </c>
      <c r="AL220">
        <v>0</v>
      </c>
      <c r="AM220">
        <v>33</v>
      </c>
      <c r="AN220">
        <v>67</v>
      </c>
      <c r="AO220">
        <v>22</v>
      </c>
      <c r="AP220">
        <v>78</v>
      </c>
      <c r="AQ220">
        <v>67</v>
      </c>
      <c r="AR220">
        <v>23</v>
      </c>
      <c r="AS220">
        <v>85</v>
      </c>
      <c r="AT220">
        <v>100</v>
      </c>
      <c r="AU220">
        <v>8</v>
      </c>
      <c r="AV220">
        <v>100</v>
      </c>
      <c r="AW220">
        <v>3</v>
      </c>
      <c r="AX220">
        <v>1.5</v>
      </c>
      <c r="AY220">
        <v>2</v>
      </c>
      <c r="AZ220">
        <v>1</v>
      </c>
      <c r="BA220">
        <v>1</v>
      </c>
      <c r="BB220">
        <v>1</v>
      </c>
      <c r="BC220">
        <v>0</v>
      </c>
      <c r="BD220">
        <v>1</v>
      </c>
      <c r="BE220">
        <v>1</v>
      </c>
      <c r="BF220">
        <v>0</v>
      </c>
      <c r="BG220">
        <v>0</v>
      </c>
      <c r="BH220">
        <v>0</v>
      </c>
      <c r="BI220">
        <v>0</v>
      </c>
      <c r="BJ220">
        <v>3</v>
      </c>
      <c r="BK220">
        <v>0</v>
      </c>
      <c r="BL220">
        <v>2</v>
      </c>
      <c r="BM220">
        <v>0</v>
      </c>
      <c r="BN220">
        <v>3</v>
      </c>
      <c r="BO220">
        <v>0</v>
      </c>
      <c r="BP220">
        <v>2</v>
      </c>
      <c r="BQ220">
        <v>3</v>
      </c>
      <c r="BR220">
        <v>2</v>
      </c>
      <c r="BS220">
        <v>2</v>
      </c>
      <c r="BT220">
        <v>0</v>
      </c>
      <c r="BU220">
        <v>0</v>
      </c>
      <c r="BV220">
        <v>0</v>
      </c>
      <c r="BW220">
        <v>1</v>
      </c>
      <c r="BX220">
        <v>2</v>
      </c>
      <c r="BY220">
        <v>1</v>
      </c>
      <c r="BZ220">
        <v>1</v>
      </c>
      <c r="CA220">
        <v>0</v>
      </c>
      <c r="CB220">
        <v>0</v>
      </c>
      <c r="CC220">
        <v>1</v>
      </c>
      <c r="CD220">
        <v>0</v>
      </c>
      <c r="CE220">
        <v>1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1</v>
      </c>
      <c r="CL220">
        <v>0</v>
      </c>
      <c r="CM220">
        <v>0</v>
      </c>
      <c r="CN220">
        <v>0</v>
      </c>
      <c r="CO220">
        <v>1</v>
      </c>
      <c r="CP220">
        <v>0</v>
      </c>
      <c r="CQ220">
        <v>0</v>
      </c>
      <c r="CR220">
        <v>0</v>
      </c>
      <c r="CS220">
        <v>2</v>
      </c>
      <c r="CT220">
        <v>3</v>
      </c>
      <c r="CU220">
        <v>2</v>
      </c>
      <c r="CV220">
        <v>1</v>
      </c>
      <c r="CW220">
        <v>0</v>
      </c>
      <c r="CX220">
        <v>0</v>
      </c>
      <c r="CY220">
        <v>0</v>
      </c>
      <c r="CZ220">
        <v>2</v>
      </c>
    </row>
    <row r="221" spans="1:104" x14ac:dyDescent="0.25">
      <c r="A221" s="1" t="s">
        <v>1481</v>
      </c>
      <c r="B221">
        <v>1868</v>
      </c>
      <c r="C221">
        <v>1867</v>
      </c>
      <c r="D221" s="2">
        <v>43792</v>
      </c>
      <c r="E221" s="3">
        <f t="shared" si="9"/>
        <v>2019</v>
      </c>
      <c r="F221" s="3">
        <f t="shared" si="10"/>
        <v>11</v>
      </c>
      <c r="G221" s="3">
        <f t="shared" si="11"/>
        <v>7</v>
      </c>
      <c r="H221" t="s">
        <v>1482</v>
      </c>
      <c r="I221">
        <v>771</v>
      </c>
      <c r="J221" t="s">
        <v>1483</v>
      </c>
      <c r="K221" t="s">
        <v>558</v>
      </c>
      <c r="L221">
        <v>2019</v>
      </c>
      <c r="M221" t="s">
        <v>122</v>
      </c>
      <c r="Q221" t="s">
        <v>558</v>
      </c>
      <c r="V221" t="s">
        <v>558</v>
      </c>
      <c r="X221" t="s">
        <v>125</v>
      </c>
      <c r="Y221">
        <v>2.5</v>
      </c>
      <c r="Z221">
        <v>-3.5</v>
      </c>
      <c r="AA221">
        <v>-3.5</v>
      </c>
      <c r="AB221">
        <v>10</v>
      </c>
      <c r="AC221">
        <v>45</v>
      </c>
      <c r="AD221">
        <v>45</v>
      </c>
      <c r="AE221">
        <v>53</v>
      </c>
      <c r="AF221">
        <v>47</v>
      </c>
      <c r="AG221">
        <v>50</v>
      </c>
      <c r="AH221">
        <v>50</v>
      </c>
      <c r="AI221">
        <v>70</v>
      </c>
      <c r="AJ221">
        <v>30</v>
      </c>
      <c r="AK221">
        <v>0</v>
      </c>
      <c r="AL221">
        <v>0</v>
      </c>
      <c r="AM221">
        <v>38</v>
      </c>
      <c r="AN221">
        <v>62</v>
      </c>
      <c r="AO221">
        <v>39</v>
      </c>
      <c r="AP221">
        <v>61</v>
      </c>
      <c r="AQ221">
        <v>67</v>
      </c>
      <c r="AR221">
        <v>67</v>
      </c>
      <c r="AS221">
        <v>62</v>
      </c>
      <c r="AT221">
        <v>60</v>
      </c>
      <c r="AU221">
        <v>67</v>
      </c>
      <c r="AV221">
        <v>10</v>
      </c>
      <c r="AW221">
        <v>14</v>
      </c>
      <c r="AX221">
        <v>2.8</v>
      </c>
      <c r="AY221">
        <v>8</v>
      </c>
      <c r="AZ221">
        <v>1.6</v>
      </c>
      <c r="BA221">
        <v>4</v>
      </c>
      <c r="BB221">
        <v>5</v>
      </c>
      <c r="BC221">
        <v>4</v>
      </c>
      <c r="BD221">
        <v>1</v>
      </c>
      <c r="BE221">
        <v>0</v>
      </c>
      <c r="BF221">
        <v>1</v>
      </c>
      <c r="BG221">
        <v>0</v>
      </c>
      <c r="BH221">
        <v>3</v>
      </c>
      <c r="BI221">
        <v>10</v>
      </c>
      <c r="BJ221">
        <v>9</v>
      </c>
      <c r="BK221">
        <v>3</v>
      </c>
      <c r="BL221">
        <v>17</v>
      </c>
      <c r="BM221">
        <v>2.5</v>
      </c>
      <c r="BN221">
        <v>1.8</v>
      </c>
      <c r="BO221">
        <v>0.8</v>
      </c>
      <c r="BP221">
        <v>3.4</v>
      </c>
      <c r="BQ221">
        <v>4</v>
      </c>
      <c r="BR221">
        <v>4</v>
      </c>
      <c r="BS221">
        <v>2</v>
      </c>
      <c r="BT221">
        <v>2</v>
      </c>
      <c r="BU221">
        <v>1</v>
      </c>
      <c r="BV221">
        <v>1</v>
      </c>
      <c r="BW221">
        <v>1</v>
      </c>
      <c r="BX221">
        <v>1</v>
      </c>
      <c r="BY221">
        <v>14</v>
      </c>
      <c r="BZ221">
        <v>2.8</v>
      </c>
      <c r="CA221">
        <v>19</v>
      </c>
      <c r="CB221">
        <v>3.8</v>
      </c>
      <c r="CC221">
        <v>5</v>
      </c>
      <c r="CD221">
        <v>4</v>
      </c>
      <c r="CE221">
        <v>1</v>
      </c>
      <c r="CF221">
        <v>3</v>
      </c>
      <c r="CG221">
        <v>1</v>
      </c>
      <c r="CH221">
        <v>0</v>
      </c>
      <c r="CI221">
        <v>3</v>
      </c>
      <c r="CJ221">
        <v>1</v>
      </c>
      <c r="CK221">
        <v>6</v>
      </c>
      <c r="CL221">
        <v>10</v>
      </c>
      <c r="CM221">
        <v>16</v>
      </c>
      <c r="CN221">
        <v>7</v>
      </c>
      <c r="CO221">
        <v>1.2</v>
      </c>
      <c r="CP221">
        <v>2.5</v>
      </c>
      <c r="CQ221">
        <v>3.2</v>
      </c>
      <c r="CR221">
        <v>1.8</v>
      </c>
      <c r="CS221">
        <v>4</v>
      </c>
      <c r="CT221">
        <v>4</v>
      </c>
      <c r="CU221">
        <v>1</v>
      </c>
      <c r="CV221">
        <v>1</v>
      </c>
      <c r="CW221">
        <v>1</v>
      </c>
      <c r="CX221">
        <v>1</v>
      </c>
      <c r="CY221">
        <v>2</v>
      </c>
      <c r="CZ221">
        <v>2</v>
      </c>
    </row>
    <row r="222" spans="1:104" x14ac:dyDescent="0.25">
      <c r="A222" s="1" t="s">
        <v>1484</v>
      </c>
      <c r="B222">
        <v>10246</v>
      </c>
      <c r="C222">
        <v>10248</v>
      </c>
      <c r="D222" s="2">
        <v>43736</v>
      </c>
      <c r="E222" s="3">
        <f t="shared" si="9"/>
        <v>2019</v>
      </c>
      <c r="F222" s="3">
        <f t="shared" si="10"/>
        <v>9</v>
      </c>
      <c r="G222" s="3">
        <f t="shared" si="11"/>
        <v>7</v>
      </c>
      <c r="H222" t="s">
        <v>1485</v>
      </c>
      <c r="I222">
        <v>1405</v>
      </c>
      <c r="J222" t="s">
        <v>1486</v>
      </c>
      <c r="K222" t="s">
        <v>558</v>
      </c>
      <c r="L222">
        <v>2019</v>
      </c>
      <c r="M222" t="s">
        <v>1487</v>
      </c>
      <c r="Q222" t="s">
        <v>558</v>
      </c>
      <c r="V222" t="s">
        <v>558</v>
      </c>
      <c r="X222" t="s">
        <v>125</v>
      </c>
      <c r="Z222">
        <v>-2.5</v>
      </c>
      <c r="AA222">
        <v>-2.5</v>
      </c>
      <c r="AB222">
        <v>10</v>
      </c>
      <c r="AC222">
        <v>45</v>
      </c>
      <c r="AD222">
        <v>45</v>
      </c>
      <c r="AE222">
        <v>46</v>
      </c>
      <c r="AF222">
        <v>54</v>
      </c>
      <c r="AG222">
        <v>47</v>
      </c>
      <c r="AH222">
        <v>53</v>
      </c>
      <c r="AI222">
        <v>47</v>
      </c>
      <c r="AJ222">
        <v>53</v>
      </c>
      <c r="AK222">
        <v>43</v>
      </c>
      <c r="AL222">
        <v>57</v>
      </c>
      <c r="AM222">
        <v>20</v>
      </c>
      <c r="AN222">
        <v>80</v>
      </c>
      <c r="AO222">
        <v>33</v>
      </c>
      <c r="AP222">
        <v>67</v>
      </c>
      <c r="AQ222">
        <v>40</v>
      </c>
      <c r="AR222">
        <v>42</v>
      </c>
      <c r="AS222">
        <v>47</v>
      </c>
      <c r="AT222">
        <v>47</v>
      </c>
      <c r="AU222">
        <v>47</v>
      </c>
      <c r="AV222">
        <v>53</v>
      </c>
      <c r="AW222">
        <v>8</v>
      </c>
      <c r="AX222">
        <v>1.6</v>
      </c>
      <c r="AY222">
        <v>10</v>
      </c>
      <c r="AZ222">
        <v>2</v>
      </c>
      <c r="BA222">
        <v>3</v>
      </c>
      <c r="BB222">
        <v>3</v>
      </c>
      <c r="BC222">
        <v>1</v>
      </c>
      <c r="BD222">
        <v>1</v>
      </c>
      <c r="BE222">
        <v>0</v>
      </c>
      <c r="BF222">
        <v>0</v>
      </c>
      <c r="BG222">
        <v>2</v>
      </c>
      <c r="BH222">
        <v>2</v>
      </c>
      <c r="BI222">
        <v>4</v>
      </c>
      <c r="BJ222">
        <v>5</v>
      </c>
      <c r="BK222">
        <v>4</v>
      </c>
      <c r="BL222">
        <v>8</v>
      </c>
      <c r="BM222">
        <v>1.3</v>
      </c>
      <c r="BN222">
        <v>1.7</v>
      </c>
      <c r="BO222">
        <v>1.3</v>
      </c>
      <c r="BP222">
        <v>2.7</v>
      </c>
      <c r="BQ222">
        <v>3</v>
      </c>
      <c r="BR222">
        <v>3</v>
      </c>
      <c r="BS222">
        <v>1</v>
      </c>
      <c r="BT222">
        <v>0</v>
      </c>
      <c r="BU222">
        <v>2</v>
      </c>
      <c r="BV222">
        <v>0</v>
      </c>
      <c r="BW222">
        <v>0</v>
      </c>
      <c r="BX222">
        <v>3</v>
      </c>
      <c r="BY222">
        <v>9</v>
      </c>
      <c r="BZ222">
        <v>1.8</v>
      </c>
      <c r="CA222">
        <v>9</v>
      </c>
      <c r="CB222">
        <v>1.8</v>
      </c>
      <c r="CC222">
        <v>3</v>
      </c>
      <c r="CD222">
        <v>3</v>
      </c>
      <c r="CE222">
        <v>1</v>
      </c>
      <c r="CF222">
        <v>1</v>
      </c>
      <c r="CG222">
        <v>0</v>
      </c>
      <c r="CH222">
        <v>1</v>
      </c>
      <c r="CI222">
        <v>2</v>
      </c>
      <c r="CJ222">
        <v>1</v>
      </c>
      <c r="CK222">
        <v>3</v>
      </c>
      <c r="CL222">
        <v>6</v>
      </c>
      <c r="CM222">
        <v>9</v>
      </c>
      <c r="CN222">
        <v>4</v>
      </c>
      <c r="CO222">
        <v>1</v>
      </c>
      <c r="CP222">
        <v>2</v>
      </c>
      <c r="CQ222">
        <v>3</v>
      </c>
      <c r="CR222">
        <v>1.3</v>
      </c>
      <c r="CS222">
        <v>3</v>
      </c>
      <c r="CT222">
        <v>3</v>
      </c>
      <c r="CU222">
        <v>3</v>
      </c>
      <c r="CV222">
        <v>0</v>
      </c>
      <c r="CW222">
        <v>0</v>
      </c>
      <c r="CX222">
        <v>2</v>
      </c>
      <c r="CY222">
        <v>0</v>
      </c>
      <c r="CZ222">
        <v>1</v>
      </c>
    </row>
    <row r="223" spans="1:104" x14ac:dyDescent="0.25">
      <c r="A223" s="1" t="s">
        <v>1488</v>
      </c>
      <c r="B223">
        <v>4515</v>
      </c>
      <c r="C223">
        <v>4519</v>
      </c>
      <c r="D223" s="2">
        <v>43864</v>
      </c>
      <c r="E223" s="3">
        <f t="shared" si="9"/>
        <v>2020</v>
      </c>
      <c r="F223" s="3">
        <f t="shared" si="10"/>
        <v>2</v>
      </c>
      <c r="G223" s="3">
        <f t="shared" si="11"/>
        <v>2</v>
      </c>
      <c r="H223" t="s">
        <v>1489</v>
      </c>
      <c r="I223">
        <v>918</v>
      </c>
      <c r="J223" t="s">
        <v>1054</v>
      </c>
      <c r="K223" t="s">
        <v>133</v>
      </c>
      <c r="L223">
        <v>2019</v>
      </c>
      <c r="M223" t="s">
        <v>906</v>
      </c>
      <c r="N223" t="s">
        <v>1489</v>
      </c>
      <c r="O223" t="s">
        <v>1490</v>
      </c>
      <c r="P223">
        <v>4000</v>
      </c>
      <c r="Q223" t="s">
        <v>133</v>
      </c>
      <c r="V223" t="s">
        <v>133</v>
      </c>
      <c r="X223" t="s">
        <v>125</v>
      </c>
      <c r="Z223">
        <v>-2.5</v>
      </c>
      <c r="AA223">
        <v>-2.5</v>
      </c>
      <c r="AB223">
        <v>10</v>
      </c>
      <c r="AC223">
        <v>45</v>
      </c>
      <c r="AD223">
        <v>45</v>
      </c>
      <c r="AE223">
        <v>47</v>
      </c>
      <c r="AF223">
        <v>53</v>
      </c>
      <c r="AG223">
        <v>43</v>
      </c>
      <c r="AH223">
        <v>57</v>
      </c>
      <c r="AI223">
        <v>57</v>
      </c>
      <c r="AJ223">
        <v>43</v>
      </c>
      <c r="AK223">
        <v>0</v>
      </c>
      <c r="AL223">
        <v>0</v>
      </c>
      <c r="AM223">
        <v>13</v>
      </c>
      <c r="AN223">
        <v>88</v>
      </c>
      <c r="AO223">
        <v>17</v>
      </c>
      <c r="AP223">
        <v>83</v>
      </c>
      <c r="AQ223">
        <v>60</v>
      </c>
      <c r="AR223">
        <v>60</v>
      </c>
      <c r="AS223">
        <v>70</v>
      </c>
      <c r="AT223">
        <v>67</v>
      </c>
      <c r="AU223">
        <v>80</v>
      </c>
      <c r="AV223">
        <v>60</v>
      </c>
      <c r="AW223">
        <v>6</v>
      </c>
      <c r="AX223">
        <v>1.2</v>
      </c>
      <c r="AY223">
        <v>3</v>
      </c>
      <c r="AZ223">
        <v>0.6</v>
      </c>
      <c r="BA223">
        <v>6</v>
      </c>
      <c r="BB223">
        <v>8</v>
      </c>
      <c r="BC223">
        <v>1</v>
      </c>
      <c r="BD223">
        <v>4</v>
      </c>
      <c r="BE223">
        <v>4</v>
      </c>
      <c r="BF223">
        <v>4</v>
      </c>
      <c r="BG223">
        <v>1</v>
      </c>
      <c r="BH223">
        <v>0</v>
      </c>
      <c r="BI223">
        <v>7</v>
      </c>
      <c r="BJ223">
        <v>9</v>
      </c>
      <c r="BK223">
        <v>7</v>
      </c>
      <c r="BL223">
        <v>3</v>
      </c>
      <c r="BM223">
        <v>1.2</v>
      </c>
      <c r="BN223">
        <v>1.1000000000000001</v>
      </c>
      <c r="BO223">
        <v>1.2</v>
      </c>
      <c r="BP223">
        <v>0.4</v>
      </c>
      <c r="BQ223">
        <v>2</v>
      </c>
      <c r="BR223">
        <v>2</v>
      </c>
      <c r="BS223">
        <v>0</v>
      </c>
      <c r="BT223">
        <v>0</v>
      </c>
      <c r="BU223">
        <v>0</v>
      </c>
      <c r="BV223">
        <v>1</v>
      </c>
      <c r="BW223">
        <v>2</v>
      </c>
      <c r="BX223">
        <v>1</v>
      </c>
      <c r="BY223">
        <v>8</v>
      </c>
      <c r="BZ223">
        <v>1.6</v>
      </c>
      <c r="CA223">
        <v>4</v>
      </c>
      <c r="CB223">
        <v>0.8</v>
      </c>
      <c r="CC223">
        <v>8</v>
      </c>
      <c r="CD223">
        <v>6</v>
      </c>
      <c r="CE223">
        <v>5</v>
      </c>
      <c r="CF223">
        <v>3</v>
      </c>
      <c r="CG223">
        <v>1</v>
      </c>
      <c r="CH223">
        <v>2</v>
      </c>
      <c r="CI223">
        <v>2</v>
      </c>
      <c r="CJ223">
        <v>1</v>
      </c>
      <c r="CK223">
        <v>12</v>
      </c>
      <c r="CL223">
        <v>8</v>
      </c>
      <c r="CM223">
        <v>10</v>
      </c>
      <c r="CN223">
        <v>4</v>
      </c>
      <c r="CO223">
        <v>1.5</v>
      </c>
      <c r="CP223">
        <v>1.3</v>
      </c>
      <c r="CQ223">
        <v>1.3</v>
      </c>
      <c r="CR223">
        <v>0.7</v>
      </c>
      <c r="CS223">
        <v>2</v>
      </c>
      <c r="CT223">
        <v>2</v>
      </c>
      <c r="CU223">
        <v>1</v>
      </c>
      <c r="CV223">
        <v>2</v>
      </c>
      <c r="CW223">
        <v>1</v>
      </c>
      <c r="CX223">
        <v>0</v>
      </c>
      <c r="CY223">
        <v>0</v>
      </c>
      <c r="CZ223">
        <v>0</v>
      </c>
    </row>
    <row r="224" spans="1:104" x14ac:dyDescent="0.25">
      <c r="A224" s="1" t="s">
        <v>1491</v>
      </c>
      <c r="B224">
        <v>2171</v>
      </c>
      <c r="C224">
        <v>367</v>
      </c>
      <c r="D224" s="2">
        <v>44056</v>
      </c>
      <c r="E224" s="3">
        <f t="shared" si="9"/>
        <v>2020</v>
      </c>
      <c r="F224" s="3">
        <f t="shared" si="10"/>
        <v>8</v>
      </c>
      <c r="G224" s="3">
        <f t="shared" si="11"/>
        <v>5</v>
      </c>
      <c r="H224" t="s">
        <v>1492</v>
      </c>
      <c r="I224">
        <v>1329</v>
      </c>
      <c r="J224" t="s">
        <v>103</v>
      </c>
      <c r="K224" t="s">
        <v>104</v>
      </c>
      <c r="L224">
        <v>2020</v>
      </c>
      <c r="M224" t="s">
        <v>906</v>
      </c>
      <c r="N224" t="s">
        <v>1493</v>
      </c>
      <c r="O224" t="s">
        <v>1494</v>
      </c>
      <c r="P224">
        <v>5000</v>
      </c>
      <c r="Q224" t="s">
        <v>104</v>
      </c>
      <c r="R224">
        <v>1925</v>
      </c>
      <c r="S224" t="s">
        <v>1495</v>
      </c>
      <c r="T224" t="s">
        <v>1496</v>
      </c>
      <c r="U224">
        <v>7000</v>
      </c>
      <c r="V224" t="s">
        <v>104</v>
      </c>
      <c r="W224">
        <v>1940</v>
      </c>
      <c r="X224" t="s">
        <v>125</v>
      </c>
      <c r="Z224">
        <v>-2.5</v>
      </c>
      <c r="AA224">
        <v>-2.5</v>
      </c>
      <c r="AB224">
        <v>10</v>
      </c>
      <c r="AC224">
        <v>45</v>
      </c>
      <c r="AD224">
        <v>45</v>
      </c>
      <c r="AE224">
        <v>30</v>
      </c>
      <c r="AF224">
        <v>70</v>
      </c>
      <c r="AG224">
        <v>53</v>
      </c>
      <c r="AH224">
        <v>47</v>
      </c>
      <c r="AI224">
        <v>35</v>
      </c>
      <c r="AJ224">
        <v>65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20</v>
      </c>
      <c r="AR224">
        <v>50</v>
      </c>
      <c r="AS224">
        <v>31</v>
      </c>
      <c r="AT224">
        <v>47</v>
      </c>
      <c r="AU224">
        <v>44</v>
      </c>
      <c r="AV224">
        <v>63</v>
      </c>
      <c r="AW224">
        <v>8</v>
      </c>
      <c r="AX224">
        <v>1.6</v>
      </c>
      <c r="AY224">
        <v>11</v>
      </c>
      <c r="AZ224">
        <v>2.2000000000000002</v>
      </c>
      <c r="BA224">
        <v>7</v>
      </c>
      <c r="BB224">
        <v>7</v>
      </c>
      <c r="BC224">
        <v>3</v>
      </c>
      <c r="BD224">
        <v>1</v>
      </c>
      <c r="BE224">
        <v>2</v>
      </c>
      <c r="BF224">
        <v>3</v>
      </c>
      <c r="BG224">
        <v>2</v>
      </c>
      <c r="BH224">
        <v>3</v>
      </c>
      <c r="BI224">
        <v>10</v>
      </c>
      <c r="BJ224">
        <v>11</v>
      </c>
      <c r="BK224">
        <v>8</v>
      </c>
      <c r="BL224">
        <v>12</v>
      </c>
      <c r="BM224">
        <v>1.4</v>
      </c>
      <c r="BN224">
        <v>1.6</v>
      </c>
      <c r="BO224">
        <v>1.1000000000000001</v>
      </c>
      <c r="BP224">
        <v>1.7</v>
      </c>
      <c r="BQ224">
        <v>1</v>
      </c>
      <c r="BR224">
        <v>1</v>
      </c>
      <c r="BS224">
        <v>0</v>
      </c>
      <c r="BT224">
        <v>0</v>
      </c>
      <c r="BU224">
        <v>0</v>
      </c>
      <c r="BV224">
        <v>0</v>
      </c>
      <c r="BW224">
        <v>1</v>
      </c>
      <c r="BX224">
        <v>1</v>
      </c>
      <c r="BY224">
        <v>7</v>
      </c>
      <c r="BZ224">
        <v>1.4</v>
      </c>
      <c r="CA224">
        <v>6</v>
      </c>
      <c r="CB224">
        <v>1.2</v>
      </c>
      <c r="CC224">
        <v>8</v>
      </c>
      <c r="CD224">
        <v>6</v>
      </c>
      <c r="CE224">
        <v>5</v>
      </c>
      <c r="CF224">
        <v>0</v>
      </c>
      <c r="CG224">
        <v>2</v>
      </c>
      <c r="CH224">
        <v>4</v>
      </c>
      <c r="CI224">
        <v>1</v>
      </c>
      <c r="CJ224">
        <v>2</v>
      </c>
      <c r="CK224">
        <v>17</v>
      </c>
      <c r="CL224">
        <v>7</v>
      </c>
      <c r="CM224">
        <v>4</v>
      </c>
      <c r="CN224">
        <v>11</v>
      </c>
      <c r="CO224">
        <v>2.1</v>
      </c>
      <c r="CP224">
        <v>1.2</v>
      </c>
      <c r="CQ224">
        <v>0.5</v>
      </c>
      <c r="CR224">
        <v>1.8</v>
      </c>
      <c r="CS224">
        <v>1</v>
      </c>
      <c r="CT224">
        <v>1</v>
      </c>
      <c r="CU224">
        <v>1</v>
      </c>
      <c r="CV224">
        <v>1</v>
      </c>
      <c r="CW224">
        <v>0</v>
      </c>
      <c r="CX224">
        <v>0</v>
      </c>
      <c r="CY224">
        <v>0</v>
      </c>
      <c r="CZ224">
        <v>0</v>
      </c>
    </row>
    <row r="225" spans="1:104" x14ac:dyDescent="0.25">
      <c r="A225" s="1" t="s">
        <v>1497</v>
      </c>
      <c r="B225">
        <v>3697</v>
      </c>
      <c r="C225">
        <v>6277</v>
      </c>
      <c r="D225" s="2">
        <v>43694</v>
      </c>
      <c r="E225" s="3">
        <f t="shared" si="9"/>
        <v>2019</v>
      </c>
      <c r="F225" s="3">
        <f t="shared" si="10"/>
        <v>8</v>
      </c>
      <c r="G225" s="3">
        <f t="shared" si="11"/>
        <v>7</v>
      </c>
      <c r="H225" t="s">
        <v>1498</v>
      </c>
      <c r="I225">
        <v>903</v>
      </c>
      <c r="J225" t="s">
        <v>456</v>
      </c>
      <c r="K225" t="s">
        <v>457</v>
      </c>
      <c r="L225">
        <v>2019</v>
      </c>
      <c r="M225" t="s">
        <v>209</v>
      </c>
      <c r="Q225" t="s">
        <v>457</v>
      </c>
      <c r="S225" t="s">
        <v>1499</v>
      </c>
      <c r="T225" t="s">
        <v>1500</v>
      </c>
      <c r="U225">
        <v>2000</v>
      </c>
      <c r="V225" t="s">
        <v>457</v>
      </c>
      <c r="X225">
        <v>1</v>
      </c>
      <c r="Y225">
        <v>1.5</v>
      </c>
      <c r="Z225">
        <v>-3.5</v>
      </c>
      <c r="AB225">
        <v>45</v>
      </c>
      <c r="AC225">
        <v>45</v>
      </c>
      <c r="AD225">
        <v>10</v>
      </c>
      <c r="AE225">
        <v>0</v>
      </c>
      <c r="AF225">
        <v>0</v>
      </c>
      <c r="AG225">
        <v>100</v>
      </c>
      <c r="AH225">
        <v>0</v>
      </c>
      <c r="AI225">
        <v>57</v>
      </c>
      <c r="AJ225">
        <v>43</v>
      </c>
      <c r="AK225">
        <v>100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6</v>
      </c>
      <c r="AS225">
        <v>67</v>
      </c>
      <c r="AT225">
        <v>0</v>
      </c>
      <c r="AU225">
        <v>0</v>
      </c>
      <c r="AV225">
        <v>56</v>
      </c>
      <c r="AW225">
        <v>1</v>
      </c>
      <c r="AX225">
        <v>0.5</v>
      </c>
      <c r="AY225">
        <v>6</v>
      </c>
      <c r="AZ225">
        <v>3</v>
      </c>
      <c r="BA225">
        <v>1</v>
      </c>
      <c r="BB225">
        <v>1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1</v>
      </c>
      <c r="BJ225">
        <v>0</v>
      </c>
      <c r="BK225">
        <v>3</v>
      </c>
      <c r="BL225">
        <v>3</v>
      </c>
      <c r="BM225">
        <v>1</v>
      </c>
      <c r="BN225">
        <v>0</v>
      </c>
      <c r="BO225">
        <v>3</v>
      </c>
      <c r="BP225">
        <v>3</v>
      </c>
      <c r="BQ225">
        <v>1</v>
      </c>
      <c r="BR225">
        <v>1</v>
      </c>
      <c r="BS225">
        <v>0</v>
      </c>
      <c r="BT225">
        <v>0</v>
      </c>
      <c r="BU225">
        <v>1</v>
      </c>
      <c r="BV225">
        <v>0</v>
      </c>
      <c r="BW225">
        <v>0</v>
      </c>
      <c r="BX225">
        <v>1</v>
      </c>
      <c r="BY225">
        <v>0</v>
      </c>
      <c r="BZ225">
        <v>0</v>
      </c>
      <c r="CA225">
        <v>8</v>
      </c>
      <c r="CB225">
        <v>4</v>
      </c>
      <c r="CC225">
        <v>1</v>
      </c>
      <c r="CD225">
        <v>1</v>
      </c>
      <c r="CE225">
        <v>0</v>
      </c>
      <c r="CF225">
        <v>0</v>
      </c>
      <c r="CG225">
        <v>0</v>
      </c>
      <c r="CH225">
        <v>0</v>
      </c>
      <c r="CI225">
        <v>1</v>
      </c>
      <c r="CJ225">
        <v>1</v>
      </c>
      <c r="CK225">
        <v>0</v>
      </c>
      <c r="CL225">
        <v>0</v>
      </c>
      <c r="CM225">
        <v>1</v>
      </c>
      <c r="CN225">
        <v>7</v>
      </c>
      <c r="CO225">
        <v>0</v>
      </c>
      <c r="CP225">
        <v>0</v>
      </c>
      <c r="CQ225">
        <v>1</v>
      </c>
      <c r="CR225">
        <v>7</v>
      </c>
      <c r="CS225">
        <v>1</v>
      </c>
      <c r="CT225">
        <v>1</v>
      </c>
      <c r="CU225">
        <v>1</v>
      </c>
      <c r="CV225">
        <v>0</v>
      </c>
      <c r="CW225">
        <v>0</v>
      </c>
      <c r="CX225">
        <v>1</v>
      </c>
      <c r="CY225">
        <v>0</v>
      </c>
      <c r="CZ225">
        <v>0</v>
      </c>
    </row>
    <row r="226" spans="1:104" x14ac:dyDescent="0.25">
      <c r="A226" s="1" t="s">
        <v>1501</v>
      </c>
      <c r="B226">
        <v>854</v>
      </c>
      <c r="C226">
        <v>851</v>
      </c>
      <c r="D226" s="2">
        <v>44052</v>
      </c>
      <c r="E226" s="3">
        <f t="shared" si="9"/>
        <v>2020</v>
      </c>
      <c r="F226" s="3">
        <f t="shared" si="10"/>
        <v>8</v>
      </c>
      <c r="G226" s="3">
        <f t="shared" si="11"/>
        <v>1</v>
      </c>
      <c r="H226" t="s">
        <v>1502</v>
      </c>
      <c r="I226">
        <v>2666</v>
      </c>
      <c r="J226" t="s">
        <v>1503</v>
      </c>
      <c r="K226" t="s">
        <v>172</v>
      </c>
      <c r="L226">
        <v>2020</v>
      </c>
      <c r="M226" t="s">
        <v>1170</v>
      </c>
      <c r="N226" t="s">
        <v>1502</v>
      </c>
      <c r="O226" t="s">
        <v>1504</v>
      </c>
      <c r="P226">
        <v>15992</v>
      </c>
      <c r="Q226" t="s">
        <v>172</v>
      </c>
      <c r="R226">
        <v>1913</v>
      </c>
      <c r="S226" t="s">
        <v>1505</v>
      </c>
      <c r="T226" t="s">
        <v>1506</v>
      </c>
      <c r="U226">
        <v>12500</v>
      </c>
      <c r="V226" t="s">
        <v>172</v>
      </c>
      <c r="W226">
        <v>1945</v>
      </c>
      <c r="X226" t="s">
        <v>109</v>
      </c>
      <c r="AB226">
        <v>45</v>
      </c>
      <c r="AC226">
        <v>45</v>
      </c>
      <c r="AD226">
        <v>10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64</v>
      </c>
      <c r="AN226">
        <v>36</v>
      </c>
      <c r="AO226">
        <v>56</v>
      </c>
      <c r="AP226">
        <v>44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3</v>
      </c>
      <c r="BR226">
        <v>2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2</v>
      </c>
      <c r="CT226">
        <v>3</v>
      </c>
      <c r="CU226">
        <v>0</v>
      </c>
      <c r="CV226">
        <v>1</v>
      </c>
      <c r="CW226">
        <v>1</v>
      </c>
      <c r="CX226">
        <v>1</v>
      </c>
      <c r="CY226">
        <v>1</v>
      </c>
      <c r="CZ226">
        <v>1</v>
      </c>
    </row>
    <row r="227" spans="1:104" x14ac:dyDescent="0.25">
      <c r="A227" s="1" t="s">
        <v>1507</v>
      </c>
      <c r="B227">
        <v>10537</v>
      </c>
      <c r="C227">
        <v>10536</v>
      </c>
      <c r="D227" s="2">
        <v>43750</v>
      </c>
      <c r="E227" s="3">
        <f t="shared" si="9"/>
        <v>2019</v>
      </c>
      <c r="F227" s="3">
        <f t="shared" si="10"/>
        <v>10</v>
      </c>
      <c r="G227" s="3">
        <f t="shared" si="11"/>
        <v>7</v>
      </c>
      <c r="H227" t="s">
        <v>1508</v>
      </c>
      <c r="I227">
        <v>1455</v>
      </c>
      <c r="J227" t="s">
        <v>1207</v>
      </c>
      <c r="K227" t="s">
        <v>1187</v>
      </c>
      <c r="L227">
        <v>2019</v>
      </c>
      <c r="M227" t="s">
        <v>780</v>
      </c>
      <c r="N227" t="s">
        <v>1508</v>
      </c>
      <c r="O227" t="s">
        <v>1509</v>
      </c>
      <c r="P227">
        <v>6000</v>
      </c>
      <c r="Q227" t="s">
        <v>1187</v>
      </c>
      <c r="R227">
        <v>1922</v>
      </c>
      <c r="S227" t="s">
        <v>1510</v>
      </c>
      <c r="T227" t="s">
        <v>1511</v>
      </c>
      <c r="U227">
        <v>5113</v>
      </c>
      <c r="V227" t="s">
        <v>1187</v>
      </c>
      <c r="W227">
        <v>1934</v>
      </c>
      <c r="X227" t="s">
        <v>109</v>
      </c>
      <c r="Z227">
        <v>-2.5</v>
      </c>
      <c r="AA227">
        <v>-2.5</v>
      </c>
      <c r="AB227">
        <v>35</v>
      </c>
      <c r="AC227">
        <v>35</v>
      </c>
      <c r="AD227">
        <v>30</v>
      </c>
      <c r="AE227">
        <v>60</v>
      </c>
      <c r="AF227">
        <v>40</v>
      </c>
      <c r="AG227">
        <v>29</v>
      </c>
      <c r="AH227">
        <v>71</v>
      </c>
      <c r="AI227">
        <v>58</v>
      </c>
      <c r="AJ227">
        <v>42</v>
      </c>
      <c r="AK227">
        <v>64</v>
      </c>
      <c r="AL227">
        <v>36</v>
      </c>
      <c r="AM227">
        <v>38</v>
      </c>
      <c r="AN227">
        <v>62</v>
      </c>
      <c r="AO227">
        <v>47</v>
      </c>
      <c r="AP227">
        <v>53</v>
      </c>
      <c r="AQ227">
        <v>40</v>
      </c>
      <c r="AR227">
        <v>36</v>
      </c>
      <c r="AS227">
        <v>27</v>
      </c>
      <c r="AT227">
        <v>27</v>
      </c>
      <c r="AU227">
        <v>91</v>
      </c>
      <c r="AV227">
        <v>0</v>
      </c>
      <c r="AW227">
        <v>4</v>
      </c>
      <c r="AX227">
        <v>0.8</v>
      </c>
      <c r="AY227">
        <v>8</v>
      </c>
      <c r="AZ227">
        <v>1.6</v>
      </c>
      <c r="BA227">
        <v>6</v>
      </c>
      <c r="BB227">
        <v>6</v>
      </c>
      <c r="BC227">
        <v>3</v>
      </c>
      <c r="BD227">
        <v>1</v>
      </c>
      <c r="BE227">
        <v>1</v>
      </c>
      <c r="BF227">
        <v>1</v>
      </c>
      <c r="BG227">
        <v>2</v>
      </c>
      <c r="BH227">
        <v>4</v>
      </c>
      <c r="BI227">
        <v>8</v>
      </c>
      <c r="BJ227">
        <v>5</v>
      </c>
      <c r="BK227">
        <v>5</v>
      </c>
      <c r="BL227">
        <v>12</v>
      </c>
      <c r="BM227">
        <v>1.3</v>
      </c>
      <c r="BN227">
        <v>0.8</v>
      </c>
      <c r="BO227">
        <v>0.8</v>
      </c>
      <c r="BP227">
        <v>2</v>
      </c>
      <c r="BQ227">
        <v>5</v>
      </c>
      <c r="BR227">
        <v>3</v>
      </c>
      <c r="BS227">
        <v>2</v>
      </c>
      <c r="BT227">
        <v>0</v>
      </c>
      <c r="BU227">
        <v>2</v>
      </c>
      <c r="BV227">
        <v>0</v>
      </c>
      <c r="BW227">
        <v>1</v>
      </c>
      <c r="BX227">
        <v>3</v>
      </c>
      <c r="BY227">
        <v>10</v>
      </c>
      <c r="BZ227">
        <v>2</v>
      </c>
      <c r="CA227">
        <v>11</v>
      </c>
      <c r="CB227">
        <v>2.2000000000000002</v>
      </c>
      <c r="CC227">
        <v>7</v>
      </c>
      <c r="CD227">
        <v>5</v>
      </c>
      <c r="CE227">
        <v>3</v>
      </c>
      <c r="CF227">
        <v>1</v>
      </c>
      <c r="CG227">
        <v>1</v>
      </c>
      <c r="CH227">
        <v>1</v>
      </c>
      <c r="CI227">
        <v>3</v>
      </c>
      <c r="CJ227">
        <v>3</v>
      </c>
      <c r="CK227">
        <v>9</v>
      </c>
      <c r="CL227">
        <v>7</v>
      </c>
      <c r="CM227">
        <v>9</v>
      </c>
      <c r="CN227">
        <v>12</v>
      </c>
      <c r="CO227">
        <v>1.3</v>
      </c>
      <c r="CP227">
        <v>1.4</v>
      </c>
      <c r="CQ227">
        <v>1.3</v>
      </c>
      <c r="CR227">
        <v>2.4</v>
      </c>
      <c r="CS227">
        <v>3</v>
      </c>
      <c r="CT227">
        <v>5</v>
      </c>
      <c r="CU227">
        <v>3</v>
      </c>
      <c r="CV227">
        <v>1</v>
      </c>
      <c r="CW227">
        <v>0</v>
      </c>
      <c r="CX227">
        <v>2</v>
      </c>
      <c r="CY227">
        <v>0</v>
      </c>
      <c r="CZ227">
        <v>2</v>
      </c>
    </row>
    <row r="228" spans="1:104" x14ac:dyDescent="0.25">
      <c r="A228" s="1" t="s">
        <v>1512</v>
      </c>
      <c r="B228">
        <v>5261</v>
      </c>
      <c r="C228">
        <v>714</v>
      </c>
      <c r="D228" s="2">
        <v>43723</v>
      </c>
      <c r="E228" s="3">
        <f t="shared" si="9"/>
        <v>2019</v>
      </c>
      <c r="F228" s="3">
        <f t="shared" si="10"/>
        <v>9</v>
      </c>
      <c r="G228" s="3">
        <f t="shared" si="11"/>
        <v>1</v>
      </c>
      <c r="H228" t="s">
        <v>1513</v>
      </c>
      <c r="I228">
        <v>1267</v>
      </c>
      <c r="J228" t="s">
        <v>1514</v>
      </c>
      <c r="K228" t="s">
        <v>380</v>
      </c>
      <c r="L228">
        <v>2019</v>
      </c>
      <c r="M228" t="s">
        <v>1515</v>
      </c>
      <c r="N228" t="s">
        <v>1516</v>
      </c>
      <c r="O228" t="s">
        <v>1517</v>
      </c>
      <c r="P228">
        <v>1200</v>
      </c>
      <c r="Q228" t="s">
        <v>380</v>
      </c>
      <c r="R228">
        <v>1961</v>
      </c>
      <c r="S228" t="s">
        <v>1518</v>
      </c>
      <c r="T228" t="s">
        <v>1519</v>
      </c>
      <c r="U228">
        <v>16600</v>
      </c>
      <c r="V228" t="s">
        <v>380</v>
      </c>
      <c r="W228">
        <v>1914</v>
      </c>
      <c r="X228" t="s">
        <v>109</v>
      </c>
      <c r="Z228">
        <v>-1.5</v>
      </c>
      <c r="AA228">
        <v>-1.5</v>
      </c>
      <c r="AB228">
        <v>45</v>
      </c>
      <c r="AC228">
        <v>45</v>
      </c>
      <c r="AD228">
        <v>10</v>
      </c>
      <c r="AE228">
        <v>80</v>
      </c>
      <c r="AF228">
        <v>20</v>
      </c>
      <c r="AG228">
        <v>25</v>
      </c>
      <c r="AH228">
        <v>75</v>
      </c>
      <c r="AI228">
        <v>89</v>
      </c>
      <c r="AJ228">
        <v>11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44</v>
      </c>
      <c r="AR228">
        <v>8</v>
      </c>
      <c r="AS228">
        <v>92</v>
      </c>
      <c r="AT228">
        <v>11</v>
      </c>
      <c r="AU228">
        <v>25</v>
      </c>
      <c r="AV228">
        <v>33</v>
      </c>
      <c r="AW228">
        <v>1</v>
      </c>
      <c r="AX228">
        <v>0.3</v>
      </c>
      <c r="AY228">
        <v>1</v>
      </c>
      <c r="AZ228">
        <v>0.3</v>
      </c>
      <c r="BA228">
        <v>1</v>
      </c>
      <c r="BB228">
        <v>2</v>
      </c>
      <c r="BC228">
        <v>0</v>
      </c>
      <c r="BD228">
        <v>1</v>
      </c>
      <c r="BE228">
        <v>1</v>
      </c>
      <c r="BF228">
        <v>0</v>
      </c>
      <c r="BG228">
        <v>0</v>
      </c>
      <c r="BH228">
        <v>1</v>
      </c>
      <c r="BI228">
        <v>0</v>
      </c>
      <c r="BJ228">
        <v>1</v>
      </c>
      <c r="BK228">
        <v>0</v>
      </c>
      <c r="BL228">
        <v>1</v>
      </c>
      <c r="BM228">
        <v>0</v>
      </c>
      <c r="BN228">
        <v>0.5</v>
      </c>
      <c r="BO228">
        <v>0</v>
      </c>
      <c r="BP228">
        <v>0.5</v>
      </c>
      <c r="BQ228">
        <v>1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1</v>
      </c>
      <c r="BY228">
        <v>3</v>
      </c>
      <c r="BZ228">
        <v>1</v>
      </c>
      <c r="CA228">
        <v>8</v>
      </c>
      <c r="CB228">
        <v>2.7</v>
      </c>
      <c r="CC228">
        <v>2</v>
      </c>
      <c r="CD228">
        <v>1</v>
      </c>
      <c r="CE228">
        <v>0</v>
      </c>
      <c r="CF228">
        <v>0</v>
      </c>
      <c r="CG228">
        <v>0</v>
      </c>
      <c r="CH228">
        <v>1</v>
      </c>
      <c r="CI228">
        <v>2</v>
      </c>
      <c r="CJ228">
        <v>0</v>
      </c>
      <c r="CK228">
        <v>1</v>
      </c>
      <c r="CL228">
        <v>2</v>
      </c>
      <c r="CM228">
        <v>6</v>
      </c>
      <c r="CN228">
        <v>2</v>
      </c>
      <c r="CO228">
        <v>0.5</v>
      </c>
      <c r="CP228">
        <v>2</v>
      </c>
      <c r="CQ228">
        <v>3</v>
      </c>
      <c r="CR228">
        <v>2</v>
      </c>
      <c r="CS228">
        <v>1</v>
      </c>
      <c r="CT228">
        <v>1</v>
      </c>
      <c r="CU228">
        <v>1</v>
      </c>
      <c r="CV228">
        <v>1</v>
      </c>
      <c r="CW228">
        <v>0</v>
      </c>
      <c r="CX228">
        <v>0</v>
      </c>
      <c r="CY228">
        <v>0</v>
      </c>
      <c r="CZ228">
        <v>0</v>
      </c>
    </row>
    <row r="229" spans="1:104" x14ac:dyDescent="0.25">
      <c r="A229" s="1" t="s">
        <v>1520</v>
      </c>
      <c r="B229">
        <v>4302</v>
      </c>
      <c r="C229">
        <v>10135</v>
      </c>
      <c r="D229" s="2">
        <v>43758</v>
      </c>
      <c r="E229" s="3">
        <f t="shared" si="9"/>
        <v>2019</v>
      </c>
      <c r="F229" s="3">
        <f t="shared" si="10"/>
        <v>10</v>
      </c>
      <c r="G229" s="3">
        <f t="shared" si="11"/>
        <v>1</v>
      </c>
      <c r="H229" t="s">
        <v>1521</v>
      </c>
      <c r="I229">
        <v>875</v>
      </c>
      <c r="J229" t="s">
        <v>344</v>
      </c>
      <c r="K229" t="s">
        <v>1358</v>
      </c>
      <c r="L229">
        <v>2019</v>
      </c>
      <c r="M229" t="s">
        <v>1522</v>
      </c>
      <c r="N229" t="s">
        <v>1523</v>
      </c>
      <c r="O229" t="s">
        <v>800</v>
      </c>
      <c r="P229">
        <v>15000</v>
      </c>
      <c r="Q229" t="s">
        <v>1358</v>
      </c>
      <c r="R229">
        <v>1947</v>
      </c>
      <c r="S229" t="s">
        <v>1357</v>
      </c>
      <c r="T229" t="s">
        <v>1360</v>
      </c>
      <c r="U229">
        <v>8000</v>
      </c>
      <c r="V229" t="s">
        <v>1358</v>
      </c>
      <c r="X229" t="s">
        <v>109</v>
      </c>
      <c r="Z229">
        <v>-2.5</v>
      </c>
      <c r="AA229">
        <v>-2.5</v>
      </c>
      <c r="AB229">
        <v>45</v>
      </c>
      <c r="AC229">
        <v>45</v>
      </c>
      <c r="AD229">
        <v>10</v>
      </c>
      <c r="AE229">
        <v>78</v>
      </c>
      <c r="AF229">
        <v>22</v>
      </c>
      <c r="AG229">
        <v>62</v>
      </c>
      <c r="AH229">
        <v>38</v>
      </c>
      <c r="AI229">
        <v>50</v>
      </c>
      <c r="AJ229">
        <v>50</v>
      </c>
      <c r="AK229">
        <v>56</v>
      </c>
      <c r="AL229">
        <v>44</v>
      </c>
      <c r="AM229">
        <v>50</v>
      </c>
      <c r="AN229">
        <v>50</v>
      </c>
      <c r="AO229">
        <v>50</v>
      </c>
      <c r="AP229">
        <v>50</v>
      </c>
      <c r="AQ229">
        <v>47</v>
      </c>
      <c r="AR229">
        <v>57</v>
      </c>
      <c r="AS229">
        <v>36</v>
      </c>
      <c r="AT229">
        <v>13</v>
      </c>
      <c r="AU229">
        <v>36</v>
      </c>
      <c r="AV229">
        <v>36</v>
      </c>
      <c r="AW229">
        <v>8</v>
      </c>
      <c r="AX229">
        <v>1.6</v>
      </c>
      <c r="AY229">
        <v>9</v>
      </c>
      <c r="AZ229">
        <v>1.8</v>
      </c>
      <c r="BA229">
        <v>6</v>
      </c>
      <c r="BB229">
        <v>7</v>
      </c>
      <c r="BC229">
        <v>2</v>
      </c>
      <c r="BD229">
        <v>2</v>
      </c>
      <c r="BE229">
        <v>2</v>
      </c>
      <c r="BF229">
        <v>4</v>
      </c>
      <c r="BG229">
        <v>2</v>
      </c>
      <c r="BH229">
        <v>1</v>
      </c>
      <c r="BI229">
        <v>10</v>
      </c>
      <c r="BJ229">
        <v>10</v>
      </c>
      <c r="BK229">
        <v>8</v>
      </c>
      <c r="BL229">
        <v>10</v>
      </c>
      <c r="BM229">
        <v>1.7</v>
      </c>
      <c r="BN229">
        <v>1.4</v>
      </c>
      <c r="BO229">
        <v>1.3</v>
      </c>
      <c r="BP229">
        <v>1.4</v>
      </c>
      <c r="BQ229">
        <v>2</v>
      </c>
      <c r="BR229">
        <v>1</v>
      </c>
      <c r="BS229">
        <v>2</v>
      </c>
      <c r="BT229">
        <v>0</v>
      </c>
      <c r="BU229">
        <v>0</v>
      </c>
      <c r="BV229">
        <v>1</v>
      </c>
      <c r="BW229">
        <v>0</v>
      </c>
      <c r="BX229">
        <v>0</v>
      </c>
      <c r="BY229">
        <v>5</v>
      </c>
      <c r="BZ229">
        <v>1</v>
      </c>
      <c r="CA229">
        <v>9</v>
      </c>
      <c r="CB229">
        <v>1.8</v>
      </c>
      <c r="CC229">
        <v>7</v>
      </c>
      <c r="CD229">
        <v>6</v>
      </c>
      <c r="CE229">
        <v>0</v>
      </c>
      <c r="CF229">
        <v>2</v>
      </c>
      <c r="CG229">
        <v>3</v>
      </c>
      <c r="CH229">
        <v>2</v>
      </c>
      <c r="CI229">
        <v>4</v>
      </c>
      <c r="CJ229">
        <v>2</v>
      </c>
      <c r="CK229">
        <v>4</v>
      </c>
      <c r="CL229">
        <v>7</v>
      </c>
      <c r="CM229">
        <v>12</v>
      </c>
      <c r="CN229">
        <v>8</v>
      </c>
      <c r="CO229">
        <v>0.6</v>
      </c>
      <c r="CP229">
        <v>1.2</v>
      </c>
      <c r="CQ229">
        <v>1.7</v>
      </c>
      <c r="CR229">
        <v>1.3</v>
      </c>
      <c r="CS229">
        <v>1</v>
      </c>
      <c r="CT229">
        <v>2</v>
      </c>
      <c r="CU229">
        <v>0</v>
      </c>
      <c r="CV229">
        <v>0</v>
      </c>
      <c r="CW229">
        <v>1</v>
      </c>
      <c r="CX229">
        <v>0</v>
      </c>
      <c r="CY229">
        <v>0</v>
      </c>
      <c r="CZ229">
        <v>2</v>
      </c>
    </row>
    <row r="230" spans="1:104" x14ac:dyDescent="0.25">
      <c r="A230" s="1" t="s">
        <v>1524</v>
      </c>
      <c r="B230">
        <v>7723</v>
      </c>
      <c r="C230">
        <v>7711</v>
      </c>
      <c r="D230" s="2">
        <v>43760</v>
      </c>
      <c r="E230" s="3">
        <f t="shared" si="9"/>
        <v>2019</v>
      </c>
      <c r="F230" s="3">
        <f t="shared" si="10"/>
        <v>10</v>
      </c>
      <c r="G230" s="3">
        <f t="shared" si="11"/>
        <v>3</v>
      </c>
      <c r="H230" t="s">
        <v>1525</v>
      </c>
      <c r="I230">
        <v>1176</v>
      </c>
      <c r="J230" t="s">
        <v>1526</v>
      </c>
      <c r="K230" t="s">
        <v>241</v>
      </c>
      <c r="L230">
        <v>2019</v>
      </c>
      <c r="M230" t="s">
        <v>1527</v>
      </c>
      <c r="N230" t="s">
        <v>1528</v>
      </c>
      <c r="O230" t="s">
        <v>1529</v>
      </c>
      <c r="P230">
        <v>1300</v>
      </c>
      <c r="Q230" t="s">
        <v>241</v>
      </c>
      <c r="S230" t="s">
        <v>1530</v>
      </c>
      <c r="T230" t="s">
        <v>1125</v>
      </c>
      <c r="U230">
        <v>5000</v>
      </c>
      <c r="V230" t="s">
        <v>241</v>
      </c>
      <c r="W230">
        <v>1860</v>
      </c>
      <c r="X230" t="s">
        <v>125</v>
      </c>
      <c r="Z230">
        <v>-2.5</v>
      </c>
      <c r="AA230">
        <v>-2.5</v>
      </c>
      <c r="AB230">
        <v>10</v>
      </c>
      <c r="AC230">
        <v>45</v>
      </c>
      <c r="AD230">
        <v>45</v>
      </c>
      <c r="AE230">
        <v>50</v>
      </c>
      <c r="AF230">
        <v>50</v>
      </c>
      <c r="AG230">
        <v>43</v>
      </c>
      <c r="AH230">
        <v>57</v>
      </c>
      <c r="AI230">
        <v>67</v>
      </c>
      <c r="AJ230">
        <v>33</v>
      </c>
      <c r="AK230">
        <v>47</v>
      </c>
      <c r="AL230">
        <v>53</v>
      </c>
      <c r="AM230">
        <v>0</v>
      </c>
      <c r="AN230">
        <v>100</v>
      </c>
      <c r="AO230">
        <v>0</v>
      </c>
      <c r="AP230">
        <v>100</v>
      </c>
      <c r="AQ230">
        <v>67</v>
      </c>
      <c r="AR230">
        <v>50</v>
      </c>
      <c r="AS230">
        <v>72</v>
      </c>
      <c r="AT230">
        <v>67</v>
      </c>
      <c r="AU230">
        <v>67</v>
      </c>
      <c r="AV230">
        <v>44</v>
      </c>
      <c r="AW230">
        <v>9</v>
      </c>
      <c r="AX230">
        <v>1.8</v>
      </c>
      <c r="AY230">
        <v>5</v>
      </c>
      <c r="AZ230">
        <v>1</v>
      </c>
      <c r="BA230">
        <v>6</v>
      </c>
      <c r="BB230">
        <v>7</v>
      </c>
      <c r="BC230">
        <v>3</v>
      </c>
      <c r="BD230">
        <v>5</v>
      </c>
      <c r="BE230">
        <v>2</v>
      </c>
      <c r="BF230">
        <v>1</v>
      </c>
      <c r="BG230">
        <v>1</v>
      </c>
      <c r="BH230">
        <v>1</v>
      </c>
      <c r="BI230">
        <v>10</v>
      </c>
      <c r="BJ230">
        <v>14</v>
      </c>
      <c r="BK230">
        <v>5</v>
      </c>
      <c r="BL230">
        <v>5</v>
      </c>
      <c r="BM230">
        <v>1.7</v>
      </c>
      <c r="BN230">
        <v>2</v>
      </c>
      <c r="BO230">
        <v>0.8</v>
      </c>
      <c r="BP230">
        <v>0.7</v>
      </c>
      <c r="BQ230">
        <v>1</v>
      </c>
      <c r="BR230">
        <v>2</v>
      </c>
      <c r="BS230">
        <v>0</v>
      </c>
      <c r="BT230">
        <v>0</v>
      </c>
      <c r="BU230">
        <v>1</v>
      </c>
      <c r="BV230">
        <v>0</v>
      </c>
      <c r="BW230">
        <v>0</v>
      </c>
      <c r="BX230">
        <v>2</v>
      </c>
      <c r="BY230">
        <v>12</v>
      </c>
      <c r="BZ230">
        <v>2.4</v>
      </c>
      <c r="CA230">
        <v>10</v>
      </c>
      <c r="CB230">
        <v>2</v>
      </c>
      <c r="CC230">
        <v>7</v>
      </c>
      <c r="CD230">
        <v>5</v>
      </c>
      <c r="CE230">
        <v>2</v>
      </c>
      <c r="CF230">
        <v>3</v>
      </c>
      <c r="CG230">
        <v>3</v>
      </c>
      <c r="CH230">
        <v>2</v>
      </c>
      <c r="CI230">
        <v>2</v>
      </c>
      <c r="CJ230">
        <v>0</v>
      </c>
      <c r="CK230">
        <v>13</v>
      </c>
      <c r="CL230">
        <v>11</v>
      </c>
      <c r="CM230">
        <v>13</v>
      </c>
      <c r="CN230">
        <v>5</v>
      </c>
      <c r="CO230">
        <v>1.9</v>
      </c>
      <c r="CP230">
        <v>2.2000000000000002</v>
      </c>
      <c r="CQ230">
        <v>1.9</v>
      </c>
      <c r="CR230">
        <v>1</v>
      </c>
      <c r="CS230">
        <v>2</v>
      </c>
      <c r="CT230">
        <v>1</v>
      </c>
      <c r="CU230">
        <v>2</v>
      </c>
      <c r="CV230">
        <v>0</v>
      </c>
      <c r="CW230">
        <v>0</v>
      </c>
      <c r="CX230">
        <v>1</v>
      </c>
      <c r="CY230">
        <v>0</v>
      </c>
      <c r="CZ230">
        <v>0</v>
      </c>
    </row>
    <row r="231" spans="1:104" x14ac:dyDescent="0.25">
      <c r="A231" s="1" t="s">
        <v>1531</v>
      </c>
      <c r="B231">
        <v>7704</v>
      </c>
      <c r="C231">
        <v>7728</v>
      </c>
      <c r="D231" s="2">
        <v>43736</v>
      </c>
      <c r="E231" s="3">
        <f t="shared" si="9"/>
        <v>2019</v>
      </c>
      <c r="F231" s="3">
        <f t="shared" si="10"/>
        <v>9</v>
      </c>
      <c r="G231" s="3">
        <f t="shared" si="11"/>
        <v>7</v>
      </c>
      <c r="H231" t="s">
        <v>1532</v>
      </c>
      <c r="I231">
        <v>1176</v>
      </c>
      <c r="J231" t="s">
        <v>1526</v>
      </c>
      <c r="K231" t="s">
        <v>241</v>
      </c>
      <c r="L231">
        <v>2019</v>
      </c>
      <c r="M231" t="s">
        <v>1533</v>
      </c>
      <c r="N231" t="s">
        <v>1534</v>
      </c>
      <c r="O231" t="s">
        <v>1535</v>
      </c>
      <c r="P231">
        <v>1000</v>
      </c>
      <c r="Q231" t="s">
        <v>241</v>
      </c>
      <c r="R231">
        <v>2005</v>
      </c>
      <c r="S231" t="s">
        <v>1536</v>
      </c>
      <c r="T231" t="s">
        <v>1537</v>
      </c>
      <c r="U231">
        <v>3000</v>
      </c>
      <c r="V231" t="s">
        <v>241</v>
      </c>
      <c r="W231">
        <v>1885</v>
      </c>
      <c r="X231" t="s">
        <v>109</v>
      </c>
      <c r="Z231">
        <v>-1.5</v>
      </c>
      <c r="AA231">
        <v>-2.5</v>
      </c>
      <c r="AB231">
        <v>35</v>
      </c>
      <c r="AC231">
        <v>35</v>
      </c>
      <c r="AD231">
        <v>30</v>
      </c>
      <c r="AE231">
        <v>60</v>
      </c>
      <c r="AF231">
        <v>40</v>
      </c>
      <c r="AG231">
        <v>36</v>
      </c>
      <c r="AH231">
        <v>64</v>
      </c>
      <c r="AI231">
        <v>48</v>
      </c>
      <c r="AJ231">
        <v>52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40</v>
      </c>
      <c r="AR231">
        <v>21</v>
      </c>
      <c r="AS231">
        <v>42</v>
      </c>
      <c r="AT231">
        <v>27</v>
      </c>
      <c r="AU231">
        <v>37</v>
      </c>
      <c r="AV231">
        <v>47</v>
      </c>
      <c r="AW231">
        <v>4</v>
      </c>
      <c r="AX231">
        <v>0.8</v>
      </c>
      <c r="AY231">
        <v>11</v>
      </c>
      <c r="AZ231">
        <v>2.2000000000000002</v>
      </c>
      <c r="BA231">
        <v>4</v>
      </c>
      <c r="BB231">
        <v>4</v>
      </c>
      <c r="BC231">
        <v>1</v>
      </c>
      <c r="BD231">
        <v>1</v>
      </c>
      <c r="BE231">
        <v>1</v>
      </c>
      <c r="BF231">
        <v>1</v>
      </c>
      <c r="BG231">
        <v>2</v>
      </c>
      <c r="BH231">
        <v>2</v>
      </c>
      <c r="BI231">
        <v>3</v>
      </c>
      <c r="BJ231">
        <v>3</v>
      </c>
      <c r="BK231">
        <v>8</v>
      </c>
      <c r="BL231">
        <v>7</v>
      </c>
      <c r="BM231">
        <v>0.8</v>
      </c>
      <c r="BN231">
        <v>0.8</v>
      </c>
      <c r="BO231">
        <v>2</v>
      </c>
      <c r="BP231">
        <v>1.8</v>
      </c>
      <c r="BQ231">
        <v>1</v>
      </c>
      <c r="BR231">
        <v>1</v>
      </c>
      <c r="BS231">
        <v>0</v>
      </c>
      <c r="BT231">
        <v>1</v>
      </c>
      <c r="BU231">
        <v>0</v>
      </c>
      <c r="BV231">
        <v>0</v>
      </c>
      <c r="BW231">
        <v>1</v>
      </c>
      <c r="BX231">
        <v>0</v>
      </c>
      <c r="BY231">
        <v>7</v>
      </c>
      <c r="BZ231">
        <v>1.4</v>
      </c>
      <c r="CA231">
        <v>10</v>
      </c>
      <c r="CB231">
        <v>2</v>
      </c>
      <c r="CC231">
        <v>4</v>
      </c>
      <c r="CD231">
        <v>3</v>
      </c>
      <c r="CE231">
        <v>0</v>
      </c>
      <c r="CF231">
        <v>1</v>
      </c>
      <c r="CG231">
        <v>2</v>
      </c>
      <c r="CH231">
        <v>0</v>
      </c>
      <c r="CI231">
        <v>2</v>
      </c>
      <c r="CJ231">
        <v>2</v>
      </c>
      <c r="CK231">
        <v>4</v>
      </c>
      <c r="CL231">
        <v>5</v>
      </c>
      <c r="CM231">
        <v>8</v>
      </c>
      <c r="CN231">
        <v>6</v>
      </c>
      <c r="CO231">
        <v>1</v>
      </c>
      <c r="CP231">
        <v>1.7</v>
      </c>
      <c r="CQ231">
        <v>2</v>
      </c>
      <c r="CR231">
        <v>2</v>
      </c>
      <c r="CS231">
        <v>1</v>
      </c>
      <c r="CT231">
        <v>1</v>
      </c>
      <c r="CU231">
        <v>0</v>
      </c>
      <c r="CV231">
        <v>1</v>
      </c>
      <c r="CW231">
        <v>0</v>
      </c>
      <c r="CX231">
        <v>0</v>
      </c>
      <c r="CY231">
        <v>1</v>
      </c>
      <c r="CZ231">
        <v>0</v>
      </c>
    </row>
    <row r="232" spans="1:104" x14ac:dyDescent="0.25">
      <c r="A232" s="1" t="s">
        <v>1538</v>
      </c>
      <c r="B232">
        <v>2213</v>
      </c>
      <c r="C232">
        <v>155</v>
      </c>
      <c r="D232" s="2">
        <v>44044</v>
      </c>
      <c r="E232" s="3">
        <f t="shared" si="9"/>
        <v>2020</v>
      </c>
      <c r="F232" s="3">
        <f t="shared" si="10"/>
        <v>8</v>
      </c>
      <c r="G232" s="3">
        <f t="shared" si="11"/>
        <v>7</v>
      </c>
      <c r="H232" t="s">
        <v>1539</v>
      </c>
      <c r="I232">
        <v>2253</v>
      </c>
      <c r="J232" t="s">
        <v>1540</v>
      </c>
      <c r="K232" t="s">
        <v>264</v>
      </c>
      <c r="L232">
        <v>2020</v>
      </c>
      <c r="M232" t="s">
        <v>306</v>
      </c>
      <c r="N232" t="s">
        <v>1539</v>
      </c>
      <c r="O232" t="s">
        <v>1541</v>
      </c>
      <c r="P232">
        <v>12000</v>
      </c>
      <c r="Q232" t="s">
        <v>264</v>
      </c>
      <c r="R232">
        <v>1962</v>
      </c>
      <c r="S232" t="s">
        <v>1542</v>
      </c>
      <c r="T232" t="s">
        <v>1543</v>
      </c>
      <c r="U232">
        <v>75263</v>
      </c>
      <c r="V232" t="s">
        <v>264</v>
      </c>
      <c r="W232">
        <v>1923</v>
      </c>
      <c r="X232" t="s">
        <v>109</v>
      </c>
      <c r="Z232">
        <v>-1.5</v>
      </c>
      <c r="AA232">
        <v>-3.5</v>
      </c>
      <c r="AB232">
        <v>45</v>
      </c>
      <c r="AC232">
        <v>45</v>
      </c>
      <c r="AD232">
        <v>10</v>
      </c>
      <c r="AE232">
        <v>47</v>
      </c>
      <c r="AF232">
        <v>53</v>
      </c>
      <c r="AG232">
        <v>24</v>
      </c>
      <c r="AH232">
        <v>76</v>
      </c>
      <c r="AI232">
        <v>57</v>
      </c>
      <c r="AJ232">
        <v>43</v>
      </c>
      <c r="AK232">
        <v>0</v>
      </c>
      <c r="AL232">
        <v>0</v>
      </c>
      <c r="AM232">
        <v>100</v>
      </c>
      <c r="AN232">
        <v>0</v>
      </c>
      <c r="AO232">
        <v>100</v>
      </c>
      <c r="AP232">
        <v>0</v>
      </c>
      <c r="AQ232">
        <v>60</v>
      </c>
      <c r="AR232">
        <v>36</v>
      </c>
      <c r="AS232">
        <v>73</v>
      </c>
      <c r="AT232">
        <v>67</v>
      </c>
      <c r="AU232">
        <v>100</v>
      </c>
      <c r="AV232">
        <v>64</v>
      </c>
      <c r="AW232">
        <v>4</v>
      </c>
      <c r="AX232">
        <v>0.8</v>
      </c>
      <c r="AY232">
        <v>3</v>
      </c>
      <c r="AZ232">
        <v>0.6</v>
      </c>
      <c r="BA232">
        <v>2</v>
      </c>
      <c r="BB232">
        <v>3</v>
      </c>
      <c r="BC232">
        <v>1</v>
      </c>
      <c r="BD232">
        <v>2</v>
      </c>
      <c r="BE232">
        <v>0</v>
      </c>
      <c r="BF232">
        <v>0</v>
      </c>
      <c r="BG232">
        <v>1</v>
      </c>
      <c r="BH232">
        <v>1</v>
      </c>
      <c r="BI232">
        <v>2</v>
      </c>
      <c r="BJ232">
        <v>2</v>
      </c>
      <c r="BK232">
        <v>2</v>
      </c>
      <c r="BL232">
        <v>1</v>
      </c>
      <c r="BM232">
        <v>1</v>
      </c>
      <c r="BN232">
        <v>0.7</v>
      </c>
      <c r="BO232">
        <v>1</v>
      </c>
      <c r="BP232">
        <v>0.3</v>
      </c>
      <c r="BQ232">
        <v>2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1</v>
      </c>
      <c r="BX232">
        <v>0</v>
      </c>
      <c r="BY232">
        <v>13</v>
      </c>
      <c r="BZ232">
        <v>2.6</v>
      </c>
      <c r="CA232">
        <v>4</v>
      </c>
      <c r="CB232">
        <v>0.8</v>
      </c>
      <c r="CC232">
        <v>3</v>
      </c>
      <c r="CD232">
        <v>2</v>
      </c>
      <c r="CE232">
        <v>2</v>
      </c>
      <c r="CF232">
        <v>1</v>
      </c>
      <c r="CG232">
        <v>0</v>
      </c>
      <c r="CH232">
        <v>1</v>
      </c>
      <c r="CI232">
        <v>1</v>
      </c>
      <c r="CJ232">
        <v>0</v>
      </c>
      <c r="CK232">
        <v>10</v>
      </c>
      <c r="CL232">
        <v>3</v>
      </c>
      <c r="CM232">
        <v>2</v>
      </c>
      <c r="CN232">
        <v>2</v>
      </c>
      <c r="CO232">
        <v>3.3</v>
      </c>
      <c r="CP232">
        <v>1.5</v>
      </c>
      <c r="CQ232">
        <v>0.7</v>
      </c>
      <c r="CR232">
        <v>1</v>
      </c>
      <c r="CS232">
        <v>1</v>
      </c>
      <c r="CT232">
        <v>2</v>
      </c>
      <c r="CU232">
        <v>0</v>
      </c>
      <c r="CV232">
        <v>1</v>
      </c>
      <c r="CW232">
        <v>0</v>
      </c>
      <c r="CX232">
        <v>0</v>
      </c>
      <c r="CY232">
        <v>1</v>
      </c>
      <c r="CZ232">
        <v>1</v>
      </c>
    </row>
    <row r="233" spans="1:104" x14ac:dyDescent="0.25">
      <c r="A233" s="1" t="s">
        <v>1544</v>
      </c>
      <c r="B233">
        <v>1248</v>
      </c>
      <c r="C233">
        <v>1252</v>
      </c>
      <c r="D233" s="2">
        <v>43764</v>
      </c>
      <c r="E233" s="3">
        <f t="shared" si="9"/>
        <v>2019</v>
      </c>
      <c r="F233" s="3">
        <f t="shared" si="10"/>
        <v>10</v>
      </c>
      <c r="G233" s="3">
        <f t="shared" si="11"/>
        <v>7</v>
      </c>
      <c r="H233" t="s">
        <v>1545</v>
      </c>
      <c r="I233">
        <v>1413</v>
      </c>
      <c r="J233" t="s">
        <v>1546</v>
      </c>
      <c r="K233" t="s">
        <v>286</v>
      </c>
      <c r="L233">
        <v>2019</v>
      </c>
      <c r="M233" t="s">
        <v>168</v>
      </c>
      <c r="N233" t="s">
        <v>1547</v>
      </c>
      <c r="O233" t="s">
        <v>1548</v>
      </c>
      <c r="P233">
        <v>6100</v>
      </c>
      <c r="Q233" t="s">
        <v>286</v>
      </c>
      <c r="R233">
        <v>1930</v>
      </c>
      <c r="V233" t="s">
        <v>286</v>
      </c>
      <c r="W233">
        <v>1895</v>
      </c>
      <c r="X233" t="s">
        <v>125</v>
      </c>
      <c r="Y233">
        <v>1.5</v>
      </c>
      <c r="Z233">
        <v>-3.5</v>
      </c>
      <c r="AA233">
        <v>-2.5</v>
      </c>
      <c r="AB233">
        <v>10</v>
      </c>
      <c r="AC233">
        <v>45</v>
      </c>
      <c r="AD233">
        <v>45</v>
      </c>
      <c r="AE233">
        <v>47</v>
      </c>
      <c r="AF233">
        <v>53</v>
      </c>
      <c r="AG233">
        <v>57</v>
      </c>
      <c r="AH233">
        <v>43</v>
      </c>
      <c r="AI233">
        <v>47</v>
      </c>
      <c r="AJ233">
        <v>53</v>
      </c>
      <c r="AK233">
        <v>53</v>
      </c>
      <c r="AL233">
        <v>47</v>
      </c>
      <c r="AM233">
        <v>36</v>
      </c>
      <c r="AN233">
        <v>64</v>
      </c>
      <c r="AO233">
        <v>31</v>
      </c>
      <c r="AP233">
        <v>69</v>
      </c>
      <c r="AQ233">
        <v>60</v>
      </c>
      <c r="AR233">
        <v>81</v>
      </c>
      <c r="AS233">
        <v>50</v>
      </c>
      <c r="AT233">
        <v>67</v>
      </c>
      <c r="AU233">
        <v>63</v>
      </c>
      <c r="AV233">
        <v>56</v>
      </c>
      <c r="AW233">
        <v>13</v>
      </c>
      <c r="AX233">
        <v>2.6</v>
      </c>
      <c r="AY233">
        <v>8</v>
      </c>
      <c r="AZ233">
        <v>1.6</v>
      </c>
      <c r="BA233">
        <v>4</v>
      </c>
      <c r="BB233">
        <v>4</v>
      </c>
      <c r="BC233">
        <v>2</v>
      </c>
      <c r="BD233">
        <v>2</v>
      </c>
      <c r="BE233">
        <v>1</v>
      </c>
      <c r="BF233">
        <v>2</v>
      </c>
      <c r="BG233">
        <v>1</v>
      </c>
      <c r="BH233">
        <v>0</v>
      </c>
      <c r="BI233">
        <v>6</v>
      </c>
      <c r="BJ233">
        <v>13</v>
      </c>
      <c r="BK233">
        <v>4</v>
      </c>
      <c r="BL233">
        <v>9</v>
      </c>
      <c r="BM233">
        <v>1.5</v>
      </c>
      <c r="BN233">
        <v>3.3</v>
      </c>
      <c r="BO233">
        <v>1</v>
      </c>
      <c r="BP233">
        <v>2.2999999999999998</v>
      </c>
      <c r="BQ233">
        <v>3</v>
      </c>
      <c r="BR233">
        <v>3</v>
      </c>
      <c r="BS233">
        <v>2</v>
      </c>
      <c r="BT233">
        <v>0</v>
      </c>
      <c r="BU233">
        <v>0</v>
      </c>
      <c r="BV233">
        <v>1</v>
      </c>
      <c r="BW233">
        <v>1</v>
      </c>
      <c r="BX233">
        <v>2</v>
      </c>
      <c r="BY233">
        <v>10</v>
      </c>
      <c r="BZ233">
        <v>2</v>
      </c>
      <c r="CA233">
        <v>7</v>
      </c>
      <c r="CB233">
        <v>1.4</v>
      </c>
      <c r="CC233">
        <v>4</v>
      </c>
      <c r="CD233">
        <v>5</v>
      </c>
      <c r="CE233">
        <v>1</v>
      </c>
      <c r="CF233">
        <v>4</v>
      </c>
      <c r="CG233">
        <v>2</v>
      </c>
      <c r="CH233">
        <v>0</v>
      </c>
      <c r="CI233">
        <v>1</v>
      </c>
      <c r="CJ233">
        <v>1</v>
      </c>
      <c r="CK233">
        <v>5</v>
      </c>
      <c r="CL233">
        <v>16</v>
      </c>
      <c r="CM233">
        <v>2</v>
      </c>
      <c r="CN233">
        <v>13</v>
      </c>
      <c r="CO233">
        <v>1.3</v>
      </c>
      <c r="CP233">
        <v>3.2</v>
      </c>
      <c r="CQ233">
        <v>0.5</v>
      </c>
      <c r="CR233">
        <v>2.6</v>
      </c>
      <c r="CS233">
        <v>3</v>
      </c>
      <c r="CT233">
        <v>3</v>
      </c>
      <c r="CU233">
        <v>2</v>
      </c>
      <c r="CV233">
        <v>1</v>
      </c>
      <c r="CW233">
        <v>1</v>
      </c>
      <c r="CX233">
        <v>0</v>
      </c>
      <c r="CY233">
        <v>0</v>
      </c>
      <c r="CZ233">
        <v>2</v>
      </c>
    </row>
    <row r="234" spans="1:104" x14ac:dyDescent="0.25">
      <c r="A234" s="1" t="s">
        <v>1549</v>
      </c>
      <c r="B234">
        <v>1425</v>
      </c>
      <c r="C234">
        <v>1422</v>
      </c>
      <c r="D234" s="2">
        <v>43728</v>
      </c>
      <c r="E234" s="3">
        <f t="shared" si="9"/>
        <v>2019</v>
      </c>
      <c r="F234" s="3">
        <f t="shared" si="10"/>
        <v>9</v>
      </c>
      <c r="G234" s="3">
        <f t="shared" si="11"/>
        <v>6</v>
      </c>
      <c r="H234" t="s">
        <v>175</v>
      </c>
      <c r="I234">
        <v>716</v>
      </c>
      <c r="J234" t="s">
        <v>171</v>
      </c>
      <c r="K234" t="s">
        <v>172</v>
      </c>
      <c r="L234">
        <v>2019</v>
      </c>
      <c r="M234" t="s">
        <v>168</v>
      </c>
      <c r="N234" t="s">
        <v>175</v>
      </c>
      <c r="O234" t="s">
        <v>1550</v>
      </c>
      <c r="P234">
        <v>3500</v>
      </c>
      <c r="Q234" t="s">
        <v>172</v>
      </c>
      <c r="V234" t="s">
        <v>172</v>
      </c>
      <c r="W234">
        <v>1957</v>
      </c>
      <c r="X234">
        <v>1</v>
      </c>
      <c r="Z234">
        <v>-3.5</v>
      </c>
      <c r="AA234">
        <v>-1.5</v>
      </c>
      <c r="AB234">
        <v>45</v>
      </c>
      <c r="AC234">
        <v>45</v>
      </c>
      <c r="AD234">
        <v>10</v>
      </c>
      <c r="AE234">
        <v>54</v>
      </c>
      <c r="AF234">
        <v>46</v>
      </c>
      <c r="AG234">
        <v>67</v>
      </c>
      <c r="AH234">
        <v>33</v>
      </c>
      <c r="AI234">
        <v>62</v>
      </c>
      <c r="AJ234">
        <v>38</v>
      </c>
      <c r="AK234">
        <v>91</v>
      </c>
      <c r="AL234">
        <v>9</v>
      </c>
      <c r="AM234">
        <v>20</v>
      </c>
      <c r="AN234">
        <v>80</v>
      </c>
      <c r="AO234">
        <v>40</v>
      </c>
      <c r="AP234">
        <v>60</v>
      </c>
      <c r="AQ234">
        <v>47</v>
      </c>
      <c r="AR234">
        <v>29</v>
      </c>
      <c r="AS234">
        <v>76</v>
      </c>
      <c r="AT234">
        <v>40</v>
      </c>
      <c r="AU234">
        <v>14</v>
      </c>
      <c r="AV234">
        <v>62</v>
      </c>
      <c r="AW234">
        <v>6</v>
      </c>
      <c r="AX234">
        <v>1.2</v>
      </c>
      <c r="AY234">
        <v>5</v>
      </c>
      <c r="AZ234">
        <v>1</v>
      </c>
      <c r="BA234">
        <v>4</v>
      </c>
      <c r="BB234">
        <v>3</v>
      </c>
      <c r="BC234">
        <v>3</v>
      </c>
      <c r="BD234">
        <v>0</v>
      </c>
      <c r="BE234">
        <v>0</v>
      </c>
      <c r="BF234">
        <v>1</v>
      </c>
      <c r="BG234">
        <v>1</v>
      </c>
      <c r="BH234">
        <v>2</v>
      </c>
      <c r="BI234">
        <v>10</v>
      </c>
      <c r="BJ234">
        <v>3</v>
      </c>
      <c r="BK234">
        <v>3</v>
      </c>
      <c r="BL234">
        <v>6</v>
      </c>
      <c r="BM234">
        <v>2.5</v>
      </c>
      <c r="BN234">
        <v>1</v>
      </c>
      <c r="BO234">
        <v>0.8</v>
      </c>
      <c r="BP234">
        <v>2</v>
      </c>
      <c r="BQ234">
        <v>2</v>
      </c>
      <c r="BR234">
        <v>1</v>
      </c>
      <c r="BS234">
        <v>1</v>
      </c>
      <c r="BT234">
        <v>0</v>
      </c>
      <c r="BU234">
        <v>1</v>
      </c>
      <c r="BV234">
        <v>0</v>
      </c>
      <c r="BW234">
        <v>0</v>
      </c>
      <c r="BX234">
        <v>1</v>
      </c>
      <c r="BY234">
        <v>3</v>
      </c>
      <c r="BZ234">
        <v>0.6</v>
      </c>
      <c r="CA234">
        <v>8</v>
      </c>
      <c r="CB234">
        <v>1.6</v>
      </c>
      <c r="CC234">
        <v>5</v>
      </c>
      <c r="CD234">
        <v>2</v>
      </c>
      <c r="CE234">
        <v>2</v>
      </c>
      <c r="CF234">
        <v>0</v>
      </c>
      <c r="CG234">
        <v>0</v>
      </c>
      <c r="CH234">
        <v>1</v>
      </c>
      <c r="CI234">
        <v>3</v>
      </c>
      <c r="CJ234">
        <v>1</v>
      </c>
      <c r="CK234">
        <v>3</v>
      </c>
      <c r="CL234">
        <v>1</v>
      </c>
      <c r="CM234">
        <v>5</v>
      </c>
      <c r="CN234">
        <v>5</v>
      </c>
      <c r="CO234">
        <v>0.6</v>
      </c>
      <c r="CP234">
        <v>0.5</v>
      </c>
      <c r="CQ234">
        <v>1</v>
      </c>
      <c r="CR234">
        <v>2.5</v>
      </c>
      <c r="CS234">
        <v>1</v>
      </c>
      <c r="CT234">
        <v>2</v>
      </c>
      <c r="CU234">
        <v>1</v>
      </c>
      <c r="CV234">
        <v>0</v>
      </c>
      <c r="CW234">
        <v>0</v>
      </c>
      <c r="CX234">
        <v>1</v>
      </c>
      <c r="CY234">
        <v>0</v>
      </c>
      <c r="CZ234">
        <v>1</v>
      </c>
    </row>
    <row r="235" spans="1:104" x14ac:dyDescent="0.25">
      <c r="A235" s="1" t="s">
        <v>1551</v>
      </c>
      <c r="B235">
        <v>4594</v>
      </c>
      <c r="C235">
        <v>4592</v>
      </c>
      <c r="D235" s="2">
        <v>43680</v>
      </c>
      <c r="E235" s="3">
        <f t="shared" si="9"/>
        <v>2019</v>
      </c>
      <c r="F235" s="3">
        <f t="shared" si="10"/>
        <v>8</v>
      </c>
      <c r="G235" s="3">
        <f t="shared" si="11"/>
        <v>7</v>
      </c>
      <c r="H235" t="s">
        <v>1552</v>
      </c>
      <c r="I235">
        <v>660</v>
      </c>
      <c r="J235" t="s">
        <v>761</v>
      </c>
      <c r="K235" t="s">
        <v>1553</v>
      </c>
      <c r="L235">
        <v>2019</v>
      </c>
      <c r="M235" t="s">
        <v>405</v>
      </c>
      <c r="N235" t="s">
        <v>1554</v>
      </c>
      <c r="O235" t="s">
        <v>1555</v>
      </c>
      <c r="P235">
        <v>10000</v>
      </c>
      <c r="Q235" t="s">
        <v>1553</v>
      </c>
      <c r="V235" t="s">
        <v>1553</v>
      </c>
      <c r="X235" t="s">
        <v>109</v>
      </c>
      <c r="Z235">
        <v>-2.5</v>
      </c>
      <c r="AA235">
        <v>-2.5</v>
      </c>
      <c r="AB235">
        <v>45</v>
      </c>
      <c r="AC235">
        <v>45</v>
      </c>
      <c r="AD235">
        <v>10</v>
      </c>
      <c r="AE235">
        <v>67</v>
      </c>
      <c r="AF235">
        <v>33</v>
      </c>
      <c r="AG235">
        <v>78</v>
      </c>
      <c r="AH235">
        <v>22</v>
      </c>
      <c r="AI235">
        <v>0</v>
      </c>
      <c r="AJ235">
        <v>100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50</v>
      </c>
      <c r="AR235">
        <v>58</v>
      </c>
      <c r="AS235">
        <v>58</v>
      </c>
      <c r="AT235">
        <v>100</v>
      </c>
      <c r="AU235">
        <v>17</v>
      </c>
      <c r="AV235">
        <v>100</v>
      </c>
      <c r="AW235">
        <v>7</v>
      </c>
      <c r="AX235">
        <v>1.8</v>
      </c>
      <c r="AY235">
        <v>5</v>
      </c>
      <c r="AZ235">
        <v>1.3</v>
      </c>
      <c r="BA235">
        <v>2</v>
      </c>
      <c r="BB235">
        <v>2</v>
      </c>
      <c r="BC235">
        <v>1</v>
      </c>
      <c r="BD235">
        <v>1</v>
      </c>
      <c r="BE235">
        <v>0</v>
      </c>
      <c r="BF235">
        <v>0</v>
      </c>
      <c r="BG235">
        <v>1</v>
      </c>
      <c r="BH235">
        <v>1</v>
      </c>
      <c r="BI235">
        <v>2</v>
      </c>
      <c r="BJ235">
        <v>5</v>
      </c>
      <c r="BK235">
        <v>2</v>
      </c>
      <c r="BL235">
        <v>3</v>
      </c>
      <c r="BM235">
        <v>1</v>
      </c>
      <c r="BN235">
        <v>2.5</v>
      </c>
      <c r="BO235">
        <v>1</v>
      </c>
      <c r="BP235">
        <v>1.5</v>
      </c>
      <c r="BQ235">
        <v>1</v>
      </c>
      <c r="BR235">
        <v>0</v>
      </c>
      <c r="BS235">
        <v>1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2</v>
      </c>
      <c r="BZ235">
        <v>2</v>
      </c>
      <c r="CA235">
        <v>0</v>
      </c>
      <c r="CB235">
        <v>0</v>
      </c>
      <c r="CC235">
        <v>1</v>
      </c>
      <c r="CD235">
        <v>0</v>
      </c>
      <c r="CE235">
        <v>1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2</v>
      </c>
      <c r="CL235">
        <v>0</v>
      </c>
      <c r="CM235">
        <v>0</v>
      </c>
      <c r="CN235">
        <v>0</v>
      </c>
      <c r="CO235">
        <v>2</v>
      </c>
      <c r="CP235">
        <v>0</v>
      </c>
      <c r="CQ235">
        <v>0</v>
      </c>
      <c r="CR235">
        <v>0</v>
      </c>
      <c r="CS235">
        <v>0</v>
      </c>
      <c r="CT235">
        <v>1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1</v>
      </c>
    </row>
    <row r="236" spans="1:104" x14ac:dyDescent="0.25">
      <c r="A236" s="1" t="s">
        <v>1556</v>
      </c>
      <c r="B236">
        <v>7733</v>
      </c>
      <c r="C236">
        <v>8754</v>
      </c>
      <c r="D236" s="2">
        <v>43700</v>
      </c>
      <c r="E236" s="3">
        <f t="shared" si="9"/>
        <v>2019</v>
      </c>
      <c r="F236" s="3">
        <f t="shared" si="10"/>
        <v>8</v>
      </c>
      <c r="G236" s="3">
        <f t="shared" si="11"/>
        <v>6</v>
      </c>
      <c r="H236" t="s">
        <v>1557</v>
      </c>
      <c r="I236">
        <v>1063</v>
      </c>
      <c r="J236" t="s">
        <v>526</v>
      </c>
      <c r="K236" t="s">
        <v>241</v>
      </c>
      <c r="L236">
        <v>2019</v>
      </c>
      <c r="M236" t="s">
        <v>1558</v>
      </c>
      <c r="N236" t="s">
        <v>1557</v>
      </c>
      <c r="O236" t="s">
        <v>1559</v>
      </c>
      <c r="P236">
        <v>1500</v>
      </c>
      <c r="Q236" t="s">
        <v>241</v>
      </c>
      <c r="R236">
        <v>1948</v>
      </c>
      <c r="S236" t="s">
        <v>1560</v>
      </c>
      <c r="U236">
        <v>1000</v>
      </c>
      <c r="V236" t="s">
        <v>241</v>
      </c>
      <c r="X236" t="s">
        <v>125</v>
      </c>
      <c r="Y236">
        <v>-2.5</v>
      </c>
      <c r="AA236">
        <v>-1.5</v>
      </c>
      <c r="AB236">
        <v>10</v>
      </c>
      <c r="AC236">
        <v>45</v>
      </c>
      <c r="AD236">
        <v>45</v>
      </c>
      <c r="AE236">
        <v>0</v>
      </c>
      <c r="AF236">
        <v>100</v>
      </c>
      <c r="AG236">
        <v>0</v>
      </c>
      <c r="AH236">
        <v>100</v>
      </c>
      <c r="AI236">
        <v>100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67</v>
      </c>
      <c r="AU236">
        <v>11</v>
      </c>
      <c r="AV236">
        <v>95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</v>
      </c>
      <c r="BR236">
        <v>0</v>
      </c>
      <c r="BS236">
        <v>1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2</v>
      </c>
      <c r="BZ236">
        <v>1</v>
      </c>
      <c r="CA236">
        <v>1</v>
      </c>
      <c r="CB236">
        <v>0.5</v>
      </c>
      <c r="CC236">
        <v>1</v>
      </c>
      <c r="CD236">
        <v>1</v>
      </c>
      <c r="CE236">
        <v>0</v>
      </c>
      <c r="CF236">
        <v>1</v>
      </c>
      <c r="CG236">
        <v>1</v>
      </c>
      <c r="CH236">
        <v>0</v>
      </c>
      <c r="CI236">
        <v>0</v>
      </c>
      <c r="CJ236">
        <v>0</v>
      </c>
      <c r="CK236">
        <v>1</v>
      </c>
      <c r="CL236">
        <v>1</v>
      </c>
      <c r="CM236">
        <v>1</v>
      </c>
      <c r="CN236">
        <v>0</v>
      </c>
      <c r="CO236">
        <v>1</v>
      </c>
      <c r="CP236">
        <v>1</v>
      </c>
      <c r="CQ236">
        <v>1</v>
      </c>
      <c r="CR236">
        <v>0</v>
      </c>
      <c r="CS236">
        <v>0</v>
      </c>
      <c r="CT236">
        <v>1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1</v>
      </c>
    </row>
    <row r="237" spans="1:104" x14ac:dyDescent="0.25">
      <c r="A237" s="1" t="s">
        <v>1561</v>
      </c>
      <c r="B237">
        <v>9699</v>
      </c>
      <c r="C237">
        <v>9693</v>
      </c>
      <c r="D237" s="2">
        <v>43771</v>
      </c>
      <c r="E237" s="3">
        <f t="shared" si="9"/>
        <v>2019</v>
      </c>
      <c r="F237" s="3">
        <f t="shared" si="10"/>
        <v>11</v>
      </c>
      <c r="G237" s="3">
        <f t="shared" si="11"/>
        <v>7</v>
      </c>
      <c r="H237" t="s">
        <v>1562</v>
      </c>
      <c r="I237">
        <v>1274</v>
      </c>
      <c r="J237" t="s">
        <v>1077</v>
      </c>
      <c r="K237" t="s">
        <v>380</v>
      </c>
      <c r="L237">
        <v>2019</v>
      </c>
      <c r="M237" t="s">
        <v>1563</v>
      </c>
      <c r="N237" t="s">
        <v>1562</v>
      </c>
      <c r="O237" t="s">
        <v>1564</v>
      </c>
      <c r="P237">
        <v>4000</v>
      </c>
      <c r="Q237" t="s">
        <v>380</v>
      </c>
      <c r="R237">
        <v>1951</v>
      </c>
      <c r="S237" t="s">
        <v>1565</v>
      </c>
      <c r="T237" t="s">
        <v>1566</v>
      </c>
      <c r="U237">
        <v>3000</v>
      </c>
      <c r="V237" t="s">
        <v>380</v>
      </c>
      <c r="X237" t="s">
        <v>125</v>
      </c>
      <c r="Z237">
        <v>-1.5</v>
      </c>
      <c r="AA237">
        <v>-2.5</v>
      </c>
      <c r="AB237">
        <v>10</v>
      </c>
      <c r="AC237">
        <v>45</v>
      </c>
      <c r="AD237">
        <v>45</v>
      </c>
      <c r="AE237">
        <v>56</v>
      </c>
      <c r="AF237">
        <v>44</v>
      </c>
      <c r="AG237">
        <v>38</v>
      </c>
      <c r="AH237">
        <v>63</v>
      </c>
      <c r="AI237">
        <v>54</v>
      </c>
      <c r="AJ237">
        <v>46</v>
      </c>
      <c r="AK237">
        <v>38</v>
      </c>
      <c r="AL237">
        <v>62</v>
      </c>
      <c r="AM237">
        <v>0</v>
      </c>
      <c r="AN237">
        <v>0</v>
      </c>
      <c r="AO237">
        <v>0</v>
      </c>
      <c r="AP237">
        <v>0</v>
      </c>
      <c r="AQ237">
        <v>33</v>
      </c>
      <c r="AR237">
        <v>17</v>
      </c>
      <c r="AS237">
        <v>67</v>
      </c>
      <c r="AT237">
        <v>27</v>
      </c>
      <c r="AU237">
        <v>28</v>
      </c>
      <c r="AV237">
        <v>61</v>
      </c>
      <c r="AW237">
        <v>3</v>
      </c>
      <c r="AX237">
        <v>0.6</v>
      </c>
      <c r="AY237">
        <v>6</v>
      </c>
      <c r="AZ237">
        <v>1.2</v>
      </c>
      <c r="BA237">
        <v>5</v>
      </c>
      <c r="BB237">
        <v>5</v>
      </c>
      <c r="BC237">
        <v>3</v>
      </c>
      <c r="BD237">
        <v>1</v>
      </c>
      <c r="BE237">
        <v>0</v>
      </c>
      <c r="BF237">
        <v>3</v>
      </c>
      <c r="BG237">
        <v>2</v>
      </c>
      <c r="BH237">
        <v>1</v>
      </c>
      <c r="BI237">
        <v>9</v>
      </c>
      <c r="BJ237">
        <v>3</v>
      </c>
      <c r="BK237">
        <v>6</v>
      </c>
      <c r="BL237">
        <v>3</v>
      </c>
      <c r="BM237">
        <v>1.8</v>
      </c>
      <c r="BN237">
        <v>0.6</v>
      </c>
      <c r="BO237">
        <v>1.2</v>
      </c>
      <c r="BP237">
        <v>0.6</v>
      </c>
      <c r="BQ237">
        <v>1</v>
      </c>
      <c r="BR237">
        <v>0</v>
      </c>
      <c r="BS237">
        <v>0</v>
      </c>
      <c r="BT237">
        <v>0</v>
      </c>
      <c r="BU237">
        <v>1</v>
      </c>
      <c r="BV237">
        <v>0</v>
      </c>
      <c r="BW237">
        <v>0</v>
      </c>
      <c r="BX237">
        <v>0</v>
      </c>
      <c r="BY237">
        <v>5</v>
      </c>
      <c r="BZ237">
        <v>1</v>
      </c>
      <c r="CA237">
        <v>7</v>
      </c>
      <c r="CB237">
        <v>1.4</v>
      </c>
      <c r="CC237">
        <v>5</v>
      </c>
      <c r="CD237">
        <v>5</v>
      </c>
      <c r="CE237">
        <v>2</v>
      </c>
      <c r="CF237">
        <v>2</v>
      </c>
      <c r="CG237">
        <v>0</v>
      </c>
      <c r="CH237">
        <v>3</v>
      </c>
      <c r="CI237">
        <v>3</v>
      </c>
      <c r="CJ237">
        <v>0</v>
      </c>
      <c r="CK237">
        <v>8</v>
      </c>
      <c r="CL237">
        <v>6</v>
      </c>
      <c r="CM237">
        <v>7</v>
      </c>
      <c r="CN237">
        <v>3</v>
      </c>
      <c r="CO237">
        <v>1.6</v>
      </c>
      <c r="CP237">
        <v>1.2</v>
      </c>
      <c r="CQ237">
        <v>1.4</v>
      </c>
      <c r="CR237">
        <v>0.6</v>
      </c>
      <c r="CS237">
        <v>0</v>
      </c>
      <c r="CT237">
        <v>1</v>
      </c>
      <c r="CU237">
        <v>0</v>
      </c>
      <c r="CV237">
        <v>0</v>
      </c>
      <c r="CW237">
        <v>0</v>
      </c>
      <c r="CX237">
        <v>1</v>
      </c>
      <c r="CY237">
        <v>0</v>
      </c>
      <c r="CZ237">
        <v>0</v>
      </c>
    </row>
    <row r="238" spans="1:104" x14ac:dyDescent="0.25">
      <c r="A238" s="1" t="s">
        <v>1567</v>
      </c>
      <c r="B238">
        <v>6501</v>
      </c>
      <c r="C238">
        <v>6487</v>
      </c>
      <c r="D238" s="2">
        <v>43771</v>
      </c>
      <c r="E238" s="3">
        <f t="shared" si="9"/>
        <v>2019</v>
      </c>
      <c r="F238" s="3">
        <f t="shared" si="10"/>
        <v>11</v>
      </c>
      <c r="G238" s="3">
        <f t="shared" si="11"/>
        <v>7</v>
      </c>
      <c r="H238" t="s">
        <v>1568</v>
      </c>
      <c r="I238">
        <v>1196</v>
      </c>
      <c r="J238" t="s">
        <v>1569</v>
      </c>
      <c r="K238" t="s">
        <v>1570</v>
      </c>
      <c r="L238">
        <v>2019</v>
      </c>
      <c r="M238" t="s">
        <v>1571</v>
      </c>
      <c r="N238" t="s">
        <v>1572</v>
      </c>
      <c r="O238" t="s">
        <v>1573</v>
      </c>
      <c r="P238">
        <v>3000</v>
      </c>
      <c r="Q238" t="s">
        <v>1570</v>
      </c>
      <c r="R238">
        <v>2018</v>
      </c>
      <c r="V238" t="s">
        <v>1570</v>
      </c>
      <c r="W238">
        <v>1999</v>
      </c>
      <c r="X238" t="s">
        <v>109</v>
      </c>
      <c r="Y238">
        <v>-3.5</v>
      </c>
      <c r="Z238">
        <v>-2.5</v>
      </c>
      <c r="AA238">
        <v>-1.5</v>
      </c>
      <c r="AB238">
        <v>35</v>
      </c>
      <c r="AC238">
        <v>35</v>
      </c>
      <c r="AD238">
        <v>30</v>
      </c>
      <c r="AE238">
        <v>50</v>
      </c>
      <c r="AF238">
        <v>50</v>
      </c>
      <c r="AG238">
        <v>62</v>
      </c>
      <c r="AH238">
        <v>38</v>
      </c>
      <c r="AI238">
        <v>43</v>
      </c>
      <c r="AJ238">
        <v>57</v>
      </c>
      <c r="AK238">
        <v>64</v>
      </c>
      <c r="AL238">
        <v>36</v>
      </c>
      <c r="AM238">
        <v>0</v>
      </c>
      <c r="AN238">
        <v>100</v>
      </c>
      <c r="AO238">
        <v>0</v>
      </c>
      <c r="AP238">
        <v>100</v>
      </c>
      <c r="AQ238">
        <v>67</v>
      </c>
      <c r="AR238">
        <v>62</v>
      </c>
      <c r="AS238">
        <v>69</v>
      </c>
      <c r="AT238">
        <v>67</v>
      </c>
      <c r="AU238">
        <v>38</v>
      </c>
      <c r="AV238">
        <v>77</v>
      </c>
      <c r="AW238">
        <v>8</v>
      </c>
      <c r="AX238">
        <v>1.6</v>
      </c>
      <c r="AY238">
        <v>4</v>
      </c>
      <c r="AZ238">
        <v>0.8</v>
      </c>
      <c r="BA238">
        <v>8</v>
      </c>
      <c r="BB238">
        <v>8</v>
      </c>
      <c r="BC238">
        <v>5</v>
      </c>
      <c r="BD238">
        <v>4</v>
      </c>
      <c r="BE238">
        <v>1</v>
      </c>
      <c r="BF238">
        <v>2</v>
      </c>
      <c r="BG238">
        <v>2</v>
      </c>
      <c r="BH238">
        <v>2</v>
      </c>
      <c r="BI238">
        <v>15</v>
      </c>
      <c r="BJ238">
        <v>10</v>
      </c>
      <c r="BK238">
        <v>5</v>
      </c>
      <c r="BL238">
        <v>9</v>
      </c>
      <c r="BM238">
        <v>1.9</v>
      </c>
      <c r="BN238">
        <v>1.3</v>
      </c>
      <c r="BO238">
        <v>0.6</v>
      </c>
      <c r="BP238">
        <v>1.1000000000000001</v>
      </c>
      <c r="BQ238">
        <v>1</v>
      </c>
      <c r="BR238">
        <v>1</v>
      </c>
      <c r="BS238">
        <v>1</v>
      </c>
      <c r="BT238">
        <v>0</v>
      </c>
      <c r="BU238">
        <v>0</v>
      </c>
      <c r="BV238">
        <v>0</v>
      </c>
      <c r="BW238">
        <v>0</v>
      </c>
      <c r="BX238">
        <v>1</v>
      </c>
      <c r="BY238">
        <v>5</v>
      </c>
      <c r="BZ238">
        <v>1</v>
      </c>
      <c r="CA238">
        <v>3</v>
      </c>
      <c r="CB238">
        <v>0.6</v>
      </c>
      <c r="CC238">
        <v>7</v>
      </c>
      <c r="CD238">
        <v>8</v>
      </c>
      <c r="CE238">
        <v>3</v>
      </c>
      <c r="CF238">
        <v>4</v>
      </c>
      <c r="CG238">
        <v>1</v>
      </c>
      <c r="CH238">
        <v>3</v>
      </c>
      <c r="CI238">
        <v>3</v>
      </c>
      <c r="CJ238">
        <v>1</v>
      </c>
      <c r="CK238">
        <v>9</v>
      </c>
      <c r="CL238">
        <v>10</v>
      </c>
      <c r="CM238">
        <v>10</v>
      </c>
      <c r="CN238">
        <v>6</v>
      </c>
      <c r="CO238">
        <v>1.3</v>
      </c>
      <c r="CP238">
        <v>1.3</v>
      </c>
      <c r="CQ238">
        <v>1.4</v>
      </c>
      <c r="CR238">
        <v>0.8</v>
      </c>
      <c r="CS238">
        <v>1</v>
      </c>
      <c r="CT238">
        <v>1</v>
      </c>
      <c r="CU238">
        <v>1</v>
      </c>
      <c r="CV238">
        <v>0</v>
      </c>
      <c r="CW238">
        <v>0</v>
      </c>
      <c r="CX238">
        <v>0</v>
      </c>
      <c r="CY238">
        <v>0</v>
      </c>
      <c r="CZ238">
        <v>1</v>
      </c>
    </row>
    <row r="239" spans="1:104" x14ac:dyDescent="0.25">
      <c r="A239" s="1" t="s">
        <v>1574</v>
      </c>
      <c r="B239">
        <v>9735</v>
      </c>
      <c r="C239">
        <v>9730</v>
      </c>
      <c r="D239" s="2">
        <v>43898</v>
      </c>
      <c r="E239" s="3">
        <f t="shared" si="9"/>
        <v>2020</v>
      </c>
      <c r="F239" s="3">
        <f t="shared" si="10"/>
        <v>3</v>
      </c>
      <c r="G239" s="3">
        <f t="shared" si="11"/>
        <v>1</v>
      </c>
      <c r="H239" t="s">
        <v>1575</v>
      </c>
      <c r="I239">
        <v>1276</v>
      </c>
      <c r="J239" t="s">
        <v>1576</v>
      </c>
      <c r="K239" t="s">
        <v>380</v>
      </c>
      <c r="L239">
        <v>2019</v>
      </c>
      <c r="M239" t="s">
        <v>1577</v>
      </c>
      <c r="N239" t="s">
        <v>1575</v>
      </c>
      <c r="O239" t="s">
        <v>1578</v>
      </c>
      <c r="P239">
        <v>12200</v>
      </c>
      <c r="Q239" t="s">
        <v>380</v>
      </c>
      <c r="S239" t="s">
        <v>1579</v>
      </c>
      <c r="T239" t="s">
        <v>1580</v>
      </c>
      <c r="U239">
        <v>3000</v>
      </c>
      <c r="V239" t="s">
        <v>380</v>
      </c>
      <c r="W239">
        <v>1956</v>
      </c>
      <c r="X239" t="s">
        <v>109</v>
      </c>
      <c r="Z239">
        <v>-2.5</v>
      </c>
      <c r="AA239">
        <v>-1.5</v>
      </c>
      <c r="AB239">
        <v>45</v>
      </c>
      <c r="AC239">
        <v>45</v>
      </c>
      <c r="AD239">
        <v>10</v>
      </c>
      <c r="AE239">
        <v>68</v>
      </c>
      <c r="AF239">
        <v>32</v>
      </c>
      <c r="AG239">
        <v>79</v>
      </c>
      <c r="AH239">
        <v>21</v>
      </c>
      <c r="AI239">
        <v>60</v>
      </c>
      <c r="AJ239">
        <v>40</v>
      </c>
      <c r="AK239">
        <v>62</v>
      </c>
      <c r="AL239">
        <v>38</v>
      </c>
      <c r="AM239">
        <v>0</v>
      </c>
      <c r="AN239">
        <v>100</v>
      </c>
      <c r="AO239">
        <v>0</v>
      </c>
      <c r="AP239">
        <v>100</v>
      </c>
      <c r="AQ239">
        <v>87</v>
      </c>
      <c r="AR239">
        <v>100</v>
      </c>
      <c r="AS239">
        <v>64</v>
      </c>
      <c r="AT239">
        <v>40</v>
      </c>
      <c r="AU239">
        <v>27</v>
      </c>
      <c r="AV239">
        <v>45</v>
      </c>
      <c r="AW239">
        <v>11</v>
      </c>
      <c r="AX239">
        <v>2.2000000000000002</v>
      </c>
      <c r="AY239">
        <v>4</v>
      </c>
      <c r="AZ239">
        <v>0.8</v>
      </c>
      <c r="BA239">
        <v>14</v>
      </c>
      <c r="BB239">
        <v>14</v>
      </c>
      <c r="BC239">
        <v>3</v>
      </c>
      <c r="BD239">
        <v>6</v>
      </c>
      <c r="BE239">
        <v>4</v>
      </c>
      <c r="BF239">
        <v>2</v>
      </c>
      <c r="BG239">
        <v>7</v>
      </c>
      <c r="BH239">
        <v>6</v>
      </c>
      <c r="BI239">
        <v>12</v>
      </c>
      <c r="BJ239">
        <v>22</v>
      </c>
      <c r="BK239">
        <v>17</v>
      </c>
      <c r="BL239">
        <v>22</v>
      </c>
      <c r="BM239">
        <v>0.9</v>
      </c>
      <c r="BN239">
        <v>1.6</v>
      </c>
      <c r="BO239">
        <v>1.2</v>
      </c>
      <c r="BP239">
        <v>1.6</v>
      </c>
      <c r="BQ239">
        <v>1</v>
      </c>
      <c r="BR239">
        <v>1</v>
      </c>
      <c r="BS239">
        <v>1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3</v>
      </c>
      <c r="BZ239">
        <v>0.6</v>
      </c>
      <c r="CA239">
        <v>6</v>
      </c>
      <c r="CB239">
        <v>1.2</v>
      </c>
      <c r="CC239">
        <v>14</v>
      </c>
      <c r="CD239">
        <v>14</v>
      </c>
      <c r="CE239">
        <v>3</v>
      </c>
      <c r="CF239">
        <v>2</v>
      </c>
      <c r="CG239">
        <v>3</v>
      </c>
      <c r="CH239">
        <v>3</v>
      </c>
      <c r="CI239">
        <v>8</v>
      </c>
      <c r="CJ239">
        <v>9</v>
      </c>
      <c r="CK239">
        <v>10</v>
      </c>
      <c r="CL239">
        <v>10</v>
      </c>
      <c r="CM239">
        <v>27</v>
      </c>
      <c r="CN239">
        <v>27</v>
      </c>
      <c r="CO239">
        <v>0.7</v>
      </c>
      <c r="CP239">
        <v>0.7</v>
      </c>
      <c r="CQ239">
        <v>1.9</v>
      </c>
      <c r="CR239">
        <v>1.9</v>
      </c>
      <c r="CS239">
        <v>1</v>
      </c>
      <c r="CT239">
        <v>1</v>
      </c>
      <c r="CU239">
        <v>1</v>
      </c>
      <c r="CV239">
        <v>0</v>
      </c>
      <c r="CW239">
        <v>0</v>
      </c>
      <c r="CX239">
        <v>0</v>
      </c>
      <c r="CY239">
        <v>0</v>
      </c>
      <c r="CZ239">
        <v>1</v>
      </c>
    </row>
    <row r="240" spans="1:104" x14ac:dyDescent="0.25">
      <c r="A240" s="1" t="s">
        <v>1581</v>
      </c>
      <c r="B240">
        <v>9794</v>
      </c>
      <c r="C240">
        <v>8159</v>
      </c>
      <c r="D240" s="2">
        <v>43751</v>
      </c>
      <c r="E240" s="3">
        <f t="shared" si="9"/>
        <v>2019</v>
      </c>
      <c r="F240" s="3">
        <f t="shared" si="10"/>
        <v>10</v>
      </c>
      <c r="G240" s="3">
        <f t="shared" si="11"/>
        <v>1</v>
      </c>
      <c r="H240" t="s">
        <v>1582</v>
      </c>
      <c r="I240">
        <v>1280</v>
      </c>
      <c r="J240" t="s">
        <v>1583</v>
      </c>
      <c r="K240" t="s">
        <v>380</v>
      </c>
      <c r="L240">
        <v>2019</v>
      </c>
      <c r="M240" t="s">
        <v>1584</v>
      </c>
      <c r="N240" t="s">
        <v>1582</v>
      </c>
      <c r="O240" t="s">
        <v>1585</v>
      </c>
      <c r="P240">
        <v>3500</v>
      </c>
      <c r="Q240" t="s">
        <v>380</v>
      </c>
      <c r="S240" t="s">
        <v>1586</v>
      </c>
      <c r="T240" t="s">
        <v>1587</v>
      </c>
      <c r="U240">
        <v>3000</v>
      </c>
      <c r="V240" t="s">
        <v>380</v>
      </c>
      <c r="X240" t="s">
        <v>125</v>
      </c>
      <c r="Y240">
        <v>1.5</v>
      </c>
      <c r="Z240">
        <v>-3.5</v>
      </c>
      <c r="AA240">
        <v>-4.5</v>
      </c>
      <c r="AB240">
        <v>10</v>
      </c>
      <c r="AC240">
        <v>45</v>
      </c>
      <c r="AD240">
        <v>45</v>
      </c>
      <c r="AE240">
        <v>31</v>
      </c>
      <c r="AF240">
        <v>69</v>
      </c>
      <c r="AG240">
        <v>39</v>
      </c>
      <c r="AH240">
        <v>61</v>
      </c>
      <c r="AI240">
        <v>36</v>
      </c>
      <c r="AJ240">
        <v>64</v>
      </c>
      <c r="AK240">
        <v>42</v>
      </c>
      <c r="AL240">
        <v>58</v>
      </c>
      <c r="AM240">
        <v>0</v>
      </c>
      <c r="AN240">
        <v>0</v>
      </c>
      <c r="AO240">
        <v>0</v>
      </c>
      <c r="AP240">
        <v>0</v>
      </c>
      <c r="AQ240">
        <v>27</v>
      </c>
      <c r="AR240">
        <v>39</v>
      </c>
      <c r="AS240">
        <v>22</v>
      </c>
      <c r="AT240">
        <v>60</v>
      </c>
      <c r="AU240">
        <v>61</v>
      </c>
      <c r="AV240">
        <v>56</v>
      </c>
      <c r="AW240">
        <v>7</v>
      </c>
      <c r="AX240">
        <v>1.4</v>
      </c>
      <c r="AY240">
        <v>14</v>
      </c>
      <c r="AZ240">
        <v>2.8</v>
      </c>
      <c r="BA240">
        <v>3</v>
      </c>
      <c r="BB240">
        <v>4</v>
      </c>
      <c r="BC240">
        <v>1</v>
      </c>
      <c r="BD240">
        <v>0</v>
      </c>
      <c r="BE240">
        <v>1</v>
      </c>
      <c r="BF240">
        <v>1</v>
      </c>
      <c r="BG240">
        <v>1</v>
      </c>
      <c r="BH240">
        <v>3</v>
      </c>
      <c r="BI240">
        <v>7</v>
      </c>
      <c r="BJ240">
        <v>2</v>
      </c>
      <c r="BK240">
        <v>7</v>
      </c>
      <c r="BL240">
        <v>10</v>
      </c>
      <c r="BM240">
        <v>2.2999999999999998</v>
      </c>
      <c r="BN240">
        <v>0.5</v>
      </c>
      <c r="BO240">
        <v>2.2999999999999998</v>
      </c>
      <c r="BP240">
        <v>2.5</v>
      </c>
      <c r="BQ240">
        <v>1</v>
      </c>
      <c r="BR240">
        <v>1</v>
      </c>
      <c r="BS240">
        <v>0</v>
      </c>
      <c r="BT240">
        <v>0</v>
      </c>
      <c r="BU240">
        <v>0</v>
      </c>
      <c r="BV240">
        <v>1</v>
      </c>
      <c r="BW240">
        <v>1</v>
      </c>
      <c r="BX240">
        <v>0</v>
      </c>
      <c r="BY240">
        <v>11</v>
      </c>
      <c r="BZ240">
        <v>2.2000000000000002</v>
      </c>
      <c r="CA240">
        <v>8</v>
      </c>
      <c r="CB240">
        <v>1.6</v>
      </c>
      <c r="CC240">
        <v>4</v>
      </c>
      <c r="CD240">
        <v>3</v>
      </c>
      <c r="CE240">
        <v>2</v>
      </c>
      <c r="CF240">
        <v>1</v>
      </c>
      <c r="CG240">
        <v>2</v>
      </c>
      <c r="CH240">
        <v>1</v>
      </c>
      <c r="CI240">
        <v>0</v>
      </c>
      <c r="CJ240">
        <v>1</v>
      </c>
      <c r="CK240">
        <v>10</v>
      </c>
      <c r="CL240">
        <v>6</v>
      </c>
      <c r="CM240">
        <v>4</v>
      </c>
      <c r="CN240">
        <v>7</v>
      </c>
      <c r="CO240">
        <v>2.5</v>
      </c>
      <c r="CP240">
        <v>2</v>
      </c>
      <c r="CQ240">
        <v>1</v>
      </c>
      <c r="CR240">
        <v>2.2999999999999998</v>
      </c>
      <c r="CS240">
        <v>1</v>
      </c>
      <c r="CT240">
        <v>1</v>
      </c>
      <c r="CU240">
        <v>0</v>
      </c>
      <c r="CV240">
        <v>1</v>
      </c>
      <c r="CW240">
        <v>1</v>
      </c>
      <c r="CX240">
        <v>0</v>
      </c>
      <c r="CY240">
        <v>0</v>
      </c>
      <c r="CZ240">
        <v>0</v>
      </c>
    </row>
    <row r="241" spans="1:104" x14ac:dyDescent="0.25">
      <c r="A241" s="1" t="s">
        <v>1588</v>
      </c>
      <c r="B241">
        <v>5086</v>
      </c>
      <c r="C241">
        <v>5087</v>
      </c>
      <c r="D241" s="2">
        <v>44052</v>
      </c>
      <c r="E241" s="3">
        <f t="shared" si="9"/>
        <v>2020</v>
      </c>
      <c r="F241" s="3">
        <f t="shared" si="10"/>
        <v>8</v>
      </c>
      <c r="G241" s="3">
        <f t="shared" si="11"/>
        <v>1</v>
      </c>
      <c r="H241" t="s">
        <v>1589</v>
      </c>
      <c r="I241">
        <v>2709</v>
      </c>
      <c r="J241" t="s">
        <v>1225</v>
      </c>
      <c r="K241" t="s">
        <v>190</v>
      </c>
      <c r="L241">
        <v>2020</v>
      </c>
      <c r="M241" t="s">
        <v>1590</v>
      </c>
      <c r="N241" t="s">
        <v>1589</v>
      </c>
      <c r="O241" t="s">
        <v>1591</v>
      </c>
      <c r="P241">
        <v>12000</v>
      </c>
      <c r="Q241" t="s">
        <v>190</v>
      </c>
      <c r="R241">
        <v>1998</v>
      </c>
      <c r="S241" t="s">
        <v>1592</v>
      </c>
      <c r="T241" t="s">
        <v>1593</v>
      </c>
      <c r="U241">
        <v>5000</v>
      </c>
      <c r="V241" t="s">
        <v>190</v>
      </c>
      <c r="W241">
        <v>1909</v>
      </c>
      <c r="X241" t="s">
        <v>109</v>
      </c>
      <c r="Z241">
        <v>-1.5</v>
      </c>
      <c r="AB241">
        <v>50</v>
      </c>
      <c r="AC241">
        <v>50</v>
      </c>
      <c r="AD241">
        <v>0</v>
      </c>
      <c r="AE241">
        <v>0</v>
      </c>
      <c r="AF241">
        <v>0</v>
      </c>
      <c r="AG241">
        <v>100</v>
      </c>
      <c r="AH241">
        <v>0</v>
      </c>
      <c r="AI241">
        <v>60</v>
      </c>
      <c r="AJ241">
        <v>40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5</v>
      </c>
      <c r="AS241">
        <v>89</v>
      </c>
      <c r="AT241">
        <v>0</v>
      </c>
      <c r="AU241">
        <v>0</v>
      </c>
      <c r="AV241">
        <v>84</v>
      </c>
      <c r="AW241">
        <v>1</v>
      </c>
      <c r="AX241">
        <v>1</v>
      </c>
      <c r="AY241">
        <v>2</v>
      </c>
      <c r="AZ241">
        <v>2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1</v>
      </c>
      <c r="BK241">
        <v>0</v>
      </c>
      <c r="BL241">
        <v>2</v>
      </c>
      <c r="BM241">
        <v>0</v>
      </c>
      <c r="BN241">
        <v>1</v>
      </c>
      <c r="BO241">
        <v>0</v>
      </c>
      <c r="BP241">
        <v>2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0</v>
      </c>
      <c r="BZ241">
        <v>0</v>
      </c>
      <c r="CA241">
        <v>3</v>
      </c>
      <c r="CB241">
        <v>3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</v>
      </c>
      <c r="CJ241">
        <v>0</v>
      </c>
      <c r="CK241">
        <v>0</v>
      </c>
      <c r="CL241">
        <v>0</v>
      </c>
      <c r="CM241">
        <v>3</v>
      </c>
      <c r="CN241">
        <v>0</v>
      </c>
      <c r="CO241">
        <v>0</v>
      </c>
      <c r="CP241">
        <v>0</v>
      </c>
      <c r="CQ241">
        <v>3</v>
      </c>
      <c r="CR241">
        <v>0</v>
      </c>
      <c r="CS241">
        <v>0</v>
      </c>
      <c r="CT241">
        <v>1</v>
      </c>
      <c r="CU241">
        <v>0</v>
      </c>
      <c r="CV241">
        <v>1</v>
      </c>
      <c r="CW241">
        <v>0</v>
      </c>
      <c r="CX241">
        <v>0</v>
      </c>
      <c r="CY241">
        <v>0</v>
      </c>
      <c r="CZ241">
        <v>0</v>
      </c>
    </row>
    <row r="242" spans="1:104" x14ac:dyDescent="0.25">
      <c r="A242" s="1" t="s">
        <v>1594</v>
      </c>
      <c r="B242">
        <v>6018</v>
      </c>
      <c r="C242">
        <v>6026</v>
      </c>
      <c r="D242" s="2">
        <v>43750</v>
      </c>
      <c r="E242" s="3">
        <f t="shared" si="9"/>
        <v>2019</v>
      </c>
      <c r="F242" s="3">
        <f t="shared" si="10"/>
        <v>10</v>
      </c>
      <c r="G242" s="3">
        <f t="shared" si="11"/>
        <v>7</v>
      </c>
      <c r="H242" t="s">
        <v>1595</v>
      </c>
      <c r="I242">
        <v>1161</v>
      </c>
      <c r="J242" t="s">
        <v>1596</v>
      </c>
      <c r="K242" t="s">
        <v>113</v>
      </c>
      <c r="L242">
        <v>2019</v>
      </c>
      <c r="M242" t="s">
        <v>1597</v>
      </c>
      <c r="N242" t="s">
        <v>1595</v>
      </c>
      <c r="O242" t="s">
        <v>115</v>
      </c>
      <c r="P242">
        <v>11966</v>
      </c>
      <c r="Q242" t="s">
        <v>113</v>
      </c>
      <c r="R242">
        <v>1886</v>
      </c>
      <c r="S242" t="s">
        <v>1598</v>
      </c>
      <c r="T242" t="s">
        <v>1599</v>
      </c>
      <c r="U242">
        <v>5000</v>
      </c>
      <c r="V242" t="s">
        <v>113</v>
      </c>
      <c r="X242">
        <v>1</v>
      </c>
      <c r="Z242">
        <v>-3.5</v>
      </c>
      <c r="AA242">
        <v>-1.5</v>
      </c>
      <c r="AB242">
        <v>45</v>
      </c>
      <c r="AC242">
        <v>45</v>
      </c>
      <c r="AD242">
        <v>10</v>
      </c>
      <c r="AE242">
        <v>79</v>
      </c>
      <c r="AF242">
        <v>21</v>
      </c>
      <c r="AG242">
        <v>69</v>
      </c>
      <c r="AH242">
        <v>31</v>
      </c>
      <c r="AI242">
        <v>74</v>
      </c>
      <c r="AJ242">
        <v>26</v>
      </c>
      <c r="AK242">
        <v>0</v>
      </c>
      <c r="AL242">
        <v>0</v>
      </c>
      <c r="AM242">
        <v>15</v>
      </c>
      <c r="AN242">
        <v>85</v>
      </c>
      <c r="AO242">
        <v>40</v>
      </c>
      <c r="AP242">
        <v>60</v>
      </c>
      <c r="AQ242">
        <v>73</v>
      </c>
      <c r="AR242">
        <v>58</v>
      </c>
      <c r="AS242">
        <v>74</v>
      </c>
      <c r="AT242">
        <v>20</v>
      </c>
      <c r="AU242">
        <v>26</v>
      </c>
      <c r="AV242">
        <v>26</v>
      </c>
      <c r="AW242">
        <v>11</v>
      </c>
      <c r="AX242">
        <v>2.2000000000000002</v>
      </c>
      <c r="AY242">
        <v>5</v>
      </c>
      <c r="AZ242">
        <v>1</v>
      </c>
      <c r="BA242">
        <v>5</v>
      </c>
      <c r="BB242">
        <v>6</v>
      </c>
      <c r="BC242">
        <v>1</v>
      </c>
      <c r="BD242">
        <v>2</v>
      </c>
      <c r="BE242">
        <v>2</v>
      </c>
      <c r="BF242">
        <v>3</v>
      </c>
      <c r="BG242">
        <v>2</v>
      </c>
      <c r="BH242">
        <v>1</v>
      </c>
      <c r="BI242">
        <v>8</v>
      </c>
      <c r="BJ242">
        <v>7</v>
      </c>
      <c r="BK242">
        <v>11</v>
      </c>
      <c r="BL242">
        <v>3</v>
      </c>
      <c r="BM242">
        <v>1.6</v>
      </c>
      <c r="BN242">
        <v>1.2</v>
      </c>
      <c r="BO242">
        <v>2.2000000000000002</v>
      </c>
      <c r="BP242">
        <v>0.5</v>
      </c>
      <c r="BQ242">
        <v>4</v>
      </c>
      <c r="BR242">
        <v>3</v>
      </c>
      <c r="BS242">
        <v>1</v>
      </c>
      <c r="BT242">
        <v>0</v>
      </c>
      <c r="BU242">
        <v>2</v>
      </c>
      <c r="BV242">
        <v>1</v>
      </c>
      <c r="BW242">
        <v>1</v>
      </c>
      <c r="BX242">
        <v>2</v>
      </c>
      <c r="BY242">
        <v>5</v>
      </c>
      <c r="BZ242">
        <v>1</v>
      </c>
      <c r="CA242">
        <v>14</v>
      </c>
      <c r="CB242">
        <v>2.8</v>
      </c>
      <c r="CC242">
        <v>6</v>
      </c>
      <c r="CD242">
        <v>5</v>
      </c>
      <c r="CE242">
        <v>3</v>
      </c>
      <c r="CF242">
        <v>2</v>
      </c>
      <c r="CG242">
        <v>0</v>
      </c>
      <c r="CH242">
        <v>0</v>
      </c>
      <c r="CI242">
        <v>3</v>
      </c>
      <c r="CJ242">
        <v>3</v>
      </c>
      <c r="CK242">
        <v>8</v>
      </c>
      <c r="CL242">
        <v>8</v>
      </c>
      <c r="CM242">
        <v>11</v>
      </c>
      <c r="CN242">
        <v>9</v>
      </c>
      <c r="CO242">
        <v>1.3</v>
      </c>
      <c r="CP242">
        <v>1.6</v>
      </c>
      <c r="CQ242">
        <v>1.8</v>
      </c>
      <c r="CR242">
        <v>1.8</v>
      </c>
      <c r="CS242">
        <v>3</v>
      </c>
      <c r="CT242">
        <v>4</v>
      </c>
      <c r="CU242">
        <v>2</v>
      </c>
      <c r="CV242">
        <v>1</v>
      </c>
      <c r="CW242">
        <v>1</v>
      </c>
      <c r="CX242">
        <v>2</v>
      </c>
      <c r="CY242">
        <v>0</v>
      </c>
      <c r="CZ242">
        <v>1</v>
      </c>
    </row>
    <row r="243" spans="1:104" x14ac:dyDescent="0.25">
      <c r="A243" s="1" t="s">
        <v>1600</v>
      </c>
      <c r="B243">
        <v>4911</v>
      </c>
      <c r="C243">
        <v>1672</v>
      </c>
      <c r="D243" s="2">
        <v>43757</v>
      </c>
      <c r="E243" s="3">
        <f t="shared" si="9"/>
        <v>2019</v>
      </c>
      <c r="F243" s="3">
        <f t="shared" si="10"/>
        <v>10</v>
      </c>
      <c r="G243" s="3">
        <f t="shared" si="11"/>
        <v>7</v>
      </c>
      <c r="H243" t="s">
        <v>1601</v>
      </c>
      <c r="I243">
        <v>788</v>
      </c>
      <c r="J243" t="s">
        <v>1602</v>
      </c>
      <c r="K243" t="s">
        <v>158</v>
      </c>
      <c r="L243">
        <v>2019</v>
      </c>
      <c r="M243" t="s">
        <v>458</v>
      </c>
      <c r="Q243" t="s">
        <v>158</v>
      </c>
      <c r="V243" t="s">
        <v>158</v>
      </c>
      <c r="X243" t="s">
        <v>125</v>
      </c>
      <c r="Y243">
        <v>1.5</v>
      </c>
      <c r="Z243">
        <v>-2.5</v>
      </c>
      <c r="AA243">
        <v>-3.5</v>
      </c>
      <c r="AB243">
        <v>10</v>
      </c>
      <c r="AC243">
        <v>45</v>
      </c>
      <c r="AD243">
        <v>45</v>
      </c>
      <c r="AE243">
        <v>40</v>
      </c>
      <c r="AF243">
        <v>60</v>
      </c>
      <c r="AG243">
        <v>50</v>
      </c>
      <c r="AH243">
        <v>50</v>
      </c>
      <c r="AI243">
        <v>48</v>
      </c>
      <c r="AJ243">
        <v>52</v>
      </c>
      <c r="AK243">
        <v>19</v>
      </c>
      <c r="AL243">
        <v>81</v>
      </c>
      <c r="AM243">
        <v>0</v>
      </c>
      <c r="AN243">
        <v>0</v>
      </c>
      <c r="AO243">
        <v>0</v>
      </c>
      <c r="AP243">
        <v>0</v>
      </c>
      <c r="AQ243">
        <v>27</v>
      </c>
      <c r="AR243">
        <v>47</v>
      </c>
      <c r="AS243">
        <v>20</v>
      </c>
      <c r="AT243">
        <v>40</v>
      </c>
      <c r="AU243">
        <v>47</v>
      </c>
      <c r="AV243">
        <v>27</v>
      </c>
      <c r="AW243">
        <v>7</v>
      </c>
      <c r="AX243">
        <v>1.4</v>
      </c>
      <c r="AY243">
        <v>12</v>
      </c>
      <c r="AZ243">
        <v>2.4</v>
      </c>
      <c r="BA243">
        <v>2</v>
      </c>
      <c r="BB243">
        <v>3</v>
      </c>
      <c r="BC243">
        <v>0</v>
      </c>
      <c r="BD243">
        <v>1</v>
      </c>
      <c r="BE243">
        <v>0</v>
      </c>
      <c r="BF243">
        <v>1</v>
      </c>
      <c r="BG243">
        <v>2</v>
      </c>
      <c r="BH243">
        <v>1</v>
      </c>
      <c r="BI243">
        <v>3</v>
      </c>
      <c r="BJ243">
        <v>4</v>
      </c>
      <c r="BK243">
        <v>9</v>
      </c>
      <c r="BL243">
        <v>3</v>
      </c>
      <c r="BM243">
        <v>1.5</v>
      </c>
      <c r="BN243">
        <v>1.3</v>
      </c>
      <c r="BO243">
        <v>4.5</v>
      </c>
      <c r="BP243">
        <v>1</v>
      </c>
      <c r="BQ243">
        <v>1</v>
      </c>
      <c r="BR243">
        <v>1</v>
      </c>
      <c r="BS243">
        <v>0</v>
      </c>
      <c r="BT243">
        <v>0</v>
      </c>
      <c r="BU243">
        <v>0</v>
      </c>
      <c r="BV243">
        <v>1</v>
      </c>
      <c r="BW243">
        <v>1</v>
      </c>
      <c r="BX243">
        <v>0</v>
      </c>
      <c r="BY243">
        <v>7</v>
      </c>
      <c r="BZ243">
        <v>1.4</v>
      </c>
      <c r="CA243">
        <v>11</v>
      </c>
      <c r="CB243">
        <v>2.2000000000000002</v>
      </c>
      <c r="CC243">
        <v>3</v>
      </c>
      <c r="CD243">
        <v>2</v>
      </c>
      <c r="CE243">
        <v>1</v>
      </c>
      <c r="CF243">
        <v>1</v>
      </c>
      <c r="CG243">
        <v>0</v>
      </c>
      <c r="CH243">
        <v>0</v>
      </c>
      <c r="CI243">
        <v>2</v>
      </c>
      <c r="CJ243">
        <v>1</v>
      </c>
      <c r="CK243">
        <v>4</v>
      </c>
      <c r="CL243">
        <v>3</v>
      </c>
      <c r="CM243">
        <v>8</v>
      </c>
      <c r="CN243">
        <v>3</v>
      </c>
      <c r="CO243">
        <v>1.3</v>
      </c>
      <c r="CP243">
        <v>1.5</v>
      </c>
      <c r="CQ243">
        <v>2.7</v>
      </c>
      <c r="CR243">
        <v>1.5</v>
      </c>
      <c r="CS243">
        <v>1</v>
      </c>
      <c r="CT243">
        <v>1</v>
      </c>
      <c r="CU243">
        <v>0</v>
      </c>
      <c r="CV243">
        <v>1</v>
      </c>
      <c r="CW243">
        <v>1</v>
      </c>
      <c r="CX243">
        <v>0</v>
      </c>
      <c r="CY243">
        <v>0</v>
      </c>
      <c r="CZ243">
        <v>0</v>
      </c>
    </row>
    <row r="244" spans="1:104" x14ac:dyDescent="0.25">
      <c r="A244" s="1" t="s">
        <v>1603</v>
      </c>
      <c r="B244">
        <v>529</v>
      </c>
      <c r="C244">
        <v>537</v>
      </c>
      <c r="D244" s="2">
        <v>43998</v>
      </c>
      <c r="E244" s="3">
        <f t="shared" si="9"/>
        <v>2020</v>
      </c>
      <c r="F244" s="3">
        <f t="shared" si="10"/>
        <v>6</v>
      </c>
      <c r="G244" s="3">
        <f t="shared" si="11"/>
        <v>3</v>
      </c>
      <c r="H244" t="s">
        <v>1604</v>
      </c>
      <c r="I244">
        <v>775</v>
      </c>
      <c r="J244" t="s">
        <v>344</v>
      </c>
      <c r="K244" t="s">
        <v>380</v>
      </c>
      <c r="L244">
        <v>2019</v>
      </c>
      <c r="M244" t="s">
        <v>787</v>
      </c>
      <c r="N244" t="s">
        <v>1604</v>
      </c>
      <c r="O244" t="s">
        <v>1605</v>
      </c>
      <c r="P244">
        <v>99787</v>
      </c>
      <c r="Q244" t="s">
        <v>380</v>
      </c>
      <c r="R244">
        <v>1899</v>
      </c>
      <c r="S244" t="s">
        <v>1606</v>
      </c>
      <c r="T244" t="s">
        <v>1607</v>
      </c>
      <c r="U244">
        <v>12450</v>
      </c>
      <c r="V244" t="s">
        <v>380</v>
      </c>
      <c r="W244">
        <v>1928</v>
      </c>
      <c r="X244">
        <v>1</v>
      </c>
      <c r="Z244">
        <v>-3.5</v>
      </c>
      <c r="AA244">
        <v>-1.5</v>
      </c>
      <c r="AB244">
        <v>50</v>
      </c>
      <c r="AC244">
        <v>50</v>
      </c>
      <c r="AD244">
        <v>0</v>
      </c>
      <c r="AE244">
        <v>71</v>
      </c>
      <c r="AF244">
        <v>29</v>
      </c>
      <c r="AG244">
        <v>75</v>
      </c>
      <c r="AH244">
        <v>25</v>
      </c>
      <c r="AI244">
        <v>63</v>
      </c>
      <c r="AJ244">
        <v>38</v>
      </c>
      <c r="AK244">
        <v>87</v>
      </c>
      <c r="AL244">
        <v>13</v>
      </c>
      <c r="AM244">
        <v>80</v>
      </c>
      <c r="AN244">
        <v>20</v>
      </c>
      <c r="AO244">
        <v>74</v>
      </c>
      <c r="AP244">
        <v>26</v>
      </c>
      <c r="AQ244">
        <v>80</v>
      </c>
      <c r="AR244">
        <v>100</v>
      </c>
      <c r="AS244">
        <v>67</v>
      </c>
      <c r="AT244">
        <v>33</v>
      </c>
      <c r="AU244">
        <v>44</v>
      </c>
      <c r="AV244">
        <v>44</v>
      </c>
      <c r="AW244">
        <v>12</v>
      </c>
      <c r="AX244">
        <v>2.4</v>
      </c>
      <c r="AY244">
        <v>3</v>
      </c>
      <c r="AZ244">
        <v>0.6</v>
      </c>
      <c r="BA244">
        <v>14</v>
      </c>
      <c r="BB244">
        <v>14</v>
      </c>
      <c r="BC244">
        <v>13</v>
      </c>
      <c r="BD244">
        <v>6</v>
      </c>
      <c r="BE244">
        <v>1</v>
      </c>
      <c r="BF244">
        <v>3</v>
      </c>
      <c r="BG244">
        <v>0</v>
      </c>
      <c r="BH244">
        <v>5</v>
      </c>
      <c r="BI244">
        <v>45</v>
      </c>
      <c r="BJ244">
        <v>22</v>
      </c>
      <c r="BK244">
        <v>12</v>
      </c>
      <c r="BL244">
        <v>19</v>
      </c>
      <c r="BM244">
        <v>3.2</v>
      </c>
      <c r="BN244">
        <v>1.6</v>
      </c>
      <c r="BO244">
        <v>0.9</v>
      </c>
      <c r="BP244">
        <v>1.4</v>
      </c>
      <c r="BQ244">
        <v>5</v>
      </c>
      <c r="BR244">
        <v>4</v>
      </c>
      <c r="BS244">
        <v>5</v>
      </c>
      <c r="BT244">
        <v>3</v>
      </c>
      <c r="BU244">
        <v>0</v>
      </c>
      <c r="BV244">
        <v>0</v>
      </c>
      <c r="BW244">
        <v>0</v>
      </c>
      <c r="BX244">
        <v>1</v>
      </c>
      <c r="BY244">
        <v>4</v>
      </c>
      <c r="BZ244">
        <v>0.8</v>
      </c>
      <c r="CA244">
        <v>5</v>
      </c>
      <c r="CB244">
        <v>1</v>
      </c>
      <c r="CC244">
        <v>15</v>
      </c>
      <c r="CD244">
        <v>13</v>
      </c>
      <c r="CE244">
        <v>4</v>
      </c>
      <c r="CF244">
        <v>1</v>
      </c>
      <c r="CG244">
        <v>3</v>
      </c>
      <c r="CH244">
        <v>5</v>
      </c>
      <c r="CI244">
        <v>8</v>
      </c>
      <c r="CJ244">
        <v>7</v>
      </c>
      <c r="CK244">
        <v>14</v>
      </c>
      <c r="CL244">
        <v>8</v>
      </c>
      <c r="CM244">
        <v>21</v>
      </c>
      <c r="CN244">
        <v>20</v>
      </c>
      <c r="CO244">
        <v>0.9</v>
      </c>
      <c r="CP244">
        <v>0.6</v>
      </c>
      <c r="CQ244">
        <v>1.4</v>
      </c>
      <c r="CR244">
        <v>1.5</v>
      </c>
      <c r="CS244">
        <v>4</v>
      </c>
      <c r="CT244">
        <v>5</v>
      </c>
      <c r="CU244">
        <v>1</v>
      </c>
      <c r="CV244">
        <v>0</v>
      </c>
      <c r="CW244">
        <v>0</v>
      </c>
      <c r="CX244">
        <v>0</v>
      </c>
      <c r="CY244">
        <v>3</v>
      </c>
      <c r="CZ244">
        <v>5</v>
      </c>
    </row>
    <row r="245" spans="1:104" x14ac:dyDescent="0.25">
      <c r="A245" s="1" t="s">
        <v>1608</v>
      </c>
      <c r="B245">
        <v>4205</v>
      </c>
      <c r="C245">
        <v>4200</v>
      </c>
      <c r="D245" s="2">
        <v>43704</v>
      </c>
      <c r="E245" s="3">
        <f t="shared" si="9"/>
        <v>2019</v>
      </c>
      <c r="F245" s="3">
        <f t="shared" si="10"/>
        <v>8</v>
      </c>
      <c r="G245" s="3">
        <f t="shared" si="11"/>
        <v>3</v>
      </c>
      <c r="H245" t="s">
        <v>1609</v>
      </c>
      <c r="I245">
        <v>559</v>
      </c>
      <c r="J245" t="s">
        <v>320</v>
      </c>
      <c r="K245" t="s">
        <v>1610</v>
      </c>
      <c r="L245">
        <v>2019</v>
      </c>
      <c r="M245" t="s">
        <v>122</v>
      </c>
      <c r="N245" t="s">
        <v>1611</v>
      </c>
      <c r="O245" t="s">
        <v>1610</v>
      </c>
      <c r="P245">
        <v>3400</v>
      </c>
      <c r="Q245" t="s">
        <v>1610</v>
      </c>
      <c r="R245">
        <v>2006</v>
      </c>
      <c r="S245" t="s">
        <v>1612</v>
      </c>
      <c r="T245" t="s">
        <v>1610</v>
      </c>
      <c r="U245">
        <v>2700</v>
      </c>
      <c r="V245" t="s">
        <v>1610</v>
      </c>
      <c r="W245">
        <v>2004</v>
      </c>
      <c r="X245" t="s">
        <v>109</v>
      </c>
      <c r="Y245">
        <v>1.5</v>
      </c>
      <c r="Z245">
        <v>-3.5</v>
      </c>
      <c r="AA245">
        <v>-2.5</v>
      </c>
      <c r="AB245">
        <v>45</v>
      </c>
      <c r="AC245">
        <v>45</v>
      </c>
      <c r="AD245">
        <v>10</v>
      </c>
      <c r="AE245">
        <v>75</v>
      </c>
      <c r="AF245">
        <v>25</v>
      </c>
      <c r="AG245">
        <v>73</v>
      </c>
      <c r="AH245">
        <v>27</v>
      </c>
      <c r="AI245">
        <v>45</v>
      </c>
      <c r="AJ245">
        <v>55</v>
      </c>
      <c r="AK245">
        <v>59</v>
      </c>
      <c r="AL245">
        <v>41</v>
      </c>
      <c r="AM245">
        <v>50</v>
      </c>
      <c r="AN245">
        <v>50</v>
      </c>
      <c r="AO245">
        <v>53</v>
      </c>
      <c r="AP245">
        <v>47</v>
      </c>
      <c r="AQ245">
        <v>80</v>
      </c>
      <c r="AR245">
        <v>70</v>
      </c>
      <c r="AS245">
        <v>52</v>
      </c>
      <c r="AT245">
        <v>27</v>
      </c>
      <c r="AU245">
        <v>26</v>
      </c>
      <c r="AV245">
        <v>61</v>
      </c>
      <c r="AW245">
        <v>16</v>
      </c>
      <c r="AX245">
        <v>3.2</v>
      </c>
      <c r="AY245">
        <v>11</v>
      </c>
      <c r="AZ245">
        <v>2.2000000000000002</v>
      </c>
      <c r="BA245">
        <v>10</v>
      </c>
      <c r="BB245">
        <v>10</v>
      </c>
      <c r="BC245">
        <v>7</v>
      </c>
      <c r="BD245">
        <v>5</v>
      </c>
      <c r="BE245">
        <v>0</v>
      </c>
      <c r="BF245">
        <v>2</v>
      </c>
      <c r="BG245">
        <v>3</v>
      </c>
      <c r="BH245">
        <v>3</v>
      </c>
      <c r="BI245">
        <v>24</v>
      </c>
      <c r="BJ245">
        <v>23</v>
      </c>
      <c r="BK245">
        <v>16</v>
      </c>
      <c r="BL245">
        <v>19</v>
      </c>
      <c r="BM245">
        <v>2.4</v>
      </c>
      <c r="BN245">
        <v>2.2999999999999998</v>
      </c>
      <c r="BO245">
        <v>1.6</v>
      </c>
      <c r="BP245">
        <v>1.9</v>
      </c>
      <c r="BQ245">
        <v>7</v>
      </c>
      <c r="BR245">
        <v>7</v>
      </c>
      <c r="BS245">
        <v>2</v>
      </c>
      <c r="BT245">
        <v>1</v>
      </c>
      <c r="BU245">
        <v>3</v>
      </c>
      <c r="BV245">
        <v>1</v>
      </c>
      <c r="BW245">
        <v>2</v>
      </c>
      <c r="BX245">
        <v>5</v>
      </c>
      <c r="BY245">
        <v>6</v>
      </c>
      <c r="BZ245">
        <v>1.2</v>
      </c>
      <c r="CA245">
        <v>9</v>
      </c>
      <c r="CB245">
        <v>1.8</v>
      </c>
      <c r="CC245">
        <v>9</v>
      </c>
      <c r="CD245">
        <v>9</v>
      </c>
      <c r="CE245">
        <v>6</v>
      </c>
      <c r="CF245">
        <v>3</v>
      </c>
      <c r="CG245">
        <v>2</v>
      </c>
      <c r="CH245">
        <v>2</v>
      </c>
      <c r="CI245">
        <v>1</v>
      </c>
      <c r="CJ245">
        <v>4</v>
      </c>
      <c r="CK245">
        <v>15</v>
      </c>
      <c r="CL245">
        <v>12</v>
      </c>
      <c r="CM245">
        <v>5</v>
      </c>
      <c r="CN245">
        <v>14</v>
      </c>
      <c r="CO245">
        <v>1.7</v>
      </c>
      <c r="CP245">
        <v>1.3</v>
      </c>
      <c r="CQ245">
        <v>0.6</v>
      </c>
      <c r="CR245">
        <v>1.6</v>
      </c>
      <c r="CS245">
        <v>7</v>
      </c>
      <c r="CT245">
        <v>7</v>
      </c>
      <c r="CU245">
        <v>5</v>
      </c>
      <c r="CV245">
        <v>2</v>
      </c>
      <c r="CW245">
        <v>1</v>
      </c>
      <c r="CX245">
        <v>3</v>
      </c>
      <c r="CY245">
        <v>1</v>
      </c>
      <c r="CZ245">
        <v>2</v>
      </c>
    </row>
    <row r="246" spans="1:104" x14ac:dyDescent="0.25">
      <c r="A246" s="1" t="s">
        <v>1613</v>
      </c>
      <c r="B246">
        <v>248</v>
      </c>
      <c r="C246">
        <v>247</v>
      </c>
      <c r="D246" s="2">
        <v>43722</v>
      </c>
      <c r="E246" s="3">
        <f t="shared" si="9"/>
        <v>2019</v>
      </c>
      <c r="F246" s="3">
        <f t="shared" si="10"/>
        <v>9</v>
      </c>
      <c r="G246" s="3">
        <f t="shared" si="11"/>
        <v>7</v>
      </c>
      <c r="H246" t="s">
        <v>1614</v>
      </c>
      <c r="I246">
        <v>574</v>
      </c>
      <c r="J246" t="s">
        <v>1615</v>
      </c>
      <c r="K246" t="s">
        <v>1029</v>
      </c>
      <c r="L246">
        <v>2019</v>
      </c>
      <c r="M246" t="s">
        <v>591</v>
      </c>
      <c r="Q246" t="s">
        <v>1029</v>
      </c>
      <c r="R246">
        <v>1874</v>
      </c>
      <c r="V246" t="s">
        <v>1029</v>
      </c>
      <c r="W246">
        <v>1888</v>
      </c>
      <c r="X246">
        <v>2</v>
      </c>
      <c r="Y246">
        <v>1.5</v>
      </c>
      <c r="Z246">
        <v>-2.5</v>
      </c>
      <c r="AA246">
        <v>-5.5</v>
      </c>
      <c r="AB246">
        <v>0</v>
      </c>
      <c r="AC246">
        <v>50</v>
      </c>
      <c r="AD246">
        <v>50</v>
      </c>
      <c r="AE246">
        <v>25</v>
      </c>
      <c r="AF246">
        <v>75</v>
      </c>
      <c r="AG246">
        <v>23</v>
      </c>
      <c r="AH246">
        <v>77</v>
      </c>
      <c r="AI246">
        <v>27</v>
      </c>
      <c r="AJ246">
        <v>73</v>
      </c>
      <c r="AK246">
        <v>16</v>
      </c>
      <c r="AL246">
        <v>84</v>
      </c>
      <c r="AM246">
        <v>0</v>
      </c>
      <c r="AN246">
        <v>100</v>
      </c>
      <c r="AO246">
        <v>14</v>
      </c>
      <c r="AP246">
        <v>86</v>
      </c>
      <c r="AQ246">
        <v>33</v>
      </c>
      <c r="AR246">
        <v>33</v>
      </c>
      <c r="AS246">
        <v>47</v>
      </c>
      <c r="AT246">
        <v>100</v>
      </c>
      <c r="AU246">
        <v>100</v>
      </c>
      <c r="AV246">
        <v>80</v>
      </c>
      <c r="AW246">
        <v>5</v>
      </c>
      <c r="AX246">
        <v>1.3</v>
      </c>
      <c r="AY246">
        <v>8</v>
      </c>
      <c r="AZ246">
        <v>2</v>
      </c>
      <c r="BA246">
        <v>2</v>
      </c>
      <c r="BB246">
        <v>2</v>
      </c>
      <c r="BC246">
        <v>1</v>
      </c>
      <c r="BD246">
        <v>0</v>
      </c>
      <c r="BE246">
        <v>0</v>
      </c>
      <c r="BF246">
        <v>1</v>
      </c>
      <c r="BG246">
        <v>1</v>
      </c>
      <c r="BH246">
        <v>1</v>
      </c>
      <c r="BI246">
        <v>3</v>
      </c>
      <c r="BJ246">
        <v>2</v>
      </c>
      <c r="BK246">
        <v>3</v>
      </c>
      <c r="BL246">
        <v>5</v>
      </c>
      <c r="BM246">
        <v>1.5</v>
      </c>
      <c r="BN246">
        <v>1</v>
      </c>
      <c r="BO246">
        <v>1.5</v>
      </c>
      <c r="BP246">
        <v>2.5</v>
      </c>
      <c r="BQ246">
        <v>10</v>
      </c>
      <c r="BR246">
        <v>12</v>
      </c>
      <c r="BS246">
        <v>0</v>
      </c>
      <c r="BT246">
        <v>1</v>
      </c>
      <c r="BU246">
        <v>2</v>
      </c>
      <c r="BV246">
        <v>0</v>
      </c>
      <c r="BW246">
        <v>8</v>
      </c>
      <c r="BX246">
        <v>11</v>
      </c>
      <c r="BY246">
        <v>17</v>
      </c>
      <c r="BZ246">
        <v>4.3</v>
      </c>
      <c r="CA246">
        <v>3</v>
      </c>
      <c r="CB246">
        <v>0.8</v>
      </c>
      <c r="CC246">
        <v>2</v>
      </c>
      <c r="CD246">
        <v>2</v>
      </c>
      <c r="CE246">
        <v>2</v>
      </c>
      <c r="CF246">
        <v>2</v>
      </c>
      <c r="CG246">
        <v>0</v>
      </c>
      <c r="CH246">
        <v>0</v>
      </c>
      <c r="CI246">
        <v>0</v>
      </c>
      <c r="CJ246">
        <v>0</v>
      </c>
      <c r="CK246">
        <v>10</v>
      </c>
      <c r="CL246">
        <v>7</v>
      </c>
      <c r="CM246">
        <v>1</v>
      </c>
      <c r="CN246">
        <v>2</v>
      </c>
      <c r="CO246">
        <v>5</v>
      </c>
      <c r="CP246">
        <v>3.5</v>
      </c>
      <c r="CQ246">
        <v>0.5</v>
      </c>
      <c r="CR246">
        <v>1</v>
      </c>
      <c r="CS246">
        <v>12</v>
      </c>
      <c r="CT246">
        <v>10</v>
      </c>
      <c r="CU246">
        <v>11</v>
      </c>
      <c r="CV246">
        <v>8</v>
      </c>
      <c r="CW246">
        <v>0</v>
      </c>
      <c r="CX246">
        <v>2</v>
      </c>
      <c r="CY246">
        <v>1</v>
      </c>
      <c r="CZ246">
        <v>0</v>
      </c>
    </row>
    <row r="247" spans="1:104" x14ac:dyDescent="0.25">
      <c r="A247" s="1" t="s">
        <v>1616</v>
      </c>
      <c r="B247">
        <v>232</v>
      </c>
      <c r="C247">
        <v>763</v>
      </c>
      <c r="D247" s="2">
        <v>43785</v>
      </c>
      <c r="E247" s="3">
        <f t="shared" si="9"/>
        <v>2019</v>
      </c>
      <c r="F247" s="3">
        <f t="shared" si="10"/>
        <v>11</v>
      </c>
      <c r="G247" s="3">
        <f t="shared" si="11"/>
        <v>7</v>
      </c>
      <c r="H247" t="s">
        <v>1617</v>
      </c>
      <c r="I247">
        <v>1287</v>
      </c>
      <c r="J247" t="s">
        <v>255</v>
      </c>
      <c r="K247" t="s">
        <v>140</v>
      </c>
      <c r="L247">
        <v>2019</v>
      </c>
      <c r="M247" t="s">
        <v>1618</v>
      </c>
      <c r="N247" t="s">
        <v>1619</v>
      </c>
      <c r="O247" t="s">
        <v>1620</v>
      </c>
      <c r="P247">
        <v>30165</v>
      </c>
      <c r="Q247" t="s">
        <v>140</v>
      </c>
      <c r="S247" t="s">
        <v>1621</v>
      </c>
      <c r="T247" t="s">
        <v>1622</v>
      </c>
      <c r="U247">
        <v>2495</v>
      </c>
      <c r="V247" t="s">
        <v>140</v>
      </c>
      <c r="X247" t="s">
        <v>109</v>
      </c>
      <c r="Z247">
        <v>-2.5</v>
      </c>
      <c r="AA247">
        <v>-1.5</v>
      </c>
      <c r="AB247">
        <v>45</v>
      </c>
      <c r="AC247">
        <v>45</v>
      </c>
      <c r="AD247">
        <v>10</v>
      </c>
      <c r="AE247">
        <v>100</v>
      </c>
      <c r="AF247">
        <v>0</v>
      </c>
      <c r="AG247">
        <v>50</v>
      </c>
      <c r="AH247">
        <v>50</v>
      </c>
      <c r="AI247">
        <v>81</v>
      </c>
      <c r="AJ247">
        <v>19</v>
      </c>
      <c r="AK247">
        <v>95</v>
      </c>
      <c r="AL247">
        <v>5</v>
      </c>
      <c r="AM247">
        <v>20</v>
      </c>
      <c r="AN247">
        <v>80</v>
      </c>
      <c r="AO247">
        <v>29</v>
      </c>
      <c r="AP247">
        <v>71</v>
      </c>
      <c r="AQ247">
        <v>47</v>
      </c>
      <c r="AR247">
        <v>31</v>
      </c>
      <c r="AS247">
        <v>69</v>
      </c>
      <c r="AT247">
        <v>0</v>
      </c>
      <c r="AU247">
        <v>31</v>
      </c>
      <c r="AV247">
        <v>0</v>
      </c>
      <c r="AW247">
        <v>4</v>
      </c>
      <c r="AX247">
        <v>0.8</v>
      </c>
      <c r="AY247">
        <v>4</v>
      </c>
      <c r="AZ247">
        <v>0.8</v>
      </c>
      <c r="BA247">
        <v>5</v>
      </c>
      <c r="BB247">
        <v>5</v>
      </c>
      <c r="BC247">
        <v>4</v>
      </c>
      <c r="BD247">
        <v>1</v>
      </c>
      <c r="BE247">
        <v>1</v>
      </c>
      <c r="BF247">
        <v>1</v>
      </c>
      <c r="BG247">
        <v>0</v>
      </c>
      <c r="BH247">
        <v>3</v>
      </c>
      <c r="BI247">
        <v>7</v>
      </c>
      <c r="BJ247">
        <v>5</v>
      </c>
      <c r="BK247">
        <v>1</v>
      </c>
      <c r="BL247">
        <v>6</v>
      </c>
      <c r="BM247">
        <v>1.4</v>
      </c>
      <c r="BN247">
        <v>1</v>
      </c>
      <c r="BO247">
        <v>0.2</v>
      </c>
      <c r="BP247">
        <v>1.2</v>
      </c>
      <c r="BQ247">
        <v>3</v>
      </c>
      <c r="BR247">
        <v>2</v>
      </c>
      <c r="BS247">
        <v>1</v>
      </c>
      <c r="BT247">
        <v>0</v>
      </c>
      <c r="BU247">
        <v>1</v>
      </c>
      <c r="BV247">
        <v>1</v>
      </c>
      <c r="BW247">
        <v>1</v>
      </c>
      <c r="BX247">
        <v>1</v>
      </c>
      <c r="BY247">
        <v>4</v>
      </c>
      <c r="BZ247">
        <v>0.8</v>
      </c>
      <c r="CA247">
        <v>17</v>
      </c>
      <c r="CB247">
        <v>3.4</v>
      </c>
      <c r="CC247">
        <v>5</v>
      </c>
      <c r="CD247">
        <v>4</v>
      </c>
      <c r="CE247">
        <v>1</v>
      </c>
      <c r="CF247">
        <v>1</v>
      </c>
      <c r="CG247">
        <v>1</v>
      </c>
      <c r="CH247">
        <v>0</v>
      </c>
      <c r="CI247">
        <v>3</v>
      </c>
      <c r="CJ247">
        <v>3</v>
      </c>
      <c r="CK247">
        <v>5</v>
      </c>
      <c r="CL247">
        <v>4</v>
      </c>
      <c r="CM247">
        <v>10</v>
      </c>
      <c r="CN247">
        <v>14</v>
      </c>
      <c r="CO247">
        <v>1</v>
      </c>
      <c r="CP247">
        <v>1</v>
      </c>
      <c r="CQ247">
        <v>2</v>
      </c>
      <c r="CR247">
        <v>3.5</v>
      </c>
      <c r="CS247">
        <v>2</v>
      </c>
      <c r="CT247">
        <v>3</v>
      </c>
      <c r="CU247">
        <v>1</v>
      </c>
      <c r="CV247">
        <v>1</v>
      </c>
      <c r="CW247">
        <v>1</v>
      </c>
      <c r="CX247">
        <v>1</v>
      </c>
      <c r="CY247">
        <v>0</v>
      </c>
      <c r="CZ247">
        <v>1</v>
      </c>
    </row>
    <row r="248" spans="1:104" x14ac:dyDescent="0.25">
      <c r="A248" s="1" t="s">
        <v>1623</v>
      </c>
      <c r="B248">
        <v>9596</v>
      </c>
      <c r="C248">
        <v>9599</v>
      </c>
      <c r="D248" s="2">
        <v>43758</v>
      </c>
      <c r="E248" s="3">
        <f t="shared" si="9"/>
        <v>2019</v>
      </c>
      <c r="F248" s="3">
        <f t="shared" si="10"/>
        <v>10</v>
      </c>
      <c r="G248" s="3">
        <f t="shared" si="11"/>
        <v>1</v>
      </c>
      <c r="H248" t="s">
        <v>1624</v>
      </c>
      <c r="I248">
        <v>1268</v>
      </c>
      <c r="J248" t="s">
        <v>1625</v>
      </c>
      <c r="K248" t="s">
        <v>380</v>
      </c>
      <c r="L248">
        <v>2019</v>
      </c>
      <c r="M248" t="s">
        <v>1626</v>
      </c>
      <c r="N248" t="s">
        <v>1624</v>
      </c>
      <c r="O248" t="s">
        <v>1627</v>
      </c>
      <c r="P248">
        <v>18500</v>
      </c>
      <c r="Q248" t="s">
        <v>380</v>
      </c>
      <c r="R248">
        <v>1912</v>
      </c>
      <c r="S248" t="s">
        <v>1628</v>
      </c>
      <c r="T248" t="s">
        <v>1629</v>
      </c>
      <c r="U248">
        <v>1000</v>
      </c>
      <c r="V248" t="s">
        <v>380</v>
      </c>
      <c r="X248" t="s">
        <v>109</v>
      </c>
      <c r="Y248">
        <v>-3.5</v>
      </c>
      <c r="Z248">
        <v>-1.5</v>
      </c>
      <c r="AA248">
        <v>-1.5</v>
      </c>
      <c r="AB248">
        <v>45</v>
      </c>
      <c r="AC248">
        <v>45</v>
      </c>
      <c r="AD248">
        <v>10</v>
      </c>
      <c r="AE248">
        <v>45</v>
      </c>
      <c r="AF248">
        <v>55</v>
      </c>
      <c r="AG248">
        <v>43</v>
      </c>
      <c r="AH248">
        <v>57</v>
      </c>
      <c r="AI248">
        <v>67</v>
      </c>
      <c r="AJ248">
        <v>33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33</v>
      </c>
      <c r="AR248">
        <v>33</v>
      </c>
      <c r="AS248">
        <v>56</v>
      </c>
      <c r="AT248">
        <v>40</v>
      </c>
      <c r="AU248">
        <v>44</v>
      </c>
      <c r="AV248">
        <v>11</v>
      </c>
      <c r="AW248">
        <v>3</v>
      </c>
      <c r="AX248">
        <v>0.6</v>
      </c>
      <c r="AY248">
        <v>4</v>
      </c>
      <c r="AZ248">
        <v>0.8</v>
      </c>
      <c r="BA248">
        <v>4</v>
      </c>
      <c r="BB248">
        <v>4</v>
      </c>
      <c r="BC248">
        <v>2</v>
      </c>
      <c r="BD248">
        <v>1</v>
      </c>
      <c r="BE248">
        <v>1</v>
      </c>
      <c r="BF248">
        <v>2</v>
      </c>
      <c r="BG248">
        <v>1</v>
      </c>
      <c r="BH248">
        <v>1</v>
      </c>
      <c r="BI248">
        <v>3</v>
      </c>
      <c r="BJ248">
        <v>4</v>
      </c>
      <c r="BK248">
        <v>2</v>
      </c>
      <c r="BL248">
        <v>3</v>
      </c>
      <c r="BM248">
        <v>0.8</v>
      </c>
      <c r="BN248">
        <v>1</v>
      </c>
      <c r="BO248">
        <v>0.5</v>
      </c>
      <c r="BP248">
        <v>0.8</v>
      </c>
      <c r="BQ248">
        <v>1</v>
      </c>
      <c r="BR248">
        <v>1</v>
      </c>
      <c r="BS248">
        <v>0</v>
      </c>
      <c r="BT248">
        <v>0</v>
      </c>
      <c r="BU248">
        <v>1</v>
      </c>
      <c r="BV248">
        <v>1</v>
      </c>
      <c r="BW248">
        <v>0</v>
      </c>
      <c r="BX248">
        <v>0</v>
      </c>
      <c r="BY248">
        <v>4</v>
      </c>
      <c r="BZ248">
        <v>0.8</v>
      </c>
      <c r="CA248">
        <v>8</v>
      </c>
      <c r="CB248">
        <v>1.6</v>
      </c>
      <c r="CC248">
        <v>4</v>
      </c>
      <c r="CD248">
        <v>4</v>
      </c>
      <c r="CE248">
        <v>2</v>
      </c>
      <c r="CF248">
        <v>0</v>
      </c>
      <c r="CG248">
        <v>1</v>
      </c>
      <c r="CH248">
        <v>0</v>
      </c>
      <c r="CI248">
        <v>1</v>
      </c>
      <c r="CJ248">
        <v>4</v>
      </c>
      <c r="CK248">
        <v>3</v>
      </c>
      <c r="CL248">
        <v>4</v>
      </c>
      <c r="CM248">
        <v>3</v>
      </c>
      <c r="CN248">
        <v>10</v>
      </c>
      <c r="CO248">
        <v>0.8</v>
      </c>
      <c r="CP248">
        <v>1</v>
      </c>
      <c r="CQ248">
        <v>0.8</v>
      </c>
      <c r="CR248">
        <v>2.5</v>
      </c>
      <c r="CS248">
        <v>1</v>
      </c>
      <c r="CT248">
        <v>1</v>
      </c>
      <c r="CU248">
        <v>0</v>
      </c>
      <c r="CV248">
        <v>0</v>
      </c>
      <c r="CW248">
        <v>1</v>
      </c>
      <c r="CX248">
        <v>1</v>
      </c>
      <c r="CY248">
        <v>0</v>
      </c>
      <c r="CZ248">
        <v>0</v>
      </c>
    </row>
    <row r="249" spans="1:104" x14ac:dyDescent="0.25">
      <c r="A249" s="1" t="s">
        <v>1630</v>
      </c>
      <c r="B249">
        <v>9745</v>
      </c>
      <c r="C249">
        <v>9398</v>
      </c>
      <c r="D249" s="2">
        <v>43765</v>
      </c>
      <c r="E249" s="3">
        <f t="shared" si="9"/>
        <v>2019</v>
      </c>
      <c r="F249" s="3">
        <f t="shared" si="10"/>
        <v>10</v>
      </c>
      <c r="G249" s="3">
        <f t="shared" si="11"/>
        <v>1</v>
      </c>
      <c r="H249" t="s">
        <v>1631</v>
      </c>
      <c r="I249">
        <v>1277</v>
      </c>
      <c r="J249" t="s">
        <v>1632</v>
      </c>
      <c r="K249" t="s">
        <v>380</v>
      </c>
      <c r="L249">
        <v>2019</v>
      </c>
      <c r="M249" t="s">
        <v>1633</v>
      </c>
      <c r="N249" t="s">
        <v>1631</v>
      </c>
      <c r="O249" t="s">
        <v>1191</v>
      </c>
      <c r="P249">
        <v>1000</v>
      </c>
      <c r="Q249" t="s">
        <v>380</v>
      </c>
      <c r="R249">
        <v>1971</v>
      </c>
      <c r="S249" t="s">
        <v>1634</v>
      </c>
      <c r="T249" t="s">
        <v>1635</v>
      </c>
      <c r="U249">
        <v>8000</v>
      </c>
      <c r="V249" t="s">
        <v>380</v>
      </c>
      <c r="W249">
        <v>2009</v>
      </c>
      <c r="X249" t="s">
        <v>125</v>
      </c>
      <c r="Z249">
        <v>-2.5</v>
      </c>
      <c r="AA249">
        <v>-3.5</v>
      </c>
      <c r="AB249">
        <v>10</v>
      </c>
      <c r="AC249">
        <v>45</v>
      </c>
      <c r="AD249">
        <v>45</v>
      </c>
      <c r="AE249">
        <v>37</v>
      </c>
      <c r="AF249">
        <v>63</v>
      </c>
      <c r="AG249">
        <v>44</v>
      </c>
      <c r="AH249">
        <v>56</v>
      </c>
      <c r="AI249">
        <v>43</v>
      </c>
      <c r="AJ249">
        <v>57</v>
      </c>
      <c r="AK249">
        <v>37</v>
      </c>
      <c r="AL249">
        <v>63</v>
      </c>
      <c r="AM249">
        <v>0</v>
      </c>
      <c r="AN249">
        <v>0</v>
      </c>
      <c r="AO249">
        <v>0</v>
      </c>
      <c r="AP249">
        <v>0</v>
      </c>
      <c r="AQ249">
        <v>47</v>
      </c>
      <c r="AR249">
        <v>58</v>
      </c>
      <c r="AS249">
        <v>33</v>
      </c>
      <c r="AT249">
        <v>80</v>
      </c>
      <c r="AU249">
        <v>75</v>
      </c>
      <c r="AV249">
        <v>50</v>
      </c>
      <c r="AW249">
        <v>7</v>
      </c>
      <c r="AX249">
        <v>1.4</v>
      </c>
      <c r="AY249">
        <v>8</v>
      </c>
      <c r="AZ249">
        <v>1.6</v>
      </c>
      <c r="BA249">
        <v>4</v>
      </c>
      <c r="BB249">
        <v>5</v>
      </c>
      <c r="BC249">
        <v>4</v>
      </c>
      <c r="BD249">
        <v>1</v>
      </c>
      <c r="BE249">
        <v>0</v>
      </c>
      <c r="BF249">
        <v>1</v>
      </c>
      <c r="BG249">
        <v>0</v>
      </c>
      <c r="BH249">
        <v>3</v>
      </c>
      <c r="BI249">
        <v>11</v>
      </c>
      <c r="BJ249">
        <v>6</v>
      </c>
      <c r="BK249">
        <v>5</v>
      </c>
      <c r="BL249">
        <v>9</v>
      </c>
      <c r="BM249">
        <v>2.8</v>
      </c>
      <c r="BN249">
        <v>1.2</v>
      </c>
      <c r="BO249">
        <v>1.3</v>
      </c>
      <c r="BP249">
        <v>1.8</v>
      </c>
      <c r="BQ249">
        <v>1</v>
      </c>
      <c r="BR249">
        <v>1</v>
      </c>
      <c r="BS249">
        <v>0</v>
      </c>
      <c r="BT249">
        <v>1</v>
      </c>
      <c r="BU249">
        <v>0</v>
      </c>
      <c r="BV249">
        <v>0</v>
      </c>
      <c r="BW249">
        <v>1</v>
      </c>
      <c r="BX249">
        <v>0</v>
      </c>
      <c r="BY249">
        <v>9</v>
      </c>
      <c r="BZ249">
        <v>1.8</v>
      </c>
      <c r="CA249">
        <v>6</v>
      </c>
      <c r="CB249">
        <v>1.2</v>
      </c>
      <c r="CC249">
        <v>5</v>
      </c>
      <c r="CD249">
        <v>4</v>
      </c>
      <c r="CE249">
        <v>4</v>
      </c>
      <c r="CF249">
        <v>4</v>
      </c>
      <c r="CG249">
        <v>0</v>
      </c>
      <c r="CH249">
        <v>0</v>
      </c>
      <c r="CI249">
        <v>1</v>
      </c>
      <c r="CJ249">
        <v>0</v>
      </c>
      <c r="CK249">
        <v>11</v>
      </c>
      <c r="CL249">
        <v>10</v>
      </c>
      <c r="CM249">
        <v>3</v>
      </c>
      <c r="CN249">
        <v>4</v>
      </c>
      <c r="CO249">
        <v>2.2000000000000002</v>
      </c>
      <c r="CP249">
        <v>2.5</v>
      </c>
      <c r="CQ249">
        <v>0.6</v>
      </c>
      <c r="CR249">
        <v>1</v>
      </c>
      <c r="CS249">
        <v>1</v>
      </c>
      <c r="CT249">
        <v>1</v>
      </c>
      <c r="CU249">
        <v>0</v>
      </c>
      <c r="CV249">
        <v>1</v>
      </c>
      <c r="CW249">
        <v>0</v>
      </c>
      <c r="CX249">
        <v>0</v>
      </c>
      <c r="CY249">
        <v>1</v>
      </c>
      <c r="CZ249">
        <v>0</v>
      </c>
    </row>
    <row r="250" spans="1:104" x14ac:dyDescent="0.25">
      <c r="A250" s="1" t="s">
        <v>1636</v>
      </c>
      <c r="B250">
        <v>757</v>
      </c>
      <c r="C250">
        <v>2152</v>
      </c>
      <c r="D250" s="2">
        <v>44013</v>
      </c>
      <c r="E250" s="3">
        <f t="shared" si="9"/>
        <v>2020</v>
      </c>
      <c r="F250" s="3">
        <f t="shared" si="10"/>
        <v>7</v>
      </c>
      <c r="G250" s="3">
        <f t="shared" si="11"/>
        <v>4</v>
      </c>
      <c r="H250" t="s">
        <v>1637</v>
      </c>
      <c r="I250">
        <v>1310</v>
      </c>
      <c r="J250" t="s">
        <v>494</v>
      </c>
      <c r="K250" t="s">
        <v>495</v>
      </c>
      <c r="L250">
        <v>2020</v>
      </c>
      <c r="M250" t="s">
        <v>591</v>
      </c>
      <c r="N250" t="s">
        <v>1637</v>
      </c>
      <c r="O250" t="s">
        <v>1638</v>
      </c>
      <c r="P250">
        <v>10778</v>
      </c>
      <c r="Q250" t="s">
        <v>495</v>
      </c>
      <c r="R250">
        <v>1914</v>
      </c>
      <c r="S250" t="s">
        <v>1639</v>
      </c>
      <c r="T250" t="s">
        <v>1640</v>
      </c>
      <c r="U250">
        <v>4350</v>
      </c>
      <c r="V250" t="s">
        <v>495</v>
      </c>
      <c r="W250">
        <v>1910</v>
      </c>
      <c r="X250" t="s">
        <v>125</v>
      </c>
      <c r="Z250">
        <v>-2.5</v>
      </c>
      <c r="AA250">
        <v>-1.5</v>
      </c>
      <c r="AB250">
        <v>10</v>
      </c>
      <c r="AC250">
        <v>45</v>
      </c>
      <c r="AD250">
        <v>45</v>
      </c>
      <c r="AE250">
        <v>29</v>
      </c>
      <c r="AF250">
        <v>71</v>
      </c>
      <c r="AG250">
        <v>67</v>
      </c>
      <c r="AH250">
        <v>33</v>
      </c>
      <c r="AI250">
        <v>18</v>
      </c>
      <c r="AJ250">
        <v>82</v>
      </c>
      <c r="AK250">
        <v>0</v>
      </c>
      <c r="AL250">
        <v>0</v>
      </c>
      <c r="AM250">
        <v>50</v>
      </c>
      <c r="AN250">
        <v>50</v>
      </c>
      <c r="AO250">
        <v>40</v>
      </c>
      <c r="AP250">
        <v>60</v>
      </c>
      <c r="AQ250">
        <v>17</v>
      </c>
      <c r="AR250">
        <v>40</v>
      </c>
      <c r="AS250">
        <v>7</v>
      </c>
      <c r="AT250">
        <v>42</v>
      </c>
      <c r="AU250">
        <v>20</v>
      </c>
      <c r="AV250">
        <v>80</v>
      </c>
      <c r="AW250">
        <v>6</v>
      </c>
      <c r="AX250">
        <v>1.5</v>
      </c>
      <c r="AY250">
        <v>14</v>
      </c>
      <c r="AZ250">
        <v>3.5</v>
      </c>
      <c r="BA250">
        <v>2</v>
      </c>
      <c r="BB250">
        <v>2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3</v>
      </c>
      <c r="BJ250">
        <v>3</v>
      </c>
      <c r="BK250">
        <v>6</v>
      </c>
      <c r="BL250">
        <v>8</v>
      </c>
      <c r="BM250">
        <v>1.5</v>
      </c>
      <c r="BN250">
        <v>1.5</v>
      </c>
      <c r="BO250">
        <v>3</v>
      </c>
      <c r="BP250">
        <v>4</v>
      </c>
      <c r="BQ250">
        <v>2</v>
      </c>
      <c r="BR250">
        <v>1</v>
      </c>
      <c r="BS250">
        <v>1</v>
      </c>
      <c r="BT250">
        <v>0</v>
      </c>
      <c r="BU250">
        <v>0</v>
      </c>
      <c r="BV250">
        <v>0</v>
      </c>
      <c r="BW250">
        <v>1</v>
      </c>
      <c r="BX250">
        <v>1</v>
      </c>
      <c r="BY250">
        <v>3</v>
      </c>
      <c r="BZ250">
        <v>0.8</v>
      </c>
      <c r="CA250">
        <v>3</v>
      </c>
      <c r="CB250">
        <v>0.8</v>
      </c>
      <c r="CC250">
        <v>2</v>
      </c>
      <c r="CD250">
        <v>2</v>
      </c>
      <c r="CE250">
        <v>1</v>
      </c>
      <c r="CF250">
        <v>0</v>
      </c>
      <c r="CG250">
        <v>0</v>
      </c>
      <c r="CH250">
        <v>2</v>
      </c>
      <c r="CI250">
        <v>1</v>
      </c>
      <c r="CJ250">
        <v>0</v>
      </c>
      <c r="CK250">
        <v>2</v>
      </c>
      <c r="CL250">
        <v>1</v>
      </c>
      <c r="CM250">
        <v>2</v>
      </c>
      <c r="CN250">
        <v>1</v>
      </c>
      <c r="CO250">
        <v>1</v>
      </c>
      <c r="CP250">
        <v>0.5</v>
      </c>
      <c r="CQ250">
        <v>1</v>
      </c>
      <c r="CR250">
        <v>0.5</v>
      </c>
      <c r="CS250">
        <v>1</v>
      </c>
      <c r="CT250">
        <v>2</v>
      </c>
      <c r="CU250">
        <v>1</v>
      </c>
      <c r="CV250">
        <v>1</v>
      </c>
      <c r="CW250">
        <v>0</v>
      </c>
      <c r="CX250">
        <v>0</v>
      </c>
      <c r="CY250">
        <v>0</v>
      </c>
      <c r="CZ250">
        <v>1</v>
      </c>
    </row>
    <row r="251" spans="1:104" x14ac:dyDescent="0.25">
      <c r="A251" s="1" t="s">
        <v>1641</v>
      </c>
      <c r="B251">
        <v>2239</v>
      </c>
      <c r="C251">
        <v>757</v>
      </c>
      <c r="D251" s="2">
        <v>43680</v>
      </c>
      <c r="E251" s="3">
        <f t="shared" si="9"/>
        <v>2019</v>
      </c>
      <c r="F251" s="3">
        <f t="shared" si="10"/>
        <v>8</v>
      </c>
      <c r="G251" s="3">
        <f t="shared" si="11"/>
        <v>7</v>
      </c>
      <c r="H251" t="s">
        <v>1642</v>
      </c>
      <c r="I251">
        <v>288</v>
      </c>
      <c r="J251" t="s">
        <v>1232</v>
      </c>
      <c r="K251" t="s">
        <v>495</v>
      </c>
      <c r="L251">
        <v>2019</v>
      </c>
      <c r="M251" t="s">
        <v>173</v>
      </c>
      <c r="N251" t="s">
        <v>1643</v>
      </c>
      <c r="O251" t="s">
        <v>1236</v>
      </c>
      <c r="P251">
        <v>2623</v>
      </c>
      <c r="Q251" t="s">
        <v>495</v>
      </c>
      <c r="R251">
        <v>1915</v>
      </c>
      <c r="S251" t="s">
        <v>1637</v>
      </c>
      <c r="T251" t="s">
        <v>1638</v>
      </c>
      <c r="U251">
        <v>10778</v>
      </c>
      <c r="V251" t="s">
        <v>495</v>
      </c>
      <c r="W251">
        <v>1914</v>
      </c>
      <c r="X251" t="s">
        <v>125</v>
      </c>
      <c r="Z251">
        <v>-1.5</v>
      </c>
      <c r="AA251">
        <v>-2.5</v>
      </c>
      <c r="AB251">
        <v>10</v>
      </c>
      <c r="AC251">
        <v>45</v>
      </c>
      <c r="AD251">
        <v>45</v>
      </c>
      <c r="AE251">
        <v>29</v>
      </c>
      <c r="AF251">
        <v>71</v>
      </c>
      <c r="AG251">
        <v>37</v>
      </c>
      <c r="AH251">
        <v>63</v>
      </c>
      <c r="AI251">
        <v>43</v>
      </c>
      <c r="AJ251">
        <v>57</v>
      </c>
      <c r="AK251">
        <v>37</v>
      </c>
      <c r="AL251">
        <v>63</v>
      </c>
      <c r="AM251">
        <v>0</v>
      </c>
      <c r="AN251">
        <v>100</v>
      </c>
      <c r="AO251">
        <v>33</v>
      </c>
      <c r="AP251">
        <v>67</v>
      </c>
      <c r="AQ251">
        <v>33</v>
      </c>
      <c r="AR251">
        <v>70</v>
      </c>
      <c r="AS251">
        <v>20</v>
      </c>
      <c r="AT251">
        <v>80</v>
      </c>
      <c r="AU251">
        <v>100</v>
      </c>
      <c r="AV251">
        <v>40</v>
      </c>
      <c r="AW251">
        <v>7</v>
      </c>
      <c r="AX251">
        <v>1.4</v>
      </c>
      <c r="AY251">
        <v>8</v>
      </c>
      <c r="AZ251">
        <v>1.6</v>
      </c>
      <c r="BA251">
        <v>7</v>
      </c>
      <c r="BB251">
        <v>8</v>
      </c>
      <c r="BC251">
        <v>2</v>
      </c>
      <c r="BD251">
        <v>1</v>
      </c>
      <c r="BE251">
        <v>3</v>
      </c>
      <c r="BF251">
        <v>2</v>
      </c>
      <c r="BG251">
        <v>2</v>
      </c>
      <c r="BH251">
        <v>5</v>
      </c>
      <c r="BI251">
        <v>8</v>
      </c>
      <c r="BJ251">
        <v>10</v>
      </c>
      <c r="BK251">
        <v>6</v>
      </c>
      <c r="BL251">
        <v>16</v>
      </c>
      <c r="BM251">
        <v>1.1000000000000001</v>
      </c>
      <c r="BN251">
        <v>1.3</v>
      </c>
      <c r="BO251">
        <v>0.9</v>
      </c>
      <c r="BP251">
        <v>2</v>
      </c>
      <c r="BQ251">
        <v>1</v>
      </c>
      <c r="BR251">
        <v>1</v>
      </c>
      <c r="BS251">
        <v>0</v>
      </c>
      <c r="BT251">
        <v>0</v>
      </c>
      <c r="BU251">
        <v>0</v>
      </c>
      <c r="BV251">
        <v>0</v>
      </c>
      <c r="BW251">
        <v>1</v>
      </c>
      <c r="BX251">
        <v>1</v>
      </c>
      <c r="BY251">
        <v>12</v>
      </c>
      <c r="BZ251">
        <v>2.4</v>
      </c>
      <c r="CA251">
        <v>6</v>
      </c>
      <c r="CB251">
        <v>1.2</v>
      </c>
      <c r="CC251">
        <v>7</v>
      </c>
      <c r="CD251">
        <v>8</v>
      </c>
      <c r="CE251">
        <v>7</v>
      </c>
      <c r="CF251">
        <v>5</v>
      </c>
      <c r="CG251">
        <v>0</v>
      </c>
      <c r="CH251">
        <v>2</v>
      </c>
      <c r="CI251">
        <v>0</v>
      </c>
      <c r="CJ251">
        <v>1</v>
      </c>
      <c r="CK251">
        <v>19</v>
      </c>
      <c r="CL251">
        <v>12</v>
      </c>
      <c r="CM251">
        <v>4</v>
      </c>
      <c r="CN251">
        <v>7</v>
      </c>
      <c r="CO251">
        <v>2.7</v>
      </c>
      <c r="CP251">
        <v>1.5</v>
      </c>
      <c r="CQ251">
        <v>0.6</v>
      </c>
      <c r="CR251">
        <v>0.9</v>
      </c>
      <c r="CS251">
        <v>1</v>
      </c>
      <c r="CT251">
        <v>1</v>
      </c>
      <c r="CU251">
        <v>1</v>
      </c>
      <c r="CV251">
        <v>1</v>
      </c>
      <c r="CW251">
        <v>0</v>
      </c>
      <c r="CX251">
        <v>0</v>
      </c>
      <c r="CY251">
        <v>0</v>
      </c>
      <c r="CZ251">
        <v>0</v>
      </c>
    </row>
    <row r="252" spans="1:104" x14ac:dyDescent="0.25">
      <c r="A252" s="1" t="s">
        <v>1644</v>
      </c>
      <c r="B252">
        <v>7676</v>
      </c>
      <c r="C252">
        <v>7231</v>
      </c>
      <c r="D252" s="2">
        <v>43722</v>
      </c>
      <c r="E252" s="3">
        <f t="shared" si="9"/>
        <v>2019</v>
      </c>
      <c r="F252" s="3">
        <f t="shared" si="10"/>
        <v>9</v>
      </c>
      <c r="G252" s="3">
        <f t="shared" si="11"/>
        <v>7</v>
      </c>
      <c r="H252" t="s">
        <v>1645</v>
      </c>
      <c r="I252">
        <v>1175</v>
      </c>
      <c r="J252" t="s">
        <v>1646</v>
      </c>
      <c r="K252" t="s">
        <v>241</v>
      </c>
      <c r="L252">
        <v>2019</v>
      </c>
      <c r="M252" t="s">
        <v>1647</v>
      </c>
      <c r="N252" t="s">
        <v>1648</v>
      </c>
      <c r="O252" t="s">
        <v>1649</v>
      </c>
      <c r="P252">
        <v>1500</v>
      </c>
      <c r="Q252" t="s">
        <v>241</v>
      </c>
      <c r="R252">
        <v>1901</v>
      </c>
      <c r="S252" t="s">
        <v>1650</v>
      </c>
      <c r="T252" t="s">
        <v>1651</v>
      </c>
      <c r="U252">
        <v>4050</v>
      </c>
      <c r="V252" t="s">
        <v>241</v>
      </c>
      <c r="W252">
        <v>1894</v>
      </c>
      <c r="X252" t="s">
        <v>125</v>
      </c>
      <c r="Z252">
        <v>-2.5</v>
      </c>
      <c r="AA252">
        <v>-1.5</v>
      </c>
      <c r="AB252">
        <v>10</v>
      </c>
      <c r="AC252">
        <v>45</v>
      </c>
      <c r="AD252">
        <v>45</v>
      </c>
      <c r="AE252">
        <v>27</v>
      </c>
      <c r="AF252">
        <v>73</v>
      </c>
      <c r="AG252">
        <v>63</v>
      </c>
      <c r="AH252">
        <v>38</v>
      </c>
      <c r="AI252">
        <v>0</v>
      </c>
      <c r="AJ252">
        <v>100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25</v>
      </c>
      <c r="AR252">
        <v>38</v>
      </c>
      <c r="AS252">
        <v>23</v>
      </c>
      <c r="AT252">
        <v>67</v>
      </c>
      <c r="AU252">
        <v>23</v>
      </c>
      <c r="AV252">
        <v>100</v>
      </c>
      <c r="AW252">
        <v>5</v>
      </c>
      <c r="AX252">
        <v>1.3</v>
      </c>
      <c r="AY252">
        <v>10</v>
      </c>
      <c r="AZ252">
        <v>2.5</v>
      </c>
      <c r="BA252">
        <v>2</v>
      </c>
      <c r="BB252">
        <v>2</v>
      </c>
      <c r="BC252">
        <v>0</v>
      </c>
      <c r="BD252">
        <v>1</v>
      </c>
      <c r="BE252">
        <v>0</v>
      </c>
      <c r="BF252">
        <v>0</v>
      </c>
      <c r="BG252">
        <v>2</v>
      </c>
      <c r="BH252">
        <v>1</v>
      </c>
      <c r="BI252">
        <v>0</v>
      </c>
      <c r="BJ252">
        <v>5</v>
      </c>
      <c r="BK252">
        <v>6</v>
      </c>
      <c r="BL252">
        <v>4</v>
      </c>
      <c r="BM252">
        <v>0</v>
      </c>
      <c r="BN252">
        <v>2.5</v>
      </c>
      <c r="BO252">
        <v>3</v>
      </c>
      <c r="BP252">
        <v>2</v>
      </c>
      <c r="BQ252">
        <v>1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0</v>
      </c>
      <c r="BY252">
        <v>3</v>
      </c>
      <c r="BZ252">
        <v>0.8</v>
      </c>
      <c r="CA252">
        <v>0</v>
      </c>
      <c r="CB252">
        <v>0</v>
      </c>
      <c r="CC252">
        <v>2</v>
      </c>
      <c r="CD252">
        <v>2</v>
      </c>
      <c r="CE252">
        <v>2</v>
      </c>
      <c r="CF252">
        <v>0</v>
      </c>
      <c r="CG252">
        <v>0</v>
      </c>
      <c r="CH252">
        <v>2</v>
      </c>
      <c r="CI252">
        <v>0</v>
      </c>
      <c r="CJ252">
        <v>0</v>
      </c>
      <c r="CK252">
        <v>3</v>
      </c>
      <c r="CL252">
        <v>0</v>
      </c>
      <c r="CM252">
        <v>0</v>
      </c>
      <c r="CN252">
        <v>0</v>
      </c>
      <c r="CO252">
        <v>1.5</v>
      </c>
      <c r="CP252">
        <v>0</v>
      </c>
      <c r="CQ252">
        <v>0</v>
      </c>
      <c r="CR252">
        <v>0</v>
      </c>
      <c r="CS252">
        <v>0</v>
      </c>
      <c r="CT252">
        <v>1</v>
      </c>
      <c r="CU252">
        <v>0</v>
      </c>
      <c r="CV252">
        <v>1</v>
      </c>
      <c r="CW252">
        <v>0</v>
      </c>
      <c r="CX252">
        <v>0</v>
      </c>
      <c r="CY252">
        <v>0</v>
      </c>
      <c r="CZ252">
        <v>0</v>
      </c>
    </row>
    <row r="253" spans="1:104" x14ac:dyDescent="0.25">
      <c r="A253" s="1" t="s">
        <v>1652</v>
      </c>
      <c r="B253">
        <v>9629</v>
      </c>
      <c r="C253">
        <v>9631</v>
      </c>
      <c r="D253" s="2">
        <v>43730</v>
      </c>
      <c r="E253" s="3">
        <f t="shared" si="9"/>
        <v>2019</v>
      </c>
      <c r="F253" s="3">
        <f t="shared" si="10"/>
        <v>9</v>
      </c>
      <c r="G253" s="3">
        <f t="shared" si="11"/>
        <v>1</v>
      </c>
      <c r="H253" t="s">
        <v>1653</v>
      </c>
      <c r="I253">
        <v>1270</v>
      </c>
      <c r="J253" t="s">
        <v>379</v>
      </c>
      <c r="K253" t="s">
        <v>380</v>
      </c>
      <c r="L253">
        <v>2019</v>
      </c>
      <c r="M253" t="s">
        <v>1654</v>
      </c>
      <c r="N253" t="s">
        <v>1653</v>
      </c>
      <c r="O253" t="s">
        <v>1655</v>
      </c>
      <c r="P253">
        <v>4000</v>
      </c>
      <c r="Q253" t="s">
        <v>380</v>
      </c>
      <c r="S253" t="s">
        <v>1656</v>
      </c>
      <c r="T253" t="s">
        <v>1657</v>
      </c>
      <c r="U253">
        <v>2000</v>
      </c>
      <c r="V253" t="s">
        <v>380</v>
      </c>
      <c r="X253" t="s">
        <v>109</v>
      </c>
      <c r="Z253">
        <v>-2.5</v>
      </c>
      <c r="AA253">
        <v>-2.5</v>
      </c>
      <c r="AB253">
        <v>45</v>
      </c>
      <c r="AC253">
        <v>45</v>
      </c>
      <c r="AD253">
        <v>10</v>
      </c>
      <c r="AE253">
        <v>67</v>
      </c>
      <c r="AF253">
        <v>33</v>
      </c>
      <c r="AG253">
        <v>60</v>
      </c>
      <c r="AH253">
        <v>40</v>
      </c>
      <c r="AI253">
        <v>62</v>
      </c>
      <c r="AJ253">
        <v>38</v>
      </c>
      <c r="AK253">
        <v>53</v>
      </c>
      <c r="AL253">
        <v>47</v>
      </c>
      <c r="AM253">
        <v>0</v>
      </c>
      <c r="AN253">
        <v>0</v>
      </c>
      <c r="AO253">
        <v>0</v>
      </c>
      <c r="AP253">
        <v>0</v>
      </c>
      <c r="AQ253">
        <v>50</v>
      </c>
      <c r="AR253">
        <v>35</v>
      </c>
      <c r="AS253">
        <v>71</v>
      </c>
      <c r="AT253">
        <v>25</v>
      </c>
      <c r="AU253">
        <v>24</v>
      </c>
      <c r="AV253">
        <v>53</v>
      </c>
      <c r="AW253">
        <v>6</v>
      </c>
      <c r="AX253">
        <v>1.5</v>
      </c>
      <c r="AY253">
        <v>5</v>
      </c>
      <c r="AZ253">
        <v>1.3</v>
      </c>
      <c r="BA253">
        <v>2</v>
      </c>
      <c r="BB253">
        <v>2</v>
      </c>
      <c r="BC253">
        <v>1</v>
      </c>
      <c r="BD253">
        <v>0</v>
      </c>
      <c r="BE253">
        <v>1</v>
      </c>
      <c r="BF253">
        <v>2</v>
      </c>
      <c r="BG253">
        <v>0</v>
      </c>
      <c r="BH253">
        <v>0</v>
      </c>
      <c r="BI253">
        <v>5</v>
      </c>
      <c r="BJ253">
        <v>1</v>
      </c>
      <c r="BK253">
        <v>4</v>
      </c>
      <c r="BL253">
        <v>1</v>
      </c>
      <c r="BM253">
        <v>2.5</v>
      </c>
      <c r="BN253">
        <v>0.5</v>
      </c>
      <c r="BO253">
        <v>2</v>
      </c>
      <c r="BP253">
        <v>0.5</v>
      </c>
      <c r="BQ253">
        <v>1</v>
      </c>
      <c r="BR253">
        <v>1</v>
      </c>
      <c r="BS253">
        <v>0</v>
      </c>
      <c r="BT253">
        <v>0</v>
      </c>
      <c r="BU253">
        <v>1</v>
      </c>
      <c r="BV253">
        <v>0</v>
      </c>
      <c r="BW253">
        <v>0</v>
      </c>
      <c r="BX253">
        <v>1</v>
      </c>
      <c r="BY253">
        <v>4</v>
      </c>
      <c r="BZ253">
        <v>1</v>
      </c>
      <c r="CA253">
        <v>8</v>
      </c>
      <c r="CB253">
        <v>2</v>
      </c>
      <c r="CC253">
        <v>2</v>
      </c>
      <c r="CD253">
        <v>2</v>
      </c>
      <c r="CE253">
        <v>0</v>
      </c>
      <c r="CF253">
        <v>1</v>
      </c>
      <c r="CG253">
        <v>0</v>
      </c>
      <c r="CH253">
        <v>0</v>
      </c>
      <c r="CI253">
        <v>2</v>
      </c>
      <c r="CJ253">
        <v>1</v>
      </c>
      <c r="CK253">
        <v>1</v>
      </c>
      <c r="CL253">
        <v>3</v>
      </c>
      <c r="CM253">
        <v>5</v>
      </c>
      <c r="CN253">
        <v>3</v>
      </c>
      <c r="CO253">
        <v>0.5</v>
      </c>
      <c r="CP253">
        <v>1.5</v>
      </c>
      <c r="CQ253">
        <v>2.5</v>
      </c>
      <c r="CR253">
        <v>1.5</v>
      </c>
      <c r="CS253">
        <v>1</v>
      </c>
      <c r="CT253">
        <v>1</v>
      </c>
      <c r="CU253">
        <v>1</v>
      </c>
      <c r="CV253">
        <v>0</v>
      </c>
      <c r="CW253">
        <v>0</v>
      </c>
      <c r="CX253">
        <v>1</v>
      </c>
      <c r="CY253">
        <v>0</v>
      </c>
      <c r="CZ253">
        <v>0</v>
      </c>
    </row>
    <row r="254" spans="1:104" x14ac:dyDescent="0.25">
      <c r="A254" s="1" t="s">
        <v>1658</v>
      </c>
      <c r="B254">
        <v>14056</v>
      </c>
      <c r="C254">
        <v>14060</v>
      </c>
      <c r="D254" s="2">
        <v>44079</v>
      </c>
      <c r="E254" s="3">
        <f t="shared" si="9"/>
        <v>2020</v>
      </c>
      <c r="F254" s="3">
        <f t="shared" si="10"/>
        <v>9</v>
      </c>
      <c r="G254" s="3">
        <f t="shared" si="11"/>
        <v>7</v>
      </c>
      <c r="H254" t="s">
        <v>1659</v>
      </c>
      <c r="I254">
        <v>2699</v>
      </c>
      <c r="J254" t="s">
        <v>1186</v>
      </c>
      <c r="K254" t="s">
        <v>1187</v>
      </c>
      <c r="L254">
        <v>2020</v>
      </c>
      <c r="M254" t="s">
        <v>1660</v>
      </c>
      <c r="Q254" t="s">
        <v>1187</v>
      </c>
      <c r="V254" t="s">
        <v>1187</v>
      </c>
      <c r="W254">
        <v>1909</v>
      </c>
      <c r="X254" t="s">
        <v>109</v>
      </c>
      <c r="Y254">
        <v>1.5</v>
      </c>
      <c r="Z254">
        <v>-3.5</v>
      </c>
      <c r="AA254">
        <v>-3.5</v>
      </c>
      <c r="AB254">
        <v>35</v>
      </c>
      <c r="AC254">
        <v>35</v>
      </c>
      <c r="AD254">
        <v>30</v>
      </c>
      <c r="AE254">
        <v>36</v>
      </c>
      <c r="AF254">
        <v>64</v>
      </c>
      <c r="AG254">
        <v>27</v>
      </c>
      <c r="AH254">
        <v>73</v>
      </c>
      <c r="AI254">
        <v>82</v>
      </c>
      <c r="AJ254">
        <v>18</v>
      </c>
      <c r="AK254">
        <v>64</v>
      </c>
      <c r="AL254">
        <v>36</v>
      </c>
      <c r="AM254">
        <v>0</v>
      </c>
      <c r="AN254">
        <v>0</v>
      </c>
      <c r="AO254">
        <v>0</v>
      </c>
      <c r="AP254">
        <v>0</v>
      </c>
      <c r="AQ254">
        <v>67</v>
      </c>
      <c r="AR254">
        <v>18</v>
      </c>
      <c r="AS254">
        <v>91</v>
      </c>
      <c r="AT254">
        <v>58</v>
      </c>
      <c r="AU254">
        <v>50</v>
      </c>
      <c r="AV254">
        <v>59</v>
      </c>
      <c r="AW254">
        <v>4</v>
      </c>
      <c r="AX254">
        <v>2</v>
      </c>
      <c r="AY254">
        <v>2</v>
      </c>
      <c r="AZ254">
        <v>1</v>
      </c>
      <c r="BA254">
        <v>1</v>
      </c>
      <c r="BB254">
        <v>1</v>
      </c>
      <c r="BC254">
        <v>0</v>
      </c>
      <c r="BD254">
        <v>1</v>
      </c>
      <c r="BE254">
        <v>1</v>
      </c>
      <c r="BF254">
        <v>0</v>
      </c>
      <c r="BG254">
        <v>0</v>
      </c>
      <c r="BH254">
        <v>0</v>
      </c>
      <c r="BI254">
        <v>2</v>
      </c>
      <c r="BJ254">
        <v>2</v>
      </c>
      <c r="BK254">
        <v>2</v>
      </c>
      <c r="BL254">
        <v>0</v>
      </c>
      <c r="BM254">
        <v>2</v>
      </c>
      <c r="BN254">
        <v>2</v>
      </c>
      <c r="BO254">
        <v>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11</v>
      </c>
      <c r="BZ254">
        <v>2.8</v>
      </c>
      <c r="CA254">
        <v>9</v>
      </c>
      <c r="CB254">
        <v>2.2999999999999998</v>
      </c>
      <c r="CC254">
        <v>2</v>
      </c>
      <c r="CD254">
        <v>2</v>
      </c>
      <c r="CE254">
        <v>2</v>
      </c>
      <c r="CF254">
        <v>0</v>
      </c>
      <c r="CG254">
        <v>0</v>
      </c>
      <c r="CH254">
        <v>1</v>
      </c>
      <c r="CI254">
        <v>0</v>
      </c>
      <c r="CJ254">
        <v>1</v>
      </c>
      <c r="CK254">
        <v>9</v>
      </c>
      <c r="CL254">
        <v>2</v>
      </c>
      <c r="CM254">
        <v>3</v>
      </c>
      <c r="CN254">
        <v>6</v>
      </c>
      <c r="CO254">
        <v>4.5</v>
      </c>
      <c r="CP254">
        <v>1</v>
      </c>
      <c r="CQ254">
        <v>1.5</v>
      </c>
      <c r="CR254">
        <v>3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</row>
    <row r="255" spans="1:104" x14ac:dyDescent="0.25">
      <c r="A255" s="1" t="s">
        <v>1661</v>
      </c>
      <c r="B255">
        <v>603</v>
      </c>
      <c r="C255">
        <v>628</v>
      </c>
      <c r="D255" s="2">
        <v>43723</v>
      </c>
      <c r="E255" s="3">
        <f t="shared" si="9"/>
        <v>2019</v>
      </c>
      <c r="F255" s="3">
        <f t="shared" si="10"/>
        <v>9</v>
      </c>
      <c r="G255" s="3">
        <f t="shared" si="11"/>
        <v>1</v>
      </c>
      <c r="H255" t="s">
        <v>1662</v>
      </c>
      <c r="I255">
        <v>579</v>
      </c>
      <c r="J255" t="s">
        <v>1663</v>
      </c>
      <c r="K255" t="s">
        <v>121</v>
      </c>
      <c r="L255">
        <v>2019</v>
      </c>
      <c r="M255" t="s">
        <v>168</v>
      </c>
      <c r="N255" t="s">
        <v>1662</v>
      </c>
      <c r="O255" t="s">
        <v>1664</v>
      </c>
      <c r="P255">
        <v>6375</v>
      </c>
      <c r="Q255" t="s">
        <v>121</v>
      </c>
      <c r="R255">
        <v>1919</v>
      </c>
      <c r="S255" t="s">
        <v>926</v>
      </c>
      <c r="T255" t="s">
        <v>927</v>
      </c>
      <c r="U255">
        <v>20854</v>
      </c>
      <c r="V255" t="s">
        <v>121</v>
      </c>
      <c r="W255">
        <v>1893</v>
      </c>
      <c r="X255" t="s">
        <v>125</v>
      </c>
      <c r="Y255">
        <v>1.5</v>
      </c>
      <c r="Z255">
        <v>-2.5</v>
      </c>
      <c r="AA255">
        <v>-3.5</v>
      </c>
      <c r="AB255">
        <v>10</v>
      </c>
      <c r="AC255">
        <v>45</v>
      </c>
      <c r="AD255">
        <v>45</v>
      </c>
      <c r="AE255">
        <v>46</v>
      </c>
      <c r="AF255">
        <v>54</v>
      </c>
      <c r="AG255">
        <v>29</v>
      </c>
      <c r="AH255">
        <v>71</v>
      </c>
      <c r="AI255">
        <v>59</v>
      </c>
      <c r="AJ255">
        <v>41</v>
      </c>
      <c r="AK255">
        <v>37</v>
      </c>
      <c r="AL255">
        <v>63</v>
      </c>
      <c r="AM255">
        <v>50</v>
      </c>
      <c r="AN255">
        <v>50</v>
      </c>
      <c r="AO255">
        <v>33</v>
      </c>
      <c r="AP255">
        <v>67</v>
      </c>
      <c r="AQ255">
        <v>40</v>
      </c>
      <c r="AR255">
        <v>26</v>
      </c>
      <c r="AS255">
        <v>63</v>
      </c>
      <c r="AT255">
        <v>47</v>
      </c>
      <c r="AU255">
        <v>63</v>
      </c>
      <c r="AV255">
        <v>47</v>
      </c>
      <c r="AW255">
        <v>5</v>
      </c>
      <c r="AX255">
        <v>1</v>
      </c>
      <c r="AY255">
        <v>7</v>
      </c>
      <c r="AZ255">
        <v>1.4</v>
      </c>
      <c r="BA255">
        <v>4</v>
      </c>
      <c r="BB255">
        <v>4</v>
      </c>
      <c r="BC255">
        <v>2</v>
      </c>
      <c r="BD255">
        <v>1</v>
      </c>
      <c r="BE255">
        <v>0</v>
      </c>
      <c r="BF255">
        <v>0</v>
      </c>
      <c r="BG255">
        <v>2</v>
      </c>
      <c r="BH255">
        <v>3</v>
      </c>
      <c r="BI255">
        <v>4</v>
      </c>
      <c r="BJ255">
        <v>3</v>
      </c>
      <c r="BK255">
        <v>6</v>
      </c>
      <c r="BL255">
        <v>4</v>
      </c>
      <c r="BM255">
        <v>1</v>
      </c>
      <c r="BN255">
        <v>0.8</v>
      </c>
      <c r="BO255">
        <v>1.5</v>
      </c>
      <c r="BP255">
        <v>1</v>
      </c>
      <c r="BQ255">
        <v>2</v>
      </c>
      <c r="BR255">
        <v>2</v>
      </c>
      <c r="BS255">
        <v>1</v>
      </c>
      <c r="BT255">
        <v>0</v>
      </c>
      <c r="BU255">
        <v>0</v>
      </c>
      <c r="BV255">
        <v>1</v>
      </c>
      <c r="BW255">
        <v>1</v>
      </c>
      <c r="BX255">
        <v>1</v>
      </c>
      <c r="BY255">
        <v>12</v>
      </c>
      <c r="BZ255">
        <v>2.4</v>
      </c>
      <c r="CA255">
        <v>10</v>
      </c>
      <c r="CB255">
        <v>2</v>
      </c>
      <c r="CC255">
        <v>5</v>
      </c>
      <c r="CD255">
        <v>3</v>
      </c>
      <c r="CE255">
        <v>3</v>
      </c>
      <c r="CF255">
        <v>0</v>
      </c>
      <c r="CG255">
        <v>1</v>
      </c>
      <c r="CH255">
        <v>1</v>
      </c>
      <c r="CI255">
        <v>1</v>
      </c>
      <c r="CJ255">
        <v>2</v>
      </c>
      <c r="CK255">
        <v>10</v>
      </c>
      <c r="CL255">
        <v>6</v>
      </c>
      <c r="CM255">
        <v>5</v>
      </c>
      <c r="CN255">
        <v>9</v>
      </c>
      <c r="CO255">
        <v>2</v>
      </c>
      <c r="CP255">
        <v>2</v>
      </c>
      <c r="CQ255">
        <v>1</v>
      </c>
      <c r="CR255">
        <v>3</v>
      </c>
      <c r="CS255">
        <v>2</v>
      </c>
      <c r="CT255">
        <v>2</v>
      </c>
      <c r="CU255">
        <v>1</v>
      </c>
      <c r="CV255">
        <v>1</v>
      </c>
      <c r="CW255">
        <v>1</v>
      </c>
      <c r="CX255">
        <v>0</v>
      </c>
      <c r="CY255">
        <v>0</v>
      </c>
      <c r="CZ255">
        <v>1</v>
      </c>
    </row>
    <row r="256" spans="1:104" x14ac:dyDescent="0.25">
      <c r="A256" s="1" t="s">
        <v>1665</v>
      </c>
      <c r="B256">
        <v>6097</v>
      </c>
      <c r="C256">
        <v>2118</v>
      </c>
      <c r="D256" s="2">
        <v>44080</v>
      </c>
      <c r="E256" s="3">
        <f t="shared" si="9"/>
        <v>2020</v>
      </c>
      <c r="F256" s="3">
        <f t="shared" si="10"/>
        <v>9</v>
      </c>
      <c r="G256" s="3">
        <f t="shared" si="11"/>
        <v>1</v>
      </c>
      <c r="H256" t="s">
        <v>1666</v>
      </c>
      <c r="I256">
        <v>1352</v>
      </c>
      <c r="J256" t="s">
        <v>223</v>
      </c>
      <c r="K256" t="s">
        <v>224</v>
      </c>
      <c r="L256">
        <v>2020</v>
      </c>
      <c r="M256" t="s">
        <v>173</v>
      </c>
      <c r="N256" t="s">
        <v>1666</v>
      </c>
      <c r="O256" t="s">
        <v>226</v>
      </c>
      <c r="P256">
        <v>1000</v>
      </c>
      <c r="Q256" t="s">
        <v>224</v>
      </c>
      <c r="S256" t="s">
        <v>1667</v>
      </c>
      <c r="T256" t="s">
        <v>1668</v>
      </c>
      <c r="U256">
        <v>2120</v>
      </c>
      <c r="V256" t="s">
        <v>224</v>
      </c>
      <c r="W256">
        <v>1931</v>
      </c>
      <c r="X256" t="s">
        <v>109</v>
      </c>
      <c r="Z256">
        <v>-2.5</v>
      </c>
      <c r="AA256">
        <v>-2.5</v>
      </c>
      <c r="AB256">
        <v>45</v>
      </c>
      <c r="AC256">
        <v>45</v>
      </c>
      <c r="AD256">
        <v>10</v>
      </c>
      <c r="AE256">
        <v>65</v>
      </c>
      <c r="AF256">
        <v>35</v>
      </c>
      <c r="AG256">
        <v>56</v>
      </c>
      <c r="AH256">
        <v>44</v>
      </c>
      <c r="AI256">
        <v>64</v>
      </c>
      <c r="AJ256">
        <v>36</v>
      </c>
      <c r="AK256">
        <v>60</v>
      </c>
      <c r="AL256">
        <v>40</v>
      </c>
      <c r="AM256">
        <v>100</v>
      </c>
      <c r="AN256">
        <v>0</v>
      </c>
      <c r="AO256">
        <v>67</v>
      </c>
      <c r="AP256">
        <v>33</v>
      </c>
      <c r="AQ256">
        <v>73</v>
      </c>
      <c r="AR256">
        <v>71</v>
      </c>
      <c r="AS256">
        <v>64</v>
      </c>
      <c r="AT256">
        <v>40</v>
      </c>
      <c r="AU256">
        <v>57</v>
      </c>
      <c r="AV256">
        <v>36</v>
      </c>
      <c r="AW256">
        <v>10</v>
      </c>
      <c r="AX256">
        <v>2</v>
      </c>
      <c r="AY256">
        <v>5</v>
      </c>
      <c r="AZ256">
        <v>1</v>
      </c>
      <c r="BA256">
        <v>7</v>
      </c>
      <c r="BB256">
        <v>6</v>
      </c>
      <c r="BC256">
        <v>5</v>
      </c>
      <c r="BD256">
        <v>3</v>
      </c>
      <c r="BE256">
        <v>2</v>
      </c>
      <c r="BF256">
        <v>2</v>
      </c>
      <c r="BG256">
        <v>0</v>
      </c>
      <c r="BH256">
        <v>1</v>
      </c>
      <c r="BI256">
        <v>18</v>
      </c>
      <c r="BJ256">
        <v>8</v>
      </c>
      <c r="BK256">
        <v>5</v>
      </c>
      <c r="BL256">
        <v>4</v>
      </c>
      <c r="BM256">
        <v>2.6</v>
      </c>
      <c r="BN256">
        <v>1.3</v>
      </c>
      <c r="BO256">
        <v>0.7</v>
      </c>
      <c r="BP256">
        <v>0.7</v>
      </c>
      <c r="BQ256">
        <v>0</v>
      </c>
      <c r="BR256">
        <v>1</v>
      </c>
      <c r="BS256">
        <v>0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8</v>
      </c>
      <c r="BZ256">
        <v>1.6</v>
      </c>
      <c r="CA256">
        <v>9</v>
      </c>
      <c r="CB256">
        <v>1.8</v>
      </c>
      <c r="CC256">
        <v>7</v>
      </c>
      <c r="CD256">
        <v>6</v>
      </c>
      <c r="CE256">
        <v>4</v>
      </c>
      <c r="CF256">
        <v>4</v>
      </c>
      <c r="CG256">
        <v>0</v>
      </c>
      <c r="CH256">
        <v>0</v>
      </c>
      <c r="CI256">
        <v>3</v>
      </c>
      <c r="CJ256">
        <v>2</v>
      </c>
      <c r="CK256">
        <v>13</v>
      </c>
      <c r="CL256">
        <v>13</v>
      </c>
      <c r="CM256">
        <v>11</v>
      </c>
      <c r="CN256">
        <v>7</v>
      </c>
      <c r="CO256">
        <v>1.9</v>
      </c>
      <c r="CP256">
        <v>2.2000000000000002</v>
      </c>
      <c r="CQ256">
        <v>1.6</v>
      </c>
      <c r="CR256">
        <v>1.2</v>
      </c>
      <c r="CS256">
        <v>1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1</v>
      </c>
      <c r="CZ256">
        <v>0</v>
      </c>
    </row>
    <row r="257" spans="1:104" x14ac:dyDescent="0.25">
      <c r="A257" s="1" t="s">
        <v>1669</v>
      </c>
      <c r="B257">
        <v>2956</v>
      </c>
      <c r="C257">
        <v>2931</v>
      </c>
      <c r="D257" s="2">
        <v>44083</v>
      </c>
      <c r="E257" s="3">
        <f t="shared" si="9"/>
        <v>2020</v>
      </c>
      <c r="F257" s="3">
        <f t="shared" si="10"/>
        <v>9</v>
      </c>
      <c r="G257" s="3">
        <f t="shared" si="11"/>
        <v>4</v>
      </c>
      <c r="H257" t="s">
        <v>1670</v>
      </c>
      <c r="I257">
        <v>901</v>
      </c>
      <c r="J257" t="s">
        <v>501</v>
      </c>
      <c r="K257" t="s">
        <v>502</v>
      </c>
      <c r="L257">
        <v>2019</v>
      </c>
      <c r="M257" t="s">
        <v>313</v>
      </c>
      <c r="N257" t="s">
        <v>1671</v>
      </c>
      <c r="O257" t="s">
        <v>1672</v>
      </c>
      <c r="P257">
        <v>20000</v>
      </c>
      <c r="Q257" t="s">
        <v>502</v>
      </c>
      <c r="R257">
        <v>1970</v>
      </c>
      <c r="S257" t="s">
        <v>500</v>
      </c>
      <c r="T257" t="s">
        <v>503</v>
      </c>
      <c r="U257">
        <v>27550</v>
      </c>
      <c r="V257" t="s">
        <v>502</v>
      </c>
      <c r="W257">
        <v>1958</v>
      </c>
      <c r="X257" t="s">
        <v>109</v>
      </c>
      <c r="Z257">
        <v>-2.5</v>
      </c>
      <c r="AA257">
        <v>-2.5</v>
      </c>
      <c r="AB257">
        <v>45</v>
      </c>
      <c r="AC257">
        <v>45</v>
      </c>
      <c r="AD257">
        <v>10</v>
      </c>
      <c r="AE257">
        <v>50</v>
      </c>
      <c r="AF257">
        <v>50</v>
      </c>
      <c r="AG257">
        <v>47</v>
      </c>
      <c r="AH257">
        <v>53</v>
      </c>
      <c r="AI257">
        <v>67</v>
      </c>
      <c r="AJ257">
        <v>33</v>
      </c>
      <c r="AK257">
        <v>58</v>
      </c>
      <c r="AL257">
        <v>42</v>
      </c>
      <c r="AM257">
        <v>50</v>
      </c>
      <c r="AN257">
        <v>50</v>
      </c>
      <c r="AO257">
        <v>0</v>
      </c>
      <c r="AP257">
        <v>0</v>
      </c>
      <c r="AQ257">
        <v>73</v>
      </c>
      <c r="AR257">
        <v>80</v>
      </c>
      <c r="AS257">
        <v>70</v>
      </c>
      <c r="AT257">
        <v>73</v>
      </c>
      <c r="AU257">
        <v>90</v>
      </c>
      <c r="AV257">
        <v>40</v>
      </c>
      <c r="AW257">
        <v>8</v>
      </c>
      <c r="AX257">
        <v>1.6</v>
      </c>
      <c r="AY257">
        <v>3</v>
      </c>
      <c r="AZ257">
        <v>0.6</v>
      </c>
      <c r="BA257">
        <v>14</v>
      </c>
      <c r="BB257">
        <v>15</v>
      </c>
      <c r="BC257">
        <v>5</v>
      </c>
      <c r="BD257">
        <v>3</v>
      </c>
      <c r="BE257">
        <v>6</v>
      </c>
      <c r="BF257">
        <v>2</v>
      </c>
      <c r="BG257">
        <v>3</v>
      </c>
      <c r="BH257">
        <v>10</v>
      </c>
      <c r="BI257">
        <v>20</v>
      </c>
      <c r="BJ257">
        <v>13</v>
      </c>
      <c r="BK257">
        <v>16</v>
      </c>
      <c r="BL257">
        <v>33</v>
      </c>
      <c r="BM257">
        <v>1.4</v>
      </c>
      <c r="BN257">
        <v>0.9</v>
      </c>
      <c r="BO257">
        <v>1.1000000000000001</v>
      </c>
      <c r="BP257">
        <v>2.2000000000000002</v>
      </c>
      <c r="BQ257">
        <v>0</v>
      </c>
      <c r="BR257">
        <v>1</v>
      </c>
      <c r="BS257">
        <v>0</v>
      </c>
      <c r="BT257">
        <v>0</v>
      </c>
      <c r="BU257">
        <v>0</v>
      </c>
      <c r="BV257">
        <v>1</v>
      </c>
      <c r="BW257">
        <v>0</v>
      </c>
      <c r="BX257">
        <v>0</v>
      </c>
      <c r="BY257">
        <v>9</v>
      </c>
      <c r="BZ257">
        <v>1.8</v>
      </c>
      <c r="CA257">
        <v>6</v>
      </c>
      <c r="CB257">
        <v>1.2</v>
      </c>
      <c r="CC257">
        <v>15</v>
      </c>
      <c r="CD257">
        <v>14</v>
      </c>
      <c r="CE257">
        <v>5</v>
      </c>
      <c r="CF257">
        <v>3</v>
      </c>
      <c r="CG257">
        <v>6</v>
      </c>
      <c r="CH257">
        <v>3</v>
      </c>
      <c r="CI257">
        <v>4</v>
      </c>
      <c r="CJ257">
        <v>8</v>
      </c>
      <c r="CK257">
        <v>20</v>
      </c>
      <c r="CL257">
        <v>19</v>
      </c>
      <c r="CM257">
        <v>19</v>
      </c>
      <c r="CN257">
        <v>26</v>
      </c>
      <c r="CO257">
        <v>1.3</v>
      </c>
      <c r="CP257">
        <v>1.4</v>
      </c>
      <c r="CQ257">
        <v>1.3</v>
      </c>
      <c r="CR257">
        <v>1.9</v>
      </c>
      <c r="CS257">
        <v>1</v>
      </c>
      <c r="CT257">
        <v>0</v>
      </c>
      <c r="CU257">
        <v>0</v>
      </c>
      <c r="CV257">
        <v>0</v>
      </c>
      <c r="CW257">
        <v>1</v>
      </c>
      <c r="CX257">
        <v>0</v>
      </c>
      <c r="CY257">
        <v>0</v>
      </c>
      <c r="CZ257">
        <v>0</v>
      </c>
    </row>
    <row r="258" spans="1:104" x14ac:dyDescent="0.25">
      <c r="A258" s="1" t="s">
        <v>1673</v>
      </c>
      <c r="B258">
        <v>9609</v>
      </c>
      <c r="C258">
        <v>9615</v>
      </c>
      <c r="D258" s="2">
        <v>43744</v>
      </c>
      <c r="E258" s="3">
        <f t="shared" si="9"/>
        <v>2019</v>
      </c>
      <c r="F258" s="3">
        <f t="shared" si="10"/>
        <v>10</v>
      </c>
      <c r="G258" s="3">
        <f t="shared" si="11"/>
        <v>1</v>
      </c>
      <c r="H258" t="s">
        <v>1674</v>
      </c>
      <c r="I258">
        <v>1269</v>
      </c>
      <c r="J258" t="s">
        <v>1675</v>
      </c>
      <c r="K258" t="s">
        <v>380</v>
      </c>
      <c r="L258">
        <v>2019</v>
      </c>
      <c r="M258" t="s">
        <v>1676</v>
      </c>
      <c r="N258" t="s">
        <v>1674</v>
      </c>
      <c r="O258" t="s">
        <v>1677</v>
      </c>
      <c r="P258">
        <v>2000</v>
      </c>
      <c r="Q258" t="s">
        <v>380</v>
      </c>
      <c r="R258">
        <v>1953</v>
      </c>
      <c r="S258" t="s">
        <v>1678</v>
      </c>
      <c r="T258" t="s">
        <v>1679</v>
      </c>
      <c r="U258">
        <v>3000</v>
      </c>
      <c r="V258" t="s">
        <v>380</v>
      </c>
      <c r="X258" t="s">
        <v>109</v>
      </c>
      <c r="Z258">
        <v>-2.5</v>
      </c>
      <c r="AA258">
        <v>-2.5</v>
      </c>
      <c r="AB258">
        <v>45</v>
      </c>
      <c r="AC258">
        <v>45</v>
      </c>
      <c r="AD258">
        <v>10</v>
      </c>
      <c r="AE258">
        <v>68</v>
      </c>
      <c r="AF258">
        <v>32</v>
      </c>
      <c r="AG258">
        <v>60</v>
      </c>
      <c r="AH258">
        <v>40</v>
      </c>
      <c r="AI258">
        <v>56</v>
      </c>
      <c r="AJ258">
        <v>44</v>
      </c>
      <c r="AK258">
        <v>56</v>
      </c>
      <c r="AL258">
        <v>44</v>
      </c>
      <c r="AM258">
        <v>0</v>
      </c>
      <c r="AN258">
        <v>0</v>
      </c>
      <c r="AO258">
        <v>0</v>
      </c>
      <c r="AP258">
        <v>0</v>
      </c>
      <c r="AQ258">
        <v>100</v>
      </c>
      <c r="AR258">
        <v>64</v>
      </c>
      <c r="AS258">
        <v>71</v>
      </c>
      <c r="AT258">
        <v>47</v>
      </c>
      <c r="AU258">
        <v>43</v>
      </c>
      <c r="AV258">
        <v>64</v>
      </c>
      <c r="AW258">
        <v>9</v>
      </c>
      <c r="AX258">
        <v>1.8</v>
      </c>
      <c r="AY258">
        <v>4</v>
      </c>
      <c r="AZ258">
        <v>0.8</v>
      </c>
      <c r="BA258">
        <v>3</v>
      </c>
      <c r="BB258">
        <v>3</v>
      </c>
      <c r="BC258">
        <v>2</v>
      </c>
      <c r="BD258">
        <v>3</v>
      </c>
      <c r="BE258">
        <v>1</v>
      </c>
      <c r="BF258">
        <v>0</v>
      </c>
      <c r="BG258">
        <v>0</v>
      </c>
      <c r="BH258">
        <v>0</v>
      </c>
      <c r="BI258">
        <v>4</v>
      </c>
      <c r="BJ258">
        <v>5</v>
      </c>
      <c r="BK258">
        <v>2</v>
      </c>
      <c r="BL258">
        <v>2</v>
      </c>
      <c r="BM258">
        <v>1.3</v>
      </c>
      <c r="BN258">
        <v>1.7</v>
      </c>
      <c r="BO258">
        <v>0.7</v>
      </c>
      <c r="BP258">
        <v>0.7</v>
      </c>
      <c r="BQ258">
        <v>1</v>
      </c>
      <c r="BR258">
        <v>1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1</v>
      </c>
      <c r="BY258">
        <v>6</v>
      </c>
      <c r="BZ258">
        <v>1.2</v>
      </c>
      <c r="CA258">
        <v>5</v>
      </c>
      <c r="CB258">
        <v>1</v>
      </c>
      <c r="CC258">
        <v>3</v>
      </c>
      <c r="CD258">
        <v>3</v>
      </c>
      <c r="CE258">
        <v>1</v>
      </c>
      <c r="CF258">
        <v>0</v>
      </c>
      <c r="CG258">
        <v>2</v>
      </c>
      <c r="CH258">
        <v>3</v>
      </c>
      <c r="CI258">
        <v>0</v>
      </c>
      <c r="CJ258">
        <v>0</v>
      </c>
      <c r="CK258">
        <v>3</v>
      </c>
      <c r="CL258">
        <v>5</v>
      </c>
      <c r="CM258">
        <v>2</v>
      </c>
      <c r="CN258">
        <v>5</v>
      </c>
      <c r="CO258">
        <v>1</v>
      </c>
      <c r="CP258">
        <v>1.7</v>
      </c>
      <c r="CQ258">
        <v>0.7</v>
      </c>
      <c r="CR258">
        <v>1.7</v>
      </c>
      <c r="CS258">
        <v>1</v>
      </c>
      <c r="CT258">
        <v>1</v>
      </c>
      <c r="CU258">
        <v>1</v>
      </c>
      <c r="CV258">
        <v>1</v>
      </c>
      <c r="CW258">
        <v>0</v>
      </c>
      <c r="CX258">
        <v>0</v>
      </c>
      <c r="CY258">
        <v>0</v>
      </c>
      <c r="CZ258">
        <v>0</v>
      </c>
    </row>
    <row r="259" spans="1:104" x14ac:dyDescent="0.25">
      <c r="A259" s="1" t="s">
        <v>1680</v>
      </c>
      <c r="B259">
        <v>9915</v>
      </c>
      <c r="C259">
        <v>9916</v>
      </c>
      <c r="D259" s="2">
        <v>43897</v>
      </c>
      <c r="E259" s="3">
        <f t="shared" ref="E259:E322" si="12">YEAR(D259)</f>
        <v>2020</v>
      </c>
      <c r="F259" s="3">
        <f t="shared" ref="F259:F322" si="13">MONTH(D259)</f>
        <v>3</v>
      </c>
      <c r="G259" s="3">
        <f t="shared" ref="G259:G322" si="14">WEEKDAY(D259)</f>
        <v>7</v>
      </c>
      <c r="H259" t="s">
        <v>1681</v>
      </c>
      <c r="I259">
        <v>1296</v>
      </c>
      <c r="J259" t="s">
        <v>1682</v>
      </c>
      <c r="K259" t="s">
        <v>158</v>
      </c>
      <c r="L259">
        <v>2019</v>
      </c>
      <c r="M259" t="s">
        <v>1683</v>
      </c>
      <c r="N259" t="s">
        <v>1681</v>
      </c>
      <c r="O259" t="s">
        <v>1684</v>
      </c>
      <c r="P259">
        <v>7000</v>
      </c>
      <c r="Q259" t="s">
        <v>158</v>
      </c>
      <c r="R259">
        <v>1989</v>
      </c>
      <c r="S259" t="s">
        <v>1685</v>
      </c>
      <c r="T259" t="s">
        <v>1686</v>
      </c>
      <c r="U259">
        <v>1000</v>
      </c>
      <c r="V259" t="s">
        <v>158</v>
      </c>
      <c r="W259">
        <v>1902</v>
      </c>
      <c r="X259" t="s">
        <v>109</v>
      </c>
      <c r="Z259">
        <v>-3.5</v>
      </c>
      <c r="AA259">
        <v>-2.5</v>
      </c>
      <c r="AB259">
        <v>45</v>
      </c>
      <c r="AC259">
        <v>45</v>
      </c>
      <c r="AD259">
        <v>10</v>
      </c>
      <c r="AE259">
        <v>48</v>
      </c>
      <c r="AF259">
        <v>52</v>
      </c>
      <c r="AG259">
        <v>52</v>
      </c>
      <c r="AH259">
        <v>48</v>
      </c>
      <c r="AI259">
        <v>57</v>
      </c>
      <c r="AJ259">
        <v>43</v>
      </c>
      <c r="AK259">
        <v>77</v>
      </c>
      <c r="AL259">
        <v>23</v>
      </c>
      <c r="AM259">
        <v>100</v>
      </c>
      <c r="AN259">
        <v>0</v>
      </c>
      <c r="AO259">
        <v>67</v>
      </c>
      <c r="AP259">
        <v>33</v>
      </c>
      <c r="AQ259">
        <v>67</v>
      </c>
      <c r="AR259">
        <v>100</v>
      </c>
      <c r="AS259">
        <v>75</v>
      </c>
      <c r="AT259">
        <v>73</v>
      </c>
      <c r="AU259">
        <v>92</v>
      </c>
      <c r="AV259">
        <v>67</v>
      </c>
      <c r="AW259">
        <v>12</v>
      </c>
      <c r="AX259">
        <v>2.4</v>
      </c>
      <c r="AY259">
        <v>3</v>
      </c>
      <c r="AZ259">
        <v>0.6</v>
      </c>
      <c r="BA259">
        <v>9</v>
      </c>
      <c r="BB259">
        <v>8</v>
      </c>
      <c r="BC259">
        <v>6</v>
      </c>
      <c r="BD259">
        <v>6</v>
      </c>
      <c r="BE259">
        <v>1</v>
      </c>
      <c r="BF259">
        <v>2</v>
      </c>
      <c r="BG259">
        <v>2</v>
      </c>
      <c r="BH259">
        <v>0</v>
      </c>
      <c r="BI259">
        <v>23</v>
      </c>
      <c r="BJ259">
        <v>21</v>
      </c>
      <c r="BK259">
        <v>6</v>
      </c>
      <c r="BL259">
        <v>5</v>
      </c>
      <c r="BM259">
        <v>2.6</v>
      </c>
      <c r="BN259">
        <v>2.6</v>
      </c>
      <c r="BO259">
        <v>0.7</v>
      </c>
      <c r="BP259">
        <v>0.6</v>
      </c>
      <c r="BQ259">
        <v>1</v>
      </c>
      <c r="BR259">
        <v>1</v>
      </c>
      <c r="BS259">
        <v>1</v>
      </c>
      <c r="BT259">
        <v>1</v>
      </c>
      <c r="BU259">
        <v>0</v>
      </c>
      <c r="BV259">
        <v>0</v>
      </c>
      <c r="BW259">
        <v>0</v>
      </c>
      <c r="BX259">
        <v>0</v>
      </c>
      <c r="BY259">
        <v>11</v>
      </c>
      <c r="BZ259">
        <v>2.2000000000000002</v>
      </c>
      <c r="CA259">
        <v>4</v>
      </c>
      <c r="CB259">
        <v>0.8</v>
      </c>
      <c r="CC259">
        <v>9</v>
      </c>
      <c r="CD259">
        <v>8</v>
      </c>
      <c r="CE259">
        <v>5</v>
      </c>
      <c r="CF259">
        <v>2</v>
      </c>
      <c r="CG259">
        <v>1</v>
      </c>
      <c r="CH259">
        <v>2</v>
      </c>
      <c r="CI259">
        <v>3</v>
      </c>
      <c r="CJ259">
        <v>4</v>
      </c>
      <c r="CK259">
        <v>20</v>
      </c>
      <c r="CL259">
        <v>14</v>
      </c>
      <c r="CM259">
        <v>14</v>
      </c>
      <c r="CN259">
        <v>13</v>
      </c>
      <c r="CO259">
        <v>2.2000000000000002</v>
      </c>
      <c r="CP259">
        <v>1.8</v>
      </c>
      <c r="CQ259">
        <v>1.6</v>
      </c>
      <c r="CR259">
        <v>1.6</v>
      </c>
      <c r="CS259">
        <v>1</v>
      </c>
      <c r="CT259">
        <v>1</v>
      </c>
      <c r="CU259">
        <v>0</v>
      </c>
      <c r="CV259">
        <v>0</v>
      </c>
      <c r="CW259">
        <v>0</v>
      </c>
      <c r="CX259">
        <v>0</v>
      </c>
      <c r="CY259">
        <v>1</v>
      </c>
      <c r="CZ259">
        <v>1</v>
      </c>
    </row>
    <row r="260" spans="1:104" x14ac:dyDescent="0.25">
      <c r="A260" s="1" t="s">
        <v>1687</v>
      </c>
      <c r="B260">
        <v>1969</v>
      </c>
      <c r="C260">
        <v>1973</v>
      </c>
      <c r="D260" s="2">
        <v>43877</v>
      </c>
      <c r="E260" s="3">
        <f t="shared" si="12"/>
        <v>2020</v>
      </c>
      <c r="F260" s="3">
        <f t="shared" si="13"/>
        <v>2</v>
      </c>
      <c r="G260" s="3">
        <f t="shared" si="14"/>
        <v>1</v>
      </c>
      <c r="H260" t="s">
        <v>1688</v>
      </c>
      <c r="I260">
        <v>985</v>
      </c>
      <c r="J260" t="s">
        <v>1689</v>
      </c>
      <c r="K260" t="s">
        <v>507</v>
      </c>
      <c r="L260">
        <v>2019</v>
      </c>
      <c r="M260" t="s">
        <v>272</v>
      </c>
      <c r="Q260" t="s">
        <v>507</v>
      </c>
      <c r="V260" t="s">
        <v>507</v>
      </c>
      <c r="X260" t="s">
        <v>125</v>
      </c>
      <c r="Z260">
        <v>-1.5</v>
      </c>
      <c r="AA260">
        <v>-2.5</v>
      </c>
      <c r="AB260">
        <v>10</v>
      </c>
      <c r="AC260">
        <v>45</v>
      </c>
      <c r="AD260">
        <v>45</v>
      </c>
      <c r="AE260">
        <v>33</v>
      </c>
      <c r="AF260">
        <v>67</v>
      </c>
      <c r="AG260">
        <v>57</v>
      </c>
      <c r="AH260">
        <v>43</v>
      </c>
      <c r="AI260">
        <v>23</v>
      </c>
      <c r="AJ260">
        <v>77</v>
      </c>
      <c r="AK260">
        <v>7</v>
      </c>
      <c r="AL260">
        <v>93</v>
      </c>
      <c r="AM260">
        <v>50</v>
      </c>
      <c r="AN260">
        <v>50</v>
      </c>
      <c r="AO260">
        <v>56</v>
      </c>
      <c r="AP260">
        <v>44</v>
      </c>
      <c r="AQ260">
        <v>27</v>
      </c>
      <c r="AR260">
        <v>42</v>
      </c>
      <c r="AS260">
        <v>47</v>
      </c>
      <c r="AT260">
        <v>53</v>
      </c>
      <c r="AU260">
        <v>32</v>
      </c>
      <c r="AV260">
        <v>84</v>
      </c>
      <c r="AW260">
        <v>8</v>
      </c>
      <c r="AX260">
        <v>1.6</v>
      </c>
      <c r="AY260">
        <v>10</v>
      </c>
      <c r="AZ260">
        <v>2</v>
      </c>
      <c r="BA260">
        <v>4</v>
      </c>
      <c r="BB260">
        <v>5</v>
      </c>
      <c r="BC260">
        <v>0</v>
      </c>
      <c r="BD260">
        <v>1</v>
      </c>
      <c r="BE260">
        <v>1</v>
      </c>
      <c r="BF260">
        <v>1</v>
      </c>
      <c r="BG260">
        <v>3</v>
      </c>
      <c r="BH260">
        <v>3</v>
      </c>
      <c r="BI260">
        <v>4</v>
      </c>
      <c r="BJ260">
        <v>7</v>
      </c>
      <c r="BK260">
        <v>8</v>
      </c>
      <c r="BL260">
        <v>10</v>
      </c>
      <c r="BM260">
        <v>1</v>
      </c>
      <c r="BN260">
        <v>1.4</v>
      </c>
      <c r="BO260">
        <v>2</v>
      </c>
      <c r="BP260">
        <v>2</v>
      </c>
      <c r="BQ260">
        <v>3</v>
      </c>
      <c r="BR260">
        <v>2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6</v>
      </c>
      <c r="BZ260">
        <v>1.2</v>
      </c>
      <c r="CA260">
        <v>3</v>
      </c>
      <c r="CB260">
        <v>0.6</v>
      </c>
      <c r="CC260">
        <v>5</v>
      </c>
      <c r="CD260">
        <v>4</v>
      </c>
      <c r="CE260">
        <v>2</v>
      </c>
      <c r="CF260">
        <v>2</v>
      </c>
      <c r="CG260">
        <v>0</v>
      </c>
      <c r="CH260">
        <v>2</v>
      </c>
      <c r="CI260">
        <v>3</v>
      </c>
      <c r="CJ260">
        <v>0</v>
      </c>
      <c r="CK260">
        <v>8</v>
      </c>
      <c r="CL260">
        <v>6</v>
      </c>
      <c r="CM260">
        <v>11</v>
      </c>
      <c r="CN260">
        <v>1</v>
      </c>
      <c r="CO260">
        <v>1.6</v>
      </c>
      <c r="CP260">
        <v>1.5</v>
      </c>
      <c r="CQ260">
        <v>2.2000000000000002</v>
      </c>
      <c r="CR260">
        <v>0.3</v>
      </c>
      <c r="CS260">
        <v>2</v>
      </c>
      <c r="CT260">
        <v>3</v>
      </c>
      <c r="CU260">
        <v>0</v>
      </c>
      <c r="CV260">
        <v>1</v>
      </c>
      <c r="CW260">
        <v>1</v>
      </c>
      <c r="CX260">
        <v>1</v>
      </c>
      <c r="CY260">
        <v>1</v>
      </c>
      <c r="CZ260">
        <v>1</v>
      </c>
    </row>
    <row r="261" spans="1:104" x14ac:dyDescent="0.25">
      <c r="A261" s="1" t="s">
        <v>1690</v>
      </c>
      <c r="B261">
        <v>803</v>
      </c>
      <c r="C261">
        <v>511</v>
      </c>
      <c r="D261" s="2">
        <v>43764</v>
      </c>
      <c r="E261" s="3">
        <f t="shared" si="12"/>
        <v>2019</v>
      </c>
      <c r="F261" s="3">
        <f t="shared" si="13"/>
        <v>10</v>
      </c>
      <c r="G261" s="3">
        <f t="shared" si="14"/>
        <v>7</v>
      </c>
      <c r="H261" t="s">
        <v>1691</v>
      </c>
      <c r="I261">
        <v>902</v>
      </c>
      <c r="J261" t="s">
        <v>312</v>
      </c>
      <c r="K261" t="s">
        <v>338</v>
      </c>
      <c r="L261">
        <v>2019</v>
      </c>
      <c r="M261" t="s">
        <v>168</v>
      </c>
      <c r="N261" t="s">
        <v>1691</v>
      </c>
      <c r="O261" t="s">
        <v>1692</v>
      </c>
      <c r="P261">
        <v>7787</v>
      </c>
      <c r="Q261" t="s">
        <v>338</v>
      </c>
      <c r="S261" t="s">
        <v>1693</v>
      </c>
      <c r="T261" t="s">
        <v>1694</v>
      </c>
      <c r="U261">
        <v>16284</v>
      </c>
      <c r="V261" t="s">
        <v>338</v>
      </c>
      <c r="W261">
        <v>1920</v>
      </c>
      <c r="X261" t="s">
        <v>125</v>
      </c>
      <c r="Z261">
        <v>-1.5</v>
      </c>
      <c r="AA261">
        <v>-2.5</v>
      </c>
      <c r="AB261">
        <v>10</v>
      </c>
      <c r="AC261">
        <v>45</v>
      </c>
      <c r="AD261">
        <v>45</v>
      </c>
      <c r="AE261">
        <v>33</v>
      </c>
      <c r="AF261">
        <v>67</v>
      </c>
      <c r="AG261">
        <v>43</v>
      </c>
      <c r="AH261">
        <v>57</v>
      </c>
      <c r="AI261">
        <v>45</v>
      </c>
      <c r="AJ261">
        <v>55</v>
      </c>
      <c r="AK261">
        <v>22</v>
      </c>
      <c r="AL261">
        <v>78</v>
      </c>
      <c r="AM261">
        <v>0</v>
      </c>
      <c r="AN261">
        <v>0</v>
      </c>
      <c r="AO261">
        <v>0</v>
      </c>
      <c r="AP261">
        <v>0</v>
      </c>
      <c r="AQ261">
        <v>33</v>
      </c>
      <c r="AR261">
        <v>60</v>
      </c>
      <c r="AS261">
        <v>40</v>
      </c>
      <c r="AT261">
        <v>67</v>
      </c>
      <c r="AU261">
        <v>80</v>
      </c>
      <c r="AV261">
        <v>50</v>
      </c>
      <c r="AW261">
        <v>6</v>
      </c>
      <c r="AX261">
        <v>1.2</v>
      </c>
      <c r="AY261">
        <v>6</v>
      </c>
      <c r="AZ261">
        <v>1.2</v>
      </c>
      <c r="BA261">
        <v>4</v>
      </c>
      <c r="BB261">
        <v>4</v>
      </c>
      <c r="BC261">
        <v>0</v>
      </c>
      <c r="BD261">
        <v>1</v>
      </c>
      <c r="BE261">
        <v>1</v>
      </c>
      <c r="BF261">
        <v>1</v>
      </c>
      <c r="BG261">
        <v>3</v>
      </c>
      <c r="BH261">
        <v>2</v>
      </c>
      <c r="BI261">
        <v>1</v>
      </c>
      <c r="BJ261">
        <v>6</v>
      </c>
      <c r="BK261">
        <v>4</v>
      </c>
      <c r="BL261">
        <v>8</v>
      </c>
      <c r="BM261">
        <v>0.3</v>
      </c>
      <c r="BN261">
        <v>1.5</v>
      </c>
      <c r="BO261">
        <v>1</v>
      </c>
      <c r="BP261">
        <v>2</v>
      </c>
      <c r="BQ261">
        <v>1</v>
      </c>
      <c r="BR261">
        <v>1</v>
      </c>
      <c r="BS261">
        <v>0</v>
      </c>
      <c r="BT261">
        <v>0</v>
      </c>
      <c r="BU261">
        <v>1</v>
      </c>
      <c r="BV261">
        <v>1</v>
      </c>
      <c r="BW261">
        <v>0</v>
      </c>
      <c r="BX261">
        <v>0</v>
      </c>
      <c r="BY261">
        <v>8</v>
      </c>
      <c r="BZ261">
        <v>1.6</v>
      </c>
      <c r="CA261">
        <v>5</v>
      </c>
      <c r="CB261">
        <v>1</v>
      </c>
      <c r="CC261">
        <v>4</v>
      </c>
      <c r="CD261">
        <v>4</v>
      </c>
      <c r="CE261">
        <v>3</v>
      </c>
      <c r="CF261">
        <v>1</v>
      </c>
      <c r="CG261">
        <v>1</v>
      </c>
      <c r="CH261">
        <v>2</v>
      </c>
      <c r="CI261">
        <v>0</v>
      </c>
      <c r="CJ261">
        <v>1</v>
      </c>
      <c r="CK261">
        <v>7</v>
      </c>
      <c r="CL261">
        <v>4</v>
      </c>
      <c r="CM261">
        <v>2</v>
      </c>
      <c r="CN261">
        <v>5</v>
      </c>
      <c r="CO261">
        <v>1.8</v>
      </c>
      <c r="CP261">
        <v>1</v>
      </c>
      <c r="CQ261">
        <v>0.5</v>
      </c>
      <c r="CR261">
        <v>1.3</v>
      </c>
      <c r="CS261">
        <v>1</v>
      </c>
      <c r="CT261">
        <v>1</v>
      </c>
      <c r="CU261">
        <v>0</v>
      </c>
      <c r="CV261">
        <v>0</v>
      </c>
      <c r="CW261">
        <v>1</v>
      </c>
      <c r="CX261">
        <v>1</v>
      </c>
      <c r="CY261">
        <v>0</v>
      </c>
      <c r="CZ261">
        <v>0</v>
      </c>
    </row>
    <row r="262" spans="1:104" x14ac:dyDescent="0.25">
      <c r="A262" s="1" t="s">
        <v>1695</v>
      </c>
      <c r="B262">
        <v>4640</v>
      </c>
      <c r="C262">
        <v>4645</v>
      </c>
      <c r="D262" s="2">
        <v>43705</v>
      </c>
      <c r="E262" s="3">
        <f t="shared" si="12"/>
        <v>2019</v>
      </c>
      <c r="F262" s="3">
        <f t="shared" si="13"/>
        <v>8</v>
      </c>
      <c r="G262" s="3">
        <f t="shared" si="14"/>
        <v>4</v>
      </c>
      <c r="H262" t="s">
        <v>1696</v>
      </c>
      <c r="I262">
        <v>785</v>
      </c>
      <c r="J262" t="s">
        <v>344</v>
      </c>
      <c r="K262" t="s">
        <v>1697</v>
      </c>
      <c r="L262">
        <v>2019</v>
      </c>
      <c r="M262" t="s">
        <v>1304</v>
      </c>
      <c r="Q262" t="s">
        <v>1697</v>
      </c>
      <c r="R262">
        <v>2005</v>
      </c>
      <c r="V262" t="s">
        <v>1697</v>
      </c>
      <c r="W262">
        <v>1960</v>
      </c>
      <c r="X262" t="s">
        <v>125</v>
      </c>
      <c r="Z262">
        <v>-2.5</v>
      </c>
      <c r="AA262">
        <v>-2.5</v>
      </c>
      <c r="AB262">
        <v>10</v>
      </c>
      <c r="AC262">
        <v>45</v>
      </c>
      <c r="AD262">
        <v>45</v>
      </c>
      <c r="AE262">
        <v>55</v>
      </c>
      <c r="AF262">
        <v>45</v>
      </c>
      <c r="AG262">
        <v>50</v>
      </c>
      <c r="AH262">
        <v>50</v>
      </c>
      <c r="AI262">
        <v>33</v>
      </c>
      <c r="AJ262">
        <v>67</v>
      </c>
      <c r="AK262">
        <v>53</v>
      </c>
      <c r="AL262">
        <v>47</v>
      </c>
      <c r="AM262">
        <v>38</v>
      </c>
      <c r="AN262">
        <v>62</v>
      </c>
      <c r="AO262">
        <v>38</v>
      </c>
      <c r="AP262">
        <v>62</v>
      </c>
      <c r="AQ262">
        <v>50</v>
      </c>
      <c r="AR262">
        <v>38</v>
      </c>
      <c r="AS262">
        <v>69</v>
      </c>
      <c r="AT262">
        <v>56</v>
      </c>
      <c r="AU262">
        <v>38</v>
      </c>
      <c r="AV262">
        <v>85</v>
      </c>
      <c r="AW262">
        <v>5</v>
      </c>
      <c r="AX262">
        <v>1.3</v>
      </c>
      <c r="AY262">
        <v>4</v>
      </c>
      <c r="AZ262">
        <v>1</v>
      </c>
      <c r="BA262">
        <v>2</v>
      </c>
      <c r="BB262">
        <v>2</v>
      </c>
      <c r="BC262">
        <v>1</v>
      </c>
      <c r="BD262">
        <v>0</v>
      </c>
      <c r="BE262">
        <v>1</v>
      </c>
      <c r="BF262">
        <v>2</v>
      </c>
      <c r="BG262">
        <v>0</v>
      </c>
      <c r="BH262">
        <v>0</v>
      </c>
      <c r="BI262">
        <v>3</v>
      </c>
      <c r="BJ262">
        <v>2</v>
      </c>
      <c r="BK262">
        <v>2</v>
      </c>
      <c r="BL262">
        <v>2</v>
      </c>
      <c r="BM262">
        <v>1.5</v>
      </c>
      <c r="BN262">
        <v>1</v>
      </c>
      <c r="BO262">
        <v>1</v>
      </c>
      <c r="BP262">
        <v>1</v>
      </c>
      <c r="BQ262">
        <v>6</v>
      </c>
      <c r="BR262">
        <v>7</v>
      </c>
      <c r="BS262">
        <v>2</v>
      </c>
      <c r="BT262">
        <v>0</v>
      </c>
      <c r="BU262">
        <v>2</v>
      </c>
      <c r="BV262">
        <v>1</v>
      </c>
      <c r="BW262">
        <v>2</v>
      </c>
      <c r="BX262">
        <v>6</v>
      </c>
      <c r="BY262">
        <v>5</v>
      </c>
      <c r="BZ262">
        <v>1.7</v>
      </c>
      <c r="CA262">
        <v>2</v>
      </c>
      <c r="CB262">
        <v>0.7</v>
      </c>
      <c r="CC262">
        <v>2</v>
      </c>
      <c r="CD262">
        <v>1</v>
      </c>
      <c r="CE262">
        <v>1</v>
      </c>
      <c r="CF262">
        <v>0</v>
      </c>
      <c r="CG262">
        <v>1</v>
      </c>
      <c r="CH262">
        <v>1</v>
      </c>
      <c r="CI262">
        <v>0</v>
      </c>
      <c r="CJ262">
        <v>0</v>
      </c>
      <c r="CK262">
        <v>4</v>
      </c>
      <c r="CL262">
        <v>1</v>
      </c>
      <c r="CM262">
        <v>1</v>
      </c>
      <c r="CN262">
        <v>1</v>
      </c>
      <c r="CO262">
        <v>2</v>
      </c>
      <c r="CP262">
        <v>1</v>
      </c>
      <c r="CQ262">
        <v>0.5</v>
      </c>
      <c r="CR262">
        <v>1</v>
      </c>
      <c r="CS262">
        <v>7</v>
      </c>
      <c r="CT262">
        <v>6</v>
      </c>
      <c r="CU262">
        <v>6</v>
      </c>
      <c r="CV262">
        <v>2</v>
      </c>
      <c r="CW262">
        <v>1</v>
      </c>
      <c r="CX262">
        <v>2</v>
      </c>
      <c r="CY262">
        <v>0</v>
      </c>
      <c r="CZ262">
        <v>2</v>
      </c>
    </row>
    <row r="263" spans="1:104" x14ac:dyDescent="0.25">
      <c r="A263" s="1" t="s">
        <v>1698</v>
      </c>
      <c r="B263">
        <v>8026</v>
      </c>
      <c r="C263">
        <v>12240</v>
      </c>
      <c r="D263" s="2">
        <v>43739</v>
      </c>
      <c r="E263" s="3">
        <f t="shared" si="12"/>
        <v>2019</v>
      </c>
      <c r="F263" s="3">
        <f t="shared" si="13"/>
        <v>10</v>
      </c>
      <c r="G263" s="3">
        <f t="shared" si="14"/>
        <v>3</v>
      </c>
      <c r="H263" t="s">
        <v>1699</v>
      </c>
      <c r="I263">
        <v>2124</v>
      </c>
      <c r="J263" t="s">
        <v>320</v>
      </c>
      <c r="K263" t="s">
        <v>1700</v>
      </c>
      <c r="L263">
        <v>2019</v>
      </c>
      <c r="M263" t="s">
        <v>233</v>
      </c>
      <c r="N263" t="s">
        <v>1699</v>
      </c>
      <c r="O263" t="s">
        <v>1701</v>
      </c>
      <c r="P263">
        <v>3000</v>
      </c>
      <c r="Q263" t="s">
        <v>1700</v>
      </c>
      <c r="R263">
        <v>1988</v>
      </c>
      <c r="S263" t="s">
        <v>1702</v>
      </c>
      <c r="T263" t="s">
        <v>1703</v>
      </c>
      <c r="U263">
        <v>5000</v>
      </c>
      <c r="V263" t="s">
        <v>1700</v>
      </c>
      <c r="X263" t="s">
        <v>109</v>
      </c>
      <c r="Z263">
        <v>-3.5</v>
      </c>
      <c r="AA263">
        <v>-2.5</v>
      </c>
      <c r="AB263">
        <v>50</v>
      </c>
      <c r="AC263">
        <v>50</v>
      </c>
      <c r="AD263">
        <v>0</v>
      </c>
      <c r="AE263">
        <v>59</v>
      </c>
      <c r="AF263">
        <v>41</v>
      </c>
      <c r="AG263">
        <v>59</v>
      </c>
      <c r="AH263">
        <v>41</v>
      </c>
      <c r="AI263">
        <v>86</v>
      </c>
      <c r="AJ263">
        <v>14</v>
      </c>
      <c r="AK263">
        <v>77</v>
      </c>
      <c r="AL263">
        <v>23</v>
      </c>
      <c r="AM263">
        <v>85</v>
      </c>
      <c r="AN263">
        <v>15</v>
      </c>
      <c r="AO263">
        <v>75</v>
      </c>
      <c r="AP263">
        <v>25</v>
      </c>
      <c r="AQ263">
        <v>87</v>
      </c>
      <c r="AR263">
        <v>100</v>
      </c>
      <c r="AS263">
        <v>91</v>
      </c>
      <c r="AT263">
        <v>60</v>
      </c>
      <c r="AU263">
        <v>100</v>
      </c>
      <c r="AV263">
        <v>45</v>
      </c>
      <c r="AW263">
        <v>16</v>
      </c>
      <c r="AX263">
        <v>3.2</v>
      </c>
      <c r="AY263">
        <v>1</v>
      </c>
      <c r="AZ263">
        <v>0.2</v>
      </c>
      <c r="BA263">
        <v>9</v>
      </c>
      <c r="BB263">
        <v>12</v>
      </c>
      <c r="BC263">
        <v>6</v>
      </c>
      <c r="BD263">
        <v>9</v>
      </c>
      <c r="BE263">
        <v>2</v>
      </c>
      <c r="BF263">
        <v>1</v>
      </c>
      <c r="BG263">
        <v>1</v>
      </c>
      <c r="BH263">
        <v>2</v>
      </c>
      <c r="BI263">
        <v>22</v>
      </c>
      <c r="BJ263">
        <v>35</v>
      </c>
      <c r="BK263">
        <v>6</v>
      </c>
      <c r="BL263">
        <v>14</v>
      </c>
      <c r="BM263">
        <v>2.4</v>
      </c>
      <c r="BN263">
        <v>2.9</v>
      </c>
      <c r="BO263">
        <v>0.7</v>
      </c>
      <c r="BP263">
        <v>1.2</v>
      </c>
      <c r="BQ263">
        <v>7</v>
      </c>
      <c r="BR263">
        <v>7</v>
      </c>
      <c r="BS263">
        <v>6</v>
      </c>
      <c r="BT263">
        <v>2</v>
      </c>
      <c r="BU263">
        <v>1</v>
      </c>
      <c r="BV263">
        <v>2</v>
      </c>
      <c r="BW263">
        <v>0</v>
      </c>
      <c r="BX263">
        <v>3</v>
      </c>
      <c r="BY263">
        <v>11</v>
      </c>
      <c r="BZ263">
        <v>2.2000000000000002</v>
      </c>
      <c r="CA263">
        <v>6</v>
      </c>
      <c r="CB263">
        <v>1.2</v>
      </c>
      <c r="CC263">
        <v>11</v>
      </c>
      <c r="CD263">
        <v>11</v>
      </c>
      <c r="CE263">
        <v>5</v>
      </c>
      <c r="CF263">
        <v>5</v>
      </c>
      <c r="CG263">
        <v>3</v>
      </c>
      <c r="CH263">
        <v>1</v>
      </c>
      <c r="CI263">
        <v>3</v>
      </c>
      <c r="CJ263">
        <v>5</v>
      </c>
      <c r="CK263">
        <v>16</v>
      </c>
      <c r="CL263">
        <v>13</v>
      </c>
      <c r="CM263">
        <v>12</v>
      </c>
      <c r="CN263">
        <v>11</v>
      </c>
      <c r="CO263">
        <v>1.5</v>
      </c>
      <c r="CP263">
        <v>1.2</v>
      </c>
      <c r="CQ263">
        <v>1.1000000000000001</v>
      </c>
      <c r="CR263">
        <v>1</v>
      </c>
      <c r="CS263">
        <v>7</v>
      </c>
      <c r="CT263">
        <v>7</v>
      </c>
      <c r="CU263">
        <v>3</v>
      </c>
      <c r="CV263">
        <v>0</v>
      </c>
      <c r="CW263">
        <v>2</v>
      </c>
      <c r="CX263">
        <v>1</v>
      </c>
      <c r="CY263">
        <v>2</v>
      </c>
      <c r="CZ263">
        <v>6</v>
      </c>
    </row>
    <row r="264" spans="1:104" x14ac:dyDescent="0.25">
      <c r="A264" s="1" t="s">
        <v>1704</v>
      </c>
      <c r="B264">
        <v>2580</v>
      </c>
      <c r="C264">
        <v>6234</v>
      </c>
      <c r="D264" s="2">
        <v>43701</v>
      </c>
      <c r="E264" s="3">
        <f t="shared" si="12"/>
        <v>2019</v>
      </c>
      <c r="F264" s="3">
        <f t="shared" si="13"/>
        <v>8</v>
      </c>
      <c r="G264" s="3">
        <f t="shared" si="14"/>
        <v>7</v>
      </c>
      <c r="H264" t="s">
        <v>1705</v>
      </c>
      <c r="I264">
        <v>892</v>
      </c>
      <c r="J264" t="s">
        <v>1706</v>
      </c>
      <c r="K264" t="s">
        <v>1707</v>
      </c>
      <c r="L264">
        <v>2019</v>
      </c>
      <c r="M264" t="s">
        <v>306</v>
      </c>
      <c r="N264" t="s">
        <v>1705</v>
      </c>
      <c r="O264" t="s">
        <v>1708</v>
      </c>
      <c r="P264">
        <v>5123</v>
      </c>
      <c r="Q264" t="s">
        <v>1707</v>
      </c>
      <c r="R264">
        <v>1957</v>
      </c>
      <c r="S264" t="s">
        <v>1709</v>
      </c>
      <c r="T264" t="s">
        <v>1710</v>
      </c>
      <c r="U264">
        <v>2000</v>
      </c>
      <c r="V264" t="s">
        <v>1707</v>
      </c>
      <c r="X264" t="s">
        <v>125</v>
      </c>
      <c r="Z264">
        <v>-2.5</v>
      </c>
      <c r="AA264">
        <v>-3.5</v>
      </c>
      <c r="AB264">
        <v>0</v>
      </c>
      <c r="AC264">
        <v>50</v>
      </c>
      <c r="AD264">
        <v>50</v>
      </c>
      <c r="AE264">
        <v>33</v>
      </c>
      <c r="AF264">
        <v>67</v>
      </c>
      <c r="AG264">
        <v>38</v>
      </c>
      <c r="AH264">
        <v>63</v>
      </c>
      <c r="AI264">
        <v>20</v>
      </c>
      <c r="AJ264">
        <v>80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50</v>
      </c>
      <c r="AR264">
        <v>19</v>
      </c>
      <c r="AS264">
        <v>75</v>
      </c>
      <c r="AT264">
        <v>100</v>
      </c>
      <c r="AU264">
        <v>31</v>
      </c>
      <c r="AV264">
        <v>94</v>
      </c>
      <c r="AW264">
        <v>3</v>
      </c>
      <c r="AX264">
        <v>1.5</v>
      </c>
      <c r="AY264">
        <v>4</v>
      </c>
      <c r="AZ264">
        <v>2</v>
      </c>
      <c r="BA264">
        <v>1</v>
      </c>
      <c r="BB264">
        <v>1</v>
      </c>
      <c r="BC264">
        <v>1</v>
      </c>
      <c r="BD264">
        <v>0</v>
      </c>
      <c r="BE264">
        <v>0</v>
      </c>
      <c r="BF264">
        <v>0</v>
      </c>
      <c r="BG264">
        <v>0</v>
      </c>
      <c r="BH264">
        <v>1</v>
      </c>
      <c r="BI264">
        <v>2</v>
      </c>
      <c r="BJ264">
        <v>1</v>
      </c>
      <c r="BK264">
        <v>1</v>
      </c>
      <c r="BL264">
        <v>3</v>
      </c>
      <c r="BM264">
        <v>2</v>
      </c>
      <c r="BN264">
        <v>1</v>
      </c>
      <c r="BO264">
        <v>1</v>
      </c>
      <c r="BP264">
        <v>3</v>
      </c>
      <c r="BQ264">
        <v>1</v>
      </c>
      <c r="BR264">
        <v>1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1</v>
      </c>
      <c r="BY264">
        <v>5</v>
      </c>
      <c r="BZ264">
        <v>2.5</v>
      </c>
      <c r="CA264">
        <v>1</v>
      </c>
      <c r="CB264">
        <v>0.5</v>
      </c>
      <c r="CC264">
        <v>2</v>
      </c>
      <c r="CD264">
        <v>0</v>
      </c>
      <c r="CE264">
        <v>2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5</v>
      </c>
      <c r="CL264">
        <v>0</v>
      </c>
      <c r="CM264">
        <v>1</v>
      </c>
      <c r="CN264">
        <v>0</v>
      </c>
      <c r="CO264">
        <v>2.5</v>
      </c>
      <c r="CP264">
        <v>0</v>
      </c>
      <c r="CQ264">
        <v>0.5</v>
      </c>
      <c r="CR264">
        <v>0</v>
      </c>
      <c r="CS264">
        <v>1</v>
      </c>
      <c r="CT264">
        <v>1</v>
      </c>
      <c r="CU264">
        <v>1</v>
      </c>
      <c r="CV264">
        <v>1</v>
      </c>
      <c r="CW264">
        <v>0</v>
      </c>
      <c r="CX264">
        <v>0</v>
      </c>
      <c r="CY264">
        <v>0</v>
      </c>
      <c r="CZ264">
        <v>0</v>
      </c>
    </row>
    <row r="265" spans="1:104" x14ac:dyDescent="0.25">
      <c r="A265" s="1" t="s">
        <v>1711</v>
      </c>
      <c r="B265">
        <v>2757</v>
      </c>
      <c r="C265">
        <v>2753</v>
      </c>
      <c r="D265" s="2">
        <v>44013</v>
      </c>
      <c r="E265" s="3">
        <f t="shared" si="12"/>
        <v>2020</v>
      </c>
      <c r="F265" s="3">
        <f t="shared" si="13"/>
        <v>7</v>
      </c>
      <c r="G265" s="3">
        <f t="shared" si="14"/>
        <v>4</v>
      </c>
      <c r="H265" t="s">
        <v>1712</v>
      </c>
      <c r="I265">
        <v>1389</v>
      </c>
      <c r="J265" t="s">
        <v>526</v>
      </c>
      <c r="K265" t="s">
        <v>463</v>
      </c>
      <c r="L265">
        <v>2020</v>
      </c>
      <c r="M265" t="s">
        <v>1713</v>
      </c>
      <c r="N265" t="s">
        <v>1712</v>
      </c>
      <c r="O265" t="s">
        <v>1714</v>
      </c>
      <c r="P265">
        <v>16146</v>
      </c>
      <c r="Q265" t="s">
        <v>463</v>
      </c>
      <c r="R265">
        <v>1989</v>
      </c>
      <c r="S265" t="s">
        <v>1715</v>
      </c>
      <c r="T265" t="s">
        <v>1716</v>
      </c>
      <c r="U265">
        <v>19283</v>
      </c>
      <c r="V265" t="s">
        <v>463</v>
      </c>
      <c r="W265">
        <v>1996</v>
      </c>
      <c r="X265" t="s">
        <v>125</v>
      </c>
      <c r="Y265">
        <v>-2.5</v>
      </c>
      <c r="AA265">
        <v>-1.5</v>
      </c>
      <c r="AB265">
        <v>0</v>
      </c>
      <c r="AC265">
        <v>50</v>
      </c>
      <c r="AD265">
        <v>50</v>
      </c>
      <c r="AE265">
        <v>0</v>
      </c>
      <c r="AF265">
        <v>100</v>
      </c>
      <c r="AG265">
        <v>0</v>
      </c>
      <c r="AH265">
        <v>100</v>
      </c>
      <c r="AI265">
        <v>0</v>
      </c>
      <c r="AJ265">
        <v>0</v>
      </c>
      <c r="AK265">
        <v>0</v>
      </c>
      <c r="AL265">
        <v>0</v>
      </c>
      <c r="AM265">
        <v>29</v>
      </c>
      <c r="AN265">
        <v>71</v>
      </c>
      <c r="AO265">
        <v>36</v>
      </c>
      <c r="AP265">
        <v>64</v>
      </c>
      <c r="AQ265">
        <v>0</v>
      </c>
      <c r="AR265">
        <v>0</v>
      </c>
      <c r="AS265">
        <v>0</v>
      </c>
      <c r="AT265">
        <v>100</v>
      </c>
      <c r="AU265">
        <v>7</v>
      </c>
      <c r="AV265">
        <v>100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5</v>
      </c>
      <c r="BR265">
        <v>5</v>
      </c>
      <c r="BS265">
        <v>4</v>
      </c>
      <c r="BT265">
        <v>1</v>
      </c>
      <c r="BU265">
        <v>1</v>
      </c>
      <c r="BV265">
        <v>1</v>
      </c>
      <c r="BW265">
        <v>0</v>
      </c>
      <c r="BX265">
        <v>3</v>
      </c>
      <c r="BY265">
        <v>1</v>
      </c>
      <c r="BZ265">
        <v>1</v>
      </c>
      <c r="CA265">
        <v>0</v>
      </c>
      <c r="CB265">
        <v>0</v>
      </c>
      <c r="CC265">
        <v>1</v>
      </c>
      <c r="CD265">
        <v>0</v>
      </c>
      <c r="CE265">
        <v>1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1</v>
      </c>
      <c r="CL265">
        <v>0</v>
      </c>
      <c r="CM265">
        <v>0</v>
      </c>
      <c r="CN265">
        <v>0</v>
      </c>
      <c r="CO265">
        <v>1</v>
      </c>
      <c r="CP265">
        <v>0</v>
      </c>
      <c r="CQ265">
        <v>0</v>
      </c>
      <c r="CR265">
        <v>0</v>
      </c>
      <c r="CS265">
        <v>5</v>
      </c>
      <c r="CT265">
        <v>5</v>
      </c>
      <c r="CU265">
        <v>3</v>
      </c>
      <c r="CV265">
        <v>0</v>
      </c>
      <c r="CW265">
        <v>1</v>
      </c>
      <c r="CX265">
        <v>1</v>
      </c>
      <c r="CY265">
        <v>1</v>
      </c>
      <c r="CZ265">
        <v>4</v>
      </c>
    </row>
    <row r="266" spans="1:104" x14ac:dyDescent="0.25">
      <c r="A266" s="1" t="s">
        <v>1717</v>
      </c>
      <c r="B266">
        <v>9390</v>
      </c>
      <c r="C266">
        <v>9573</v>
      </c>
      <c r="D266" s="2">
        <v>43751</v>
      </c>
      <c r="E266" s="3">
        <f t="shared" si="12"/>
        <v>2019</v>
      </c>
      <c r="F266" s="3">
        <f t="shared" si="13"/>
        <v>10</v>
      </c>
      <c r="G266" s="3">
        <f t="shared" si="14"/>
        <v>1</v>
      </c>
      <c r="H266" t="s">
        <v>1718</v>
      </c>
      <c r="I266">
        <v>1265</v>
      </c>
      <c r="J266" t="s">
        <v>1719</v>
      </c>
      <c r="K266" t="s">
        <v>380</v>
      </c>
      <c r="L266">
        <v>2019</v>
      </c>
      <c r="M266" t="s">
        <v>1720</v>
      </c>
      <c r="N266" t="s">
        <v>1718</v>
      </c>
      <c r="O266" t="s">
        <v>1721</v>
      </c>
      <c r="P266">
        <v>6500</v>
      </c>
      <c r="Q266" t="s">
        <v>380</v>
      </c>
      <c r="R266">
        <v>2015</v>
      </c>
      <c r="S266" t="s">
        <v>1722</v>
      </c>
      <c r="T266" t="s">
        <v>1723</v>
      </c>
      <c r="U266">
        <v>2000</v>
      </c>
      <c r="V266" t="s">
        <v>380</v>
      </c>
      <c r="W266">
        <v>2002</v>
      </c>
      <c r="X266" t="s">
        <v>109</v>
      </c>
      <c r="Y266">
        <v>-3.5</v>
      </c>
      <c r="Z266">
        <v>-2.5</v>
      </c>
      <c r="AA266">
        <v>-2.5</v>
      </c>
      <c r="AB266">
        <v>45</v>
      </c>
      <c r="AC266">
        <v>45</v>
      </c>
      <c r="AD266">
        <v>10</v>
      </c>
      <c r="AE266">
        <v>57</v>
      </c>
      <c r="AF266">
        <v>43</v>
      </c>
      <c r="AG266">
        <v>50</v>
      </c>
      <c r="AH266">
        <v>50</v>
      </c>
      <c r="AI266">
        <v>80</v>
      </c>
      <c r="AJ266">
        <v>20</v>
      </c>
      <c r="AK266">
        <v>74</v>
      </c>
      <c r="AL266">
        <v>26</v>
      </c>
      <c r="AM266">
        <v>0</v>
      </c>
      <c r="AN266">
        <v>0</v>
      </c>
      <c r="AO266">
        <v>0</v>
      </c>
      <c r="AP266">
        <v>0</v>
      </c>
      <c r="AQ266">
        <v>87</v>
      </c>
      <c r="AR266">
        <v>64</v>
      </c>
      <c r="AS266">
        <v>93</v>
      </c>
      <c r="AT266">
        <v>67</v>
      </c>
      <c r="AU266">
        <v>64</v>
      </c>
      <c r="AV266">
        <v>71</v>
      </c>
      <c r="AW266">
        <v>9</v>
      </c>
      <c r="AX266">
        <v>1.8</v>
      </c>
      <c r="AY266">
        <v>1</v>
      </c>
      <c r="AZ266">
        <v>0.2</v>
      </c>
      <c r="BA266">
        <v>3</v>
      </c>
      <c r="BB266">
        <v>4</v>
      </c>
      <c r="BC266">
        <v>3</v>
      </c>
      <c r="BD266">
        <v>2</v>
      </c>
      <c r="BE266">
        <v>0</v>
      </c>
      <c r="BF266">
        <v>1</v>
      </c>
      <c r="BG266">
        <v>0</v>
      </c>
      <c r="BH266">
        <v>1</v>
      </c>
      <c r="BI266">
        <v>6</v>
      </c>
      <c r="BJ266">
        <v>7</v>
      </c>
      <c r="BK266">
        <v>1</v>
      </c>
      <c r="BL266">
        <v>3</v>
      </c>
      <c r="BM266">
        <v>2</v>
      </c>
      <c r="BN266">
        <v>1.8</v>
      </c>
      <c r="BO266">
        <v>0.3</v>
      </c>
      <c r="BP266">
        <v>0.8</v>
      </c>
      <c r="BQ266">
        <v>1</v>
      </c>
      <c r="BR266">
        <v>1</v>
      </c>
      <c r="BS266">
        <v>1</v>
      </c>
      <c r="BT266">
        <v>0</v>
      </c>
      <c r="BU266">
        <v>0</v>
      </c>
      <c r="BV266">
        <v>0</v>
      </c>
      <c r="BW266">
        <v>0</v>
      </c>
      <c r="BX266">
        <v>1</v>
      </c>
      <c r="BY266">
        <v>9</v>
      </c>
      <c r="BZ266">
        <v>1.8</v>
      </c>
      <c r="CA266">
        <v>4</v>
      </c>
      <c r="CB266">
        <v>0.8</v>
      </c>
      <c r="CC266">
        <v>4</v>
      </c>
      <c r="CD266">
        <v>3</v>
      </c>
      <c r="CE266">
        <v>3</v>
      </c>
      <c r="CF266">
        <v>1</v>
      </c>
      <c r="CG266">
        <v>1</v>
      </c>
      <c r="CH266">
        <v>1</v>
      </c>
      <c r="CI266">
        <v>0</v>
      </c>
      <c r="CJ266">
        <v>1</v>
      </c>
      <c r="CK266">
        <v>10</v>
      </c>
      <c r="CL266">
        <v>3</v>
      </c>
      <c r="CM266">
        <v>4</v>
      </c>
      <c r="CN266">
        <v>2</v>
      </c>
      <c r="CO266">
        <v>2.5</v>
      </c>
      <c r="CP266">
        <v>1</v>
      </c>
      <c r="CQ266">
        <v>1</v>
      </c>
      <c r="CR266">
        <v>0.7</v>
      </c>
      <c r="CS266">
        <v>1</v>
      </c>
      <c r="CT266">
        <v>1</v>
      </c>
      <c r="CU266">
        <v>1</v>
      </c>
      <c r="CV266">
        <v>0</v>
      </c>
      <c r="CW266">
        <v>0</v>
      </c>
      <c r="CX266">
        <v>0</v>
      </c>
      <c r="CY266">
        <v>0</v>
      </c>
      <c r="CZ266">
        <v>1</v>
      </c>
    </row>
    <row r="267" spans="1:104" x14ac:dyDescent="0.25">
      <c r="A267" s="1" t="s">
        <v>1724</v>
      </c>
      <c r="B267">
        <v>1610</v>
      </c>
      <c r="C267">
        <v>1595</v>
      </c>
      <c r="D267" s="2">
        <v>43716</v>
      </c>
      <c r="E267" s="3">
        <f t="shared" si="12"/>
        <v>2019</v>
      </c>
      <c r="F267" s="3">
        <f t="shared" si="13"/>
        <v>9</v>
      </c>
      <c r="G267" s="3">
        <f t="shared" si="14"/>
        <v>1</v>
      </c>
      <c r="H267" t="s">
        <v>1725</v>
      </c>
      <c r="I267">
        <v>294</v>
      </c>
      <c r="J267" t="s">
        <v>611</v>
      </c>
      <c r="K267" t="s">
        <v>612</v>
      </c>
      <c r="L267">
        <v>2019</v>
      </c>
      <c r="M267" t="s">
        <v>1726</v>
      </c>
      <c r="N267" t="s">
        <v>1725</v>
      </c>
      <c r="O267" t="s">
        <v>1727</v>
      </c>
      <c r="P267">
        <v>19734</v>
      </c>
      <c r="Q267" t="s">
        <v>612</v>
      </c>
      <c r="R267">
        <v>1996</v>
      </c>
      <c r="S267" t="s">
        <v>1728</v>
      </c>
      <c r="T267" t="s">
        <v>1729</v>
      </c>
      <c r="U267">
        <v>72000</v>
      </c>
      <c r="V267" t="s">
        <v>612</v>
      </c>
      <c r="W267">
        <v>2007</v>
      </c>
      <c r="X267" t="s">
        <v>125</v>
      </c>
      <c r="Z267">
        <v>-2.5</v>
      </c>
      <c r="AA267">
        <v>-3.5</v>
      </c>
      <c r="AB267">
        <v>10</v>
      </c>
      <c r="AC267">
        <v>45</v>
      </c>
      <c r="AD267">
        <v>45</v>
      </c>
      <c r="AE267">
        <v>47</v>
      </c>
      <c r="AF267">
        <v>53</v>
      </c>
      <c r="AG267">
        <v>35</v>
      </c>
      <c r="AH267">
        <v>65</v>
      </c>
      <c r="AI267">
        <v>67</v>
      </c>
      <c r="AJ267">
        <v>33</v>
      </c>
      <c r="AK267">
        <v>51</v>
      </c>
      <c r="AL267">
        <v>49</v>
      </c>
      <c r="AM267">
        <v>0</v>
      </c>
      <c r="AN267">
        <v>100</v>
      </c>
      <c r="AO267">
        <v>13</v>
      </c>
      <c r="AP267">
        <v>88</v>
      </c>
      <c r="AQ267">
        <v>47</v>
      </c>
      <c r="AR267">
        <v>27</v>
      </c>
      <c r="AS267">
        <v>73</v>
      </c>
      <c r="AT267">
        <v>53</v>
      </c>
      <c r="AU267">
        <v>50</v>
      </c>
      <c r="AV267">
        <v>45</v>
      </c>
      <c r="AW267">
        <v>6</v>
      </c>
      <c r="AX267">
        <v>1.2</v>
      </c>
      <c r="AY267">
        <v>6</v>
      </c>
      <c r="AZ267">
        <v>1.2</v>
      </c>
      <c r="BA267">
        <v>14</v>
      </c>
      <c r="BB267">
        <v>14</v>
      </c>
      <c r="BC267">
        <v>6</v>
      </c>
      <c r="BD267">
        <v>2</v>
      </c>
      <c r="BE267">
        <v>2</v>
      </c>
      <c r="BF267">
        <v>4</v>
      </c>
      <c r="BG267">
        <v>6</v>
      </c>
      <c r="BH267">
        <v>8</v>
      </c>
      <c r="BI267">
        <v>29</v>
      </c>
      <c r="BJ267">
        <v>16</v>
      </c>
      <c r="BK267">
        <v>28</v>
      </c>
      <c r="BL267">
        <v>26</v>
      </c>
      <c r="BM267">
        <v>2.1</v>
      </c>
      <c r="BN267">
        <v>1.1000000000000001</v>
      </c>
      <c r="BO267">
        <v>2</v>
      </c>
      <c r="BP267">
        <v>1.9</v>
      </c>
      <c r="BQ267">
        <v>10</v>
      </c>
      <c r="BR267">
        <v>13</v>
      </c>
      <c r="BS267">
        <v>3</v>
      </c>
      <c r="BT267">
        <v>2</v>
      </c>
      <c r="BU267">
        <v>0</v>
      </c>
      <c r="BV267">
        <v>1</v>
      </c>
      <c r="BW267">
        <v>7</v>
      </c>
      <c r="BX267">
        <v>10</v>
      </c>
      <c r="BY267">
        <v>11</v>
      </c>
      <c r="BZ267">
        <v>2.2000000000000002</v>
      </c>
      <c r="CA267">
        <v>12</v>
      </c>
      <c r="CB267">
        <v>2.4</v>
      </c>
      <c r="CC267">
        <v>14</v>
      </c>
      <c r="CD267">
        <v>14</v>
      </c>
      <c r="CE267">
        <v>9</v>
      </c>
      <c r="CF267">
        <v>4</v>
      </c>
      <c r="CG267">
        <v>3</v>
      </c>
      <c r="CH267">
        <v>4</v>
      </c>
      <c r="CI267">
        <v>2</v>
      </c>
      <c r="CJ267">
        <v>6</v>
      </c>
      <c r="CK267">
        <v>29</v>
      </c>
      <c r="CL267">
        <v>17</v>
      </c>
      <c r="CM267">
        <v>19</v>
      </c>
      <c r="CN267">
        <v>24</v>
      </c>
      <c r="CO267">
        <v>2.1</v>
      </c>
      <c r="CP267">
        <v>1.2</v>
      </c>
      <c r="CQ267">
        <v>1.4</v>
      </c>
      <c r="CR267">
        <v>1.7</v>
      </c>
      <c r="CS267">
        <v>13</v>
      </c>
      <c r="CT267">
        <v>10</v>
      </c>
      <c r="CU267">
        <v>10</v>
      </c>
      <c r="CV267">
        <v>7</v>
      </c>
      <c r="CW267">
        <v>1</v>
      </c>
      <c r="CX267">
        <v>0</v>
      </c>
      <c r="CY267">
        <v>2</v>
      </c>
      <c r="CZ267">
        <v>3</v>
      </c>
    </row>
    <row r="268" spans="1:104" x14ac:dyDescent="0.25">
      <c r="A268" s="1" t="s">
        <v>1730</v>
      </c>
      <c r="B268">
        <v>391</v>
      </c>
      <c r="C268">
        <v>394</v>
      </c>
      <c r="D268" s="2">
        <v>43744</v>
      </c>
      <c r="E268" s="3">
        <f t="shared" si="12"/>
        <v>2019</v>
      </c>
      <c r="F268" s="3">
        <f t="shared" si="13"/>
        <v>10</v>
      </c>
      <c r="G268" s="3">
        <f t="shared" si="14"/>
        <v>1</v>
      </c>
      <c r="H268" t="s">
        <v>1731</v>
      </c>
      <c r="I268">
        <v>322</v>
      </c>
      <c r="J268" t="s">
        <v>216</v>
      </c>
      <c r="K268" t="s">
        <v>217</v>
      </c>
      <c r="L268">
        <v>2019</v>
      </c>
      <c r="M268" t="s">
        <v>114</v>
      </c>
      <c r="N268" t="s">
        <v>1424</v>
      </c>
      <c r="O268" t="s">
        <v>1732</v>
      </c>
      <c r="P268">
        <v>4312</v>
      </c>
      <c r="Q268" t="s">
        <v>217</v>
      </c>
      <c r="S268" t="s">
        <v>1733</v>
      </c>
      <c r="T268" t="s">
        <v>1734</v>
      </c>
      <c r="U268">
        <v>17586</v>
      </c>
      <c r="V268" t="s">
        <v>217</v>
      </c>
      <c r="W268">
        <v>1927</v>
      </c>
      <c r="X268" t="s">
        <v>125</v>
      </c>
      <c r="Y268">
        <v>-3.5</v>
      </c>
      <c r="Z268">
        <v>-1.5</v>
      </c>
      <c r="AA268">
        <v>-2.5</v>
      </c>
      <c r="AB268">
        <v>10</v>
      </c>
      <c r="AC268">
        <v>45</v>
      </c>
      <c r="AD268">
        <v>45</v>
      </c>
      <c r="AE268">
        <v>24</v>
      </c>
      <c r="AF268">
        <v>76</v>
      </c>
      <c r="AG268">
        <v>33</v>
      </c>
      <c r="AH268">
        <v>67</v>
      </c>
      <c r="AI268">
        <v>22</v>
      </c>
      <c r="AJ268">
        <v>78</v>
      </c>
      <c r="AK268">
        <v>70</v>
      </c>
      <c r="AL268">
        <v>30</v>
      </c>
      <c r="AM268">
        <v>7</v>
      </c>
      <c r="AN268">
        <v>93</v>
      </c>
      <c r="AO268">
        <v>11</v>
      </c>
      <c r="AP268">
        <v>89</v>
      </c>
      <c r="AQ268">
        <v>27</v>
      </c>
      <c r="AR268">
        <v>31</v>
      </c>
      <c r="AS268">
        <v>46</v>
      </c>
      <c r="AT268">
        <v>87</v>
      </c>
      <c r="AU268">
        <v>62</v>
      </c>
      <c r="AV268">
        <v>85</v>
      </c>
      <c r="AW268">
        <v>4</v>
      </c>
      <c r="AX268">
        <v>0.8</v>
      </c>
      <c r="AY268">
        <v>7</v>
      </c>
      <c r="AZ268">
        <v>1.4</v>
      </c>
      <c r="BA268">
        <v>11</v>
      </c>
      <c r="BB268">
        <v>12</v>
      </c>
      <c r="BC268">
        <v>8</v>
      </c>
      <c r="BD268">
        <v>3</v>
      </c>
      <c r="BE268">
        <v>1</v>
      </c>
      <c r="BF268">
        <v>3</v>
      </c>
      <c r="BG268">
        <v>2</v>
      </c>
      <c r="BH268">
        <v>6</v>
      </c>
      <c r="BI268">
        <v>17</v>
      </c>
      <c r="BJ268">
        <v>14</v>
      </c>
      <c r="BK268">
        <v>5</v>
      </c>
      <c r="BL268">
        <v>22</v>
      </c>
      <c r="BM268">
        <v>1.5</v>
      </c>
      <c r="BN268">
        <v>1.2</v>
      </c>
      <c r="BO268">
        <v>0.5</v>
      </c>
      <c r="BP268">
        <v>1.8</v>
      </c>
      <c r="BQ268">
        <v>4</v>
      </c>
      <c r="BR268">
        <v>5</v>
      </c>
      <c r="BS268">
        <v>1</v>
      </c>
      <c r="BT268">
        <v>0</v>
      </c>
      <c r="BU268">
        <v>1</v>
      </c>
      <c r="BV268">
        <v>1</v>
      </c>
      <c r="BW268">
        <v>2</v>
      </c>
      <c r="BX268">
        <v>4</v>
      </c>
      <c r="BY268">
        <v>8</v>
      </c>
      <c r="BZ268">
        <v>1.6</v>
      </c>
      <c r="CA268">
        <v>2</v>
      </c>
      <c r="CB268">
        <v>0.4</v>
      </c>
      <c r="CC268">
        <v>12</v>
      </c>
      <c r="CD268">
        <v>10</v>
      </c>
      <c r="CE268">
        <v>8</v>
      </c>
      <c r="CF268">
        <v>6</v>
      </c>
      <c r="CG268">
        <v>1</v>
      </c>
      <c r="CH268">
        <v>1</v>
      </c>
      <c r="CI268">
        <v>3</v>
      </c>
      <c r="CJ268">
        <v>3</v>
      </c>
      <c r="CK268">
        <v>22</v>
      </c>
      <c r="CL268">
        <v>12</v>
      </c>
      <c r="CM268">
        <v>12</v>
      </c>
      <c r="CN268">
        <v>10</v>
      </c>
      <c r="CO268">
        <v>1.8</v>
      </c>
      <c r="CP268">
        <v>1.2</v>
      </c>
      <c r="CQ268">
        <v>1</v>
      </c>
      <c r="CR268">
        <v>1</v>
      </c>
      <c r="CS268">
        <v>5</v>
      </c>
      <c r="CT268">
        <v>4</v>
      </c>
      <c r="CU268">
        <v>4</v>
      </c>
      <c r="CV268">
        <v>2</v>
      </c>
      <c r="CW268">
        <v>1</v>
      </c>
      <c r="CX268">
        <v>1</v>
      </c>
      <c r="CY268">
        <v>0</v>
      </c>
      <c r="CZ268">
        <v>1</v>
      </c>
    </row>
    <row r="269" spans="1:104" x14ac:dyDescent="0.25">
      <c r="A269" s="1" t="s">
        <v>1735</v>
      </c>
      <c r="B269">
        <v>1947</v>
      </c>
      <c r="C269">
        <v>8382</v>
      </c>
      <c r="D269" s="2">
        <v>43799</v>
      </c>
      <c r="E269" s="3">
        <f t="shared" si="12"/>
        <v>2019</v>
      </c>
      <c r="F269" s="3">
        <f t="shared" si="13"/>
        <v>11</v>
      </c>
      <c r="G269" s="3">
        <f t="shared" si="14"/>
        <v>7</v>
      </c>
      <c r="H269" t="s">
        <v>1736</v>
      </c>
      <c r="I269">
        <v>1098</v>
      </c>
      <c r="J269" t="s">
        <v>1737</v>
      </c>
      <c r="K269" t="s">
        <v>345</v>
      </c>
      <c r="L269">
        <v>2019</v>
      </c>
      <c r="M269" t="s">
        <v>1738</v>
      </c>
      <c r="N269" t="s">
        <v>1736</v>
      </c>
      <c r="O269" t="s">
        <v>1739</v>
      </c>
      <c r="P269">
        <v>3000</v>
      </c>
      <c r="Q269" t="s">
        <v>345</v>
      </c>
      <c r="R269">
        <v>1911</v>
      </c>
      <c r="S269" t="s">
        <v>1740</v>
      </c>
      <c r="T269" t="s">
        <v>1741</v>
      </c>
      <c r="U269">
        <v>4240</v>
      </c>
      <c r="V269" t="s">
        <v>345</v>
      </c>
      <c r="X269" t="s">
        <v>109</v>
      </c>
      <c r="Z269">
        <v>-2.5</v>
      </c>
      <c r="AA269">
        <v>-2.5</v>
      </c>
      <c r="AB269">
        <v>45</v>
      </c>
      <c r="AC269">
        <v>45</v>
      </c>
      <c r="AD269">
        <v>10</v>
      </c>
      <c r="AE269">
        <v>52</v>
      </c>
      <c r="AF269">
        <v>48</v>
      </c>
      <c r="AG269">
        <v>44</v>
      </c>
      <c r="AH269">
        <v>56</v>
      </c>
      <c r="AI269">
        <v>57</v>
      </c>
      <c r="AJ269">
        <v>43</v>
      </c>
      <c r="AK269">
        <v>66</v>
      </c>
      <c r="AL269">
        <v>34</v>
      </c>
      <c r="AM269">
        <v>50</v>
      </c>
      <c r="AN269">
        <v>50</v>
      </c>
      <c r="AO269">
        <v>43</v>
      </c>
      <c r="AP269">
        <v>57</v>
      </c>
      <c r="AQ269">
        <v>80</v>
      </c>
      <c r="AR269">
        <v>50</v>
      </c>
      <c r="AS269">
        <v>81</v>
      </c>
      <c r="AT269">
        <v>73</v>
      </c>
      <c r="AU269">
        <v>63</v>
      </c>
      <c r="AV269">
        <v>75</v>
      </c>
      <c r="AW269">
        <v>8</v>
      </c>
      <c r="AX269">
        <v>1.6</v>
      </c>
      <c r="AY269">
        <v>3</v>
      </c>
      <c r="AZ269">
        <v>0.6</v>
      </c>
      <c r="BA269">
        <v>8</v>
      </c>
      <c r="BB269">
        <v>8</v>
      </c>
      <c r="BC269">
        <v>6</v>
      </c>
      <c r="BD269">
        <v>4</v>
      </c>
      <c r="BE269">
        <v>1</v>
      </c>
      <c r="BF269">
        <v>2</v>
      </c>
      <c r="BG269">
        <v>1</v>
      </c>
      <c r="BH269">
        <v>2</v>
      </c>
      <c r="BI269">
        <v>15</v>
      </c>
      <c r="BJ269">
        <v>8</v>
      </c>
      <c r="BK269">
        <v>6</v>
      </c>
      <c r="BL269">
        <v>9</v>
      </c>
      <c r="BM269">
        <v>1.9</v>
      </c>
      <c r="BN269">
        <v>1</v>
      </c>
      <c r="BO269">
        <v>0.8</v>
      </c>
      <c r="BP269">
        <v>1.1000000000000001</v>
      </c>
      <c r="BQ269">
        <v>5</v>
      </c>
      <c r="BR269">
        <v>4</v>
      </c>
      <c r="BS269">
        <v>2</v>
      </c>
      <c r="BT269">
        <v>1</v>
      </c>
      <c r="BU269">
        <v>1</v>
      </c>
      <c r="BV269">
        <v>1</v>
      </c>
      <c r="BW269">
        <v>2</v>
      </c>
      <c r="BX269">
        <v>2</v>
      </c>
      <c r="BY269">
        <v>10</v>
      </c>
      <c r="BZ269">
        <v>2</v>
      </c>
      <c r="CA269">
        <v>4</v>
      </c>
      <c r="CB269">
        <v>0.8</v>
      </c>
      <c r="CC269">
        <v>8</v>
      </c>
      <c r="CD269">
        <v>8</v>
      </c>
      <c r="CE269">
        <v>5</v>
      </c>
      <c r="CF269">
        <v>1</v>
      </c>
      <c r="CG269">
        <v>3</v>
      </c>
      <c r="CH269">
        <v>4</v>
      </c>
      <c r="CI269">
        <v>0</v>
      </c>
      <c r="CJ269">
        <v>3</v>
      </c>
      <c r="CK269">
        <v>15</v>
      </c>
      <c r="CL269">
        <v>10</v>
      </c>
      <c r="CM269">
        <v>7</v>
      </c>
      <c r="CN269">
        <v>11</v>
      </c>
      <c r="CO269">
        <v>1.9</v>
      </c>
      <c r="CP269">
        <v>1.3</v>
      </c>
      <c r="CQ269">
        <v>0.9</v>
      </c>
      <c r="CR269">
        <v>1.4</v>
      </c>
      <c r="CS269">
        <v>4</v>
      </c>
      <c r="CT269">
        <v>5</v>
      </c>
      <c r="CU269">
        <v>2</v>
      </c>
      <c r="CV269">
        <v>2</v>
      </c>
      <c r="CW269">
        <v>1</v>
      </c>
      <c r="CX269">
        <v>1</v>
      </c>
      <c r="CY269">
        <v>1</v>
      </c>
      <c r="CZ269">
        <v>2</v>
      </c>
    </row>
    <row r="270" spans="1:104" x14ac:dyDescent="0.25">
      <c r="A270" s="1" t="s">
        <v>1742</v>
      </c>
      <c r="B270">
        <v>6097</v>
      </c>
      <c r="C270">
        <v>4166</v>
      </c>
      <c r="D270" s="2">
        <v>44030</v>
      </c>
      <c r="E270" s="3">
        <f t="shared" si="12"/>
        <v>2020</v>
      </c>
      <c r="F270" s="3">
        <f t="shared" si="13"/>
        <v>7</v>
      </c>
      <c r="G270" s="3">
        <f t="shared" si="14"/>
        <v>7</v>
      </c>
      <c r="H270" t="s">
        <v>1666</v>
      </c>
      <c r="I270">
        <v>1352</v>
      </c>
      <c r="J270" t="s">
        <v>223</v>
      </c>
      <c r="K270" t="s">
        <v>224</v>
      </c>
      <c r="L270">
        <v>2020</v>
      </c>
      <c r="M270" t="s">
        <v>458</v>
      </c>
      <c r="N270" t="s">
        <v>1666</v>
      </c>
      <c r="O270" t="s">
        <v>226</v>
      </c>
      <c r="P270">
        <v>1000</v>
      </c>
      <c r="Q270" t="s">
        <v>224</v>
      </c>
      <c r="S270" t="s">
        <v>1743</v>
      </c>
      <c r="T270" t="s">
        <v>1744</v>
      </c>
      <c r="U270">
        <v>3000</v>
      </c>
      <c r="V270" t="s">
        <v>224</v>
      </c>
      <c r="W270">
        <v>1927</v>
      </c>
      <c r="X270">
        <v>1</v>
      </c>
      <c r="Z270">
        <v>-4.5</v>
      </c>
      <c r="AA270">
        <v>-2.5</v>
      </c>
      <c r="AB270">
        <v>50</v>
      </c>
      <c r="AC270">
        <v>50</v>
      </c>
      <c r="AD270">
        <v>0</v>
      </c>
      <c r="AE270">
        <v>93</v>
      </c>
      <c r="AF270">
        <v>7</v>
      </c>
      <c r="AG270">
        <v>61</v>
      </c>
      <c r="AH270">
        <v>39</v>
      </c>
      <c r="AI270">
        <v>93</v>
      </c>
      <c r="AJ270">
        <v>7</v>
      </c>
      <c r="AK270">
        <v>100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87</v>
      </c>
      <c r="AR270">
        <v>92</v>
      </c>
      <c r="AS270">
        <v>92</v>
      </c>
      <c r="AT270">
        <v>7</v>
      </c>
      <c r="AU270">
        <v>58</v>
      </c>
      <c r="AV270">
        <v>0</v>
      </c>
      <c r="AW270">
        <v>11</v>
      </c>
      <c r="AX270">
        <v>2.2000000000000002</v>
      </c>
      <c r="AY270">
        <v>1</v>
      </c>
      <c r="AZ270">
        <v>0.2</v>
      </c>
      <c r="BA270">
        <v>2</v>
      </c>
      <c r="BB270">
        <v>3</v>
      </c>
      <c r="BC270">
        <v>2</v>
      </c>
      <c r="BD270">
        <v>2</v>
      </c>
      <c r="BE270">
        <v>0</v>
      </c>
      <c r="BF270">
        <v>1</v>
      </c>
      <c r="BG270">
        <v>0</v>
      </c>
      <c r="BH270">
        <v>0</v>
      </c>
      <c r="BI270">
        <v>6</v>
      </c>
      <c r="BJ270">
        <v>5</v>
      </c>
      <c r="BK270">
        <v>0</v>
      </c>
      <c r="BL270">
        <v>1</v>
      </c>
      <c r="BM270">
        <v>3</v>
      </c>
      <c r="BN270">
        <v>1.7</v>
      </c>
      <c r="BO270">
        <v>0</v>
      </c>
      <c r="BP270">
        <v>0.3</v>
      </c>
      <c r="BQ270">
        <v>1</v>
      </c>
      <c r="BR270">
        <v>0</v>
      </c>
      <c r="BS270">
        <v>1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7</v>
      </c>
      <c r="BZ270">
        <v>1.4</v>
      </c>
      <c r="CA270">
        <v>13</v>
      </c>
      <c r="CB270">
        <v>2.6</v>
      </c>
      <c r="CC270">
        <v>3</v>
      </c>
      <c r="CD270">
        <v>2</v>
      </c>
      <c r="CE270">
        <v>0</v>
      </c>
      <c r="CF270">
        <v>0</v>
      </c>
      <c r="CG270">
        <v>1</v>
      </c>
      <c r="CH270">
        <v>0</v>
      </c>
      <c r="CI270">
        <v>2</v>
      </c>
      <c r="CJ270">
        <v>2</v>
      </c>
      <c r="CK270">
        <v>5</v>
      </c>
      <c r="CL270">
        <v>2</v>
      </c>
      <c r="CM270">
        <v>8</v>
      </c>
      <c r="CN270">
        <v>5</v>
      </c>
      <c r="CO270">
        <v>1.7</v>
      </c>
      <c r="CP270">
        <v>1</v>
      </c>
      <c r="CQ270">
        <v>2.7</v>
      </c>
      <c r="CR270">
        <v>2.5</v>
      </c>
      <c r="CS270">
        <v>0</v>
      </c>
      <c r="CT270">
        <v>1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1</v>
      </c>
    </row>
    <row r="271" spans="1:104" x14ac:dyDescent="0.25">
      <c r="A271" s="1" t="s">
        <v>1745</v>
      </c>
      <c r="B271">
        <v>206</v>
      </c>
      <c r="C271">
        <v>417</v>
      </c>
      <c r="D271" s="2">
        <v>43898</v>
      </c>
      <c r="E271" s="3">
        <f t="shared" si="12"/>
        <v>2020</v>
      </c>
      <c r="F271" s="3">
        <f t="shared" si="13"/>
        <v>3</v>
      </c>
      <c r="G271" s="3">
        <f t="shared" si="14"/>
        <v>1</v>
      </c>
      <c r="H271" t="s">
        <v>1746</v>
      </c>
      <c r="I271">
        <v>566</v>
      </c>
      <c r="J271" t="s">
        <v>779</v>
      </c>
      <c r="K271" t="s">
        <v>286</v>
      </c>
      <c r="L271">
        <v>2019</v>
      </c>
      <c r="M271" t="s">
        <v>297</v>
      </c>
      <c r="N271" t="s">
        <v>1746</v>
      </c>
      <c r="O271" t="s">
        <v>1747</v>
      </c>
      <c r="P271">
        <v>13500</v>
      </c>
      <c r="Q271" t="s">
        <v>286</v>
      </c>
      <c r="R271">
        <v>1903</v>
      </c>
      <c r="S271" t="s">
        <v>1748</v>
      </c>
      <c r="T271" t="s">
        <v>1749</v>
      </c>
      <c r="U271">
        <v>7508</v>
      </c>
      <c r="V271" t="s">
        <v>286</v>
      </c>
      <c r="W271">
        <v>1940</v>
      </c>
      <c r="X271">
        <v>1</v>
      </c>
      <c r="Z271">
        <v>-3.5</v>
      </c>
      <c r="AA271">
        <v>-1.5</v>
      </c>
      <c r="AB271">
        <v>50</v>
      </c>
      <c r="AC271">
        <v>50</v>
      </c>
      <c r="AD271">
        <v>0</v>
      </c>
      <c r="AE271">
        <v>64</v>
      </c>
      <c r="AF271">
        <v>36</v>
      </c>
      <c r="AG271">
        <v>60</v>
      </c>
      <c r="AH271">
        <v>40</v>
      </c>
      <c r="AI271">
        <v>82</v>
      </c>
      <c r="AJ271">
        <v>18</v>
      </c>
      <c r="AK271">
        <v>78</v>
      </c>
      <c r="AL271">
        <v>22</v>
      </c>
      <c r="AM271">
        <v>80</v>
      </c>
      <c r="AN271">
        <v>20</v>
      </c>
      <c r="AO271">
        <v>67</v>
      </c>
      <c r="AP271">
        <v>33</v>
      </c>
      <c r="AQ271">
        <v>47</v>
      </c>
      <c r="AR271">
        <v>17</v>
      </c>
      <c r="AS271">
        <v>89</v>
      </c>
      <c r="AT271">
        <v>27</v>
      </c>
      <c r="AU271">
        <v>11</v>
      </c>
      <c r="AV271">
        <v>50</v>
      </c>
      <c r="AW271">
        <v>3</v>
      </c>
      <c r="AX271">
        <v>0.6</v>
      </c>
      <c r="AY271">
        <v>2</v>
      </c>
      <c r="AZ271">
        <v>0.4</v>
      </c>
      <c r="BA271">
        <v>12</v>
      </c>
      <c r="BB271">
        <v>13</v>
      </c>
      <c r="BC271">
        <v>7</v>
      </c>
      <c r="BD271">
        <v>2</v>
      </c>
      <c r="BE271">
        <v>1</v>
      </c>
      <c r="BF271">
        <v>5</v>
      </c>
      <c r="BG271">
        <v>4</v>
      </c>
      <c r="BH271">
        <v>6</v>
      </c>
      <c r="BI271">
        <v>27</v>
      </c>
      <c r="BJ271">
        <v>9</v>
      </c>
      <c r="BK271">
        <v>15</v>
      </c>
      <c r="BL271">
        <v>17</v>
      </c>
      <c r="BM271">
        <v>2.2999999999999998</v>
      </c>
      <c r="BN271">
        <v>0.7</v>
      </c>
      <c r="BO271">
        <v>1.3</v>
      </c>
      <c r="BP271">
        <v>1.3</v>
      </c>
      <c r="BQ271">
        <v>5</v>
      </c>
      <c r="BR271">
        <v>4</v>
      </c>
      <c r="BS271">
        <v>4</v>
      </c>
      <c r="BT271">
        <v>1</v>
      </c>
      <c r="BU271">
        <v>1</v>
      </c>
      <c r="BV271">
        <v>2</v>
      </c>
      <c r="BW271">
        <v>0</v>
      </c>
      <c r="BX271">
        <v>1</v>
      </c>
      <c r="BY271">
        <v>2</v>
      </c>
      <c r="BZ271">
        <v>0.4</v>
      </c>
      <c r="CA271">
        <v>9</v>
      </c>
      <c r="CB271">
        <v>1.8</v>
      </c>
      <c r="CC271">
        <v>13</v>
      </c>
      <c r="CD271">
        <v>12</v>
      </c>
      <c r="CE271">
        <v>3</v>
      </c>
      <c r="CF271">
        <v>1</v>
      </c>
      <c r="CG271">
        <v>2</v>
      </c>
      <c r="CH271">
        <v>1</v>
      </c>
      <c r="CI271">
        <v>8</v>
      </c>
      <c r="CJ271">
        <v>10</v>
      </c>
      <c r="CK271">
        <v>13</v>
      </c>
      <c r="CL271">
        <v>12</v>
      </c>
      <c r="CM271">
        <v>20</v>
      </c>
      <c r="CN271">
        <v>36</v>
      </c>
      <c r="CO271">
        <v>1</v>
      </c>
      <c r="CP271">
        <v>1</v>
      </c>
      <c r="CQ271">
        <v>1.5</v>
      </c>
      <c r="CR271">
        <v>3</v>
      </c>
      <c r="CS271">
        <v>4</v>
      </c>
      <c r="CT271">
        <v>5</v>
      </c>
      <c r="CU271">
        <v>1</v>
      </c>
      <c r="CV271">
        <v>0</v>
      </c>
      <c r="CW271">
        <v>2</v>
      </c>
      <c r="CX271">
        <v>1</v>
      </c>
      <c r="CY271">
        <v>1</v>
      </c>
      <c r="CZ271">
        <v>4</v>
      </c>
    </row>
    <row r="272" spans="1:104" x14ac:dyDescent="0.25">
      <c r="A272" s="1" t="s">
        <v>1750</v>
      </c>
      <c r="B272">
        <v>6875</v>
      </c>
      <c r="C272">
        <v>2583</v>
      </c>
      <c r="D272" s="2">
        <v>43769</v>
      </c>
      <c r="E272" s="3">
        <f t="shared" si="12"/>
        <v>2019</v>
      </c>
      <c r="F272" s="3">
        <f t="shared" si="13"/>
        <v>10</v>
      </c>
      <c r="G272" s="3">
        <f t="shared" si="14"/>
        <v>5</v>
      </c>
      <c r="H272" t="s">
        <v>1751</v>
      </c>
      <c r="I272">
        <v>962</v>
      </c>
      <c r="J272" t="s">
        <v>1752</v>
      </c>
      <c r="K272" t="s">
        <v>1707</v>
      </c>
      <c r="L272">
        <v>2019</v>
      </c>
      <c r="M272" t="s">
        <v>1042</v>
      </c>
      <c r="N272" t="s">
        <v>1751</v>
      </c>
      <c r="O272" t="s">
        <v>1753</v>
      </c>
      <c r="P272">
        <v>3000</v>
      </c>
      <c r="Q272" t="s">
        <v>1707</v>
      </c>
      <c r="R272">
        <v>1954</v>
      </c>
      <c r="S272" t="s">
        <v>1754</v>
      </c>
      <c r="T272" t="s">
        <v>1755</v>
      </c>
      <c r="U272">
        <v>13000</v>
      </c>
      <c r="V272" t="s">
        <v>1707</v>
      </c>
      <c r="W272">
        <v>2010</v>
      </c>
      <c r="X272" t="s">
        <v>109</v>
      </c>
      <c r="Z272">
        <v>-2.5</v>
      </c>
      <c r="AA272">
        <v>-1.5</v>
      </c>
      <c r="AB272">
        <v>50</v>
      </c>
      <c r="AC272">
        <v>50</v>
      </c>
      <c r="AD272">
        <v>0</v>
      </c>
      <c r="AE272">
        <v>77</v>
      </c>
      <c r="AF272">
        <v>23</v>
      </c>
      <c r="AG272">
        <v>83</v>
      </c>
      <c r="AH272">
        <v>17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83</v>
      </c>
      <c r="AR272">
        <v>31</v>
      </c>
      <c r="AS272">
        <v>100</v>
      </c>
      <c r="AT272">
        <v>100</v>
      </c>
      <c r="AU272">
        <v>6</v>
      </c>
      <c r="AV272">
        <v>100</v>
      </c>
      <c r="AW272">
        <v>5</v>
      </c>
      <c r="AX272">
        <v>1.3</v>
      </c>
      <c r="AY272">
        <v>0</v>
      </c>
      <c r="AZ272">
        <v>0</v>
      </c>
      <c r="BA272">
        <v>3</v>
      </c>
      <c r="BB272">
        <v>1</v>
      </c>
      <c r="BC272">
        <v>2</v>
      </c>
      <c r="BD272">
        <v>1</v>
      </c>
      <c r="BE272">
        <v>1</v>
      </c>
      <c r="BF272">
        <v>0</v>
      </c>
      <c r="BG272">
        <v>0</v>
      </c>
      <c r="BH272">
        <v>0</v>
      </c>
      <c r="BI272">
        <v>2</v>
      </c>
      <c r="BJ272">
        <v>3</v>
      </c>
      <c r="BK272">
        <v>0</v>
      </c>
      <c r="BL272">
        <v>0</v>
      </c>
      <c r="BM272">
        <v>0.7</v>
      </c>
      <c r="BN272">
        <v>3</v>
      </c>
      <c r="BO272">
        <v>0</v>
      </c>
      <c r="BP272">
        <v>0</v>
      </c>
      <c r="BQ272">
        <v>1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1</v>
      </c>
      <c r="BX272">
        <v>0</v>
      </c>
      <c r="BY272">
        <v>1</v>
      </c>
      <c r="BZ272">
        <v>1</v>
      </c>
      <c r="CA272">
        <v>0</v>
      </c>
      <c r="CB272">
        <v>0</v>
      </c>
      <c r="CC272">
        <v>0</v>
      </c>
      <c r="CD272">
        <v>1</v>
      </c>
      <c r="CE272">
        <v>0</v>
      </c>
      <c r="CF272">
        <v>1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1</v>
      </c>
      <c r="CM272">
        <v>0</v>
      </c>
      <c r="CN272">
        <v>0</v>
      </c>
      <c r="CO272">
        <v>0</v>
      </c>
      <c r="CP272">
        <v>1</v>
      </c>
      <c r="CQ272">
        <v>0</v>
      </c>
      <c r="CR272">
        <v>0</v>
      </c>
      <c r="CS272">
        <v>0</v>
      </c>
      <c r="CT272">
        <v>1</v>
      </c>
      <c r="CU272">
        <v>0</v>
      </c>
      <c r="CV272">
        <v>1</v>
      </c>
      <c r="CW272">
        <v>0</v>
      </c>
      <c r="CX272">
        <v>0</v>
      </c>
      <c r="CY272">
        <v>0</v>
      </c>
      <c r="CZ272">
        <v>0</v>
      </c>
    </row>
    <row r="273" spans="1:104" x14ac:dyDescent="0.25">
      <c r="A273" s="1" t="s">
        <v>1756</v>
      </c>
      <c r="B273">
        <v>136</v>
      </c>
      <c r="C273">
        <v>141</v>
      </c>
      <c r="D273" s="2">
        <v>43774</v>
      </c>
      <c r="E273" s="3">
        <f t="shared" si="12"/>
        <v>2019</v>
      </c>
      <c r="F273" s="3">
        <f t="shared" si="13"/>
        <v>11</v>
      </c>
      <c r="G273" s="3">
        <f t="shared" si="14"/>
        <v>3</v>
      </c>
      <c r="H273" t="s">
        <v>1757</v>
      </c>
      <c r="I273">
        <v>358</v>
      </c>
      <c r="J273" t="s">
        <v>312</v>
      </c>
      <c r="K273" t="s">
        <v>264</v>
      </c>
      <c r="L273">
        <v>2019</v>
      </c>
      <c r="M273" t="s">
        <v>975</v>
      </c>
      <c r="N273" t="s">
        <v>1758</v>
      </c>
      <c r="O273" t="s">
        <v>1759</v>
      </c>
      <c r="P273">
        <v>35980</v>
      </c>
      <c r="Q273" t="s">
        <v>264</v>
      </c>
      <c r="R273">
        <v>1899</v>
      </c>
      <c r="S273" t="s">
        <v>1760</v>
      </c>
      <c r="T273" t="s">
        <v>1761</v>
      </c>
      <c r="U273">
        <v>18000</v>
      </c>
      <c r="V273" t="s">
        <v>264</v>
      </c>
      <c r="W273">
        <v>1911</v>
      </c>
      <c r="X273" t="s">
        <v>125</v>
      </c>
      <c r="Y273">
        <v>-3.5</v>
      </c>
      <c r="Z273">
        <v>-2.5</v>
      </c>
      <c r="AA273">
        <v>-1.5</v>
      </c>
      <c r="AB273">
        <v>10</v>
      </c>
      <c r="AC273">
        <v>45</v>
      </c>
      <c r="AD273">
        <v>45</v>
      </c>
      <c r="AE273">
        <v>50</v>
      </c>
      <c r="AF273">
        <v>50</v>
      </c>
      <c r="AG273">
        <v>73</v>
      </c>
      <c r="AH273">
        <v>27</v>
      </c>
      <c r="AI273">
        <v>14</v>
      </c>
      <c r="AJ273">
        <v>86</v>
      </c>
      <c r="AK273">
        <v>0</v>
      </c>
      <c r="AL273">
        <v>0</v>
      </c>
      <c r="AM273">
        <v>0</v>
      </c>
      <c r="AN273">
        <v>100</v>
      </c>
      <c r="AO273">
        <v>0</v>
      </c>
      <c r="AP273">
        <v>100</v>
      </c>
      <c r="AQ273">
        <v>53</v>
      </c>
      <c r="AR273">
        <v>100</v>
      </c>
      <c r="AS273">
        <v>14</v>
      </c>
      <c r="AT273">
        <v>53</v>
      </c>
      <c r="AU273">
        <v>43</v>
      </c>
      <c r="AV273">
        <v>86</v>
      </c>
      <c r="AW273">
        <v>8</v>
      </c>
      <c r="AX273">
        <v>1.6</v>
      </c>
      <c r="AY273">
        <v>6</v>
      </c>
      <c r="AZ273">
        <v>1.2</v>
      </c>
      <c r="BA273">
        <v>16</v>
      </c>
      <c r="BB273">
        <v>16</v>
      </c>
      <c r="BC273">
        <v>5</v>
      </c>
      <c r="BD273">
        <v>4</v>
      </c>
      <c r="BE273">
        <v>6</v>
      </c>
      <c r="BF273">
        <v>4</v>
      </c>
      <c r="BG273">
        <v>5</v>
      </c>
      <c r="BH273">
        <v>8</v>
      </c>
      <c r="BI273">
        <v>16</v>
      </c>
      <c r="BJ273">
        <v>17</v>
      </c>
      <c r="BK273">
        <v>15</v>
      </c>
      <c r="BL273">
        <v>26</v>
      </c>
      <c r="BM273">
        <v>1</v>
      </c>
      <c r="BN273">
        <v>1.1000000000000001</v>
      </c>
      <c r="BO273">
        <v>0.9</v>
      </c>
      <c r="BP273">
        <v>1.6</v>
      </c>
      <c r="BQ273">
        <v>1</v>
      </c>
      <c r="BR273">
        <v>1</v>
      </c>
      <c r="BS273">
        <v>1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3</v>
      </c>
      <c r="BZ273">
        <v>0.6</v>
      </c>
      <c r="CA273">
        <v>1</v>
      </c>
      <c r="CB273">
        <v>0.2</v>
      </c>
      <c r="CC273">
        <v>16</v>
      </c>
      <c r="CD273">
        <v>16</v>
      </c>
      <c r="CE273">
        <v>7</v>
      </c>
      <c r="CF273">
        <v>4</v>
      </c>
      <c r="CG273">
        <v>4</v>
      </c>
      <c r="CH273">
        <v>5</v>
      </c>
      <c r="CI273">
        <v>5</v>
      </c>
      <c r="CJ273">
        <v>7</v>
      </c>
      <c r="CK273">
        <v>11</v>
      </c>
      <c r="CL273">
        <v>15</v>
      </c>
      <c r="CM273">
        <v>11</v>
      </c>
      <c r="CN273">
        <v>20</v>
      </c>
      <c r="CO273">
        <v>0.7</v>
      </c>
      <c r="CP273">
        <v>0.9</v>
      </c>
      <c r="CQ273">
        <v>0.7</v>
      </c>
      <c r="CR273">
        <v>1.3</v>
      </c>
      <c r="CS273">
        <v>1</v>
      </c>
      <c r="CT273">
        <v>1</v>
      </c>
      <c r="CU273">
        <v>1</v>
      </c>
      <c r="CV273">
        <v>0</v>
      </c>
      <c r="CW273">
        <v>0</v>
      </c>
      <c r="CX273">
        <v>0</v>
      </c>
      <c r="CY273">
        <v>0</v>
      </c>
      <c r="CZ273">
        <v>1</v>
      </c>
    </row>
    <row r="274" spans="1:104" x14ac:dyDescent="0.25">
      <c r="A274" s="1" t="s">
        <v>1762</v>
      </c>
      <c r="B274">
        <v>384</v>
      </c>
      <c r="C274">
        <v>4273</v>
      </c>
      <c r="D274" s="2">
        <v>43946</v>
      </c>
      <c r="E274" s="3">
        <f t="shared" si="12"/>
        <v>2020</v>
      </c>
      <c r="F274" s="3">
        <f t="shared" si="13"/>
        <v>4</v>
      </c>
      <c r="G274" s="3">
        <f t="shared" si="14"/>
        <v>7</v>
      </c>
      <c r="H274" t="s">
        <v>1763</v>
      </c>
      <c r="I274">
        <v>2279</v>
      </c>
      <c r="J274" t="s">
        <v>448</v>
      </c>
      <c r="K274" t="s">
        <v>217</v>
      </c>
      <c r="L274">
        <v>2020</v>
      </c>
      <c r="M274" t="s">
        <v>405</v>
      </c>
      <c r="N274" t="s">
        <v>1764</v>
      </c>
      <c r="O274" t="s">
        <v>1765</v>
      </c>
      <c r="P274">
        <v>7350</v>
      </c>
      <c r="Q274" t="s">
        <v>217</v>
      </c>
      <c r="R274">
        <v>1960</v>
      </c>
      <c r="S274" t="s">
        <v>1766</v>
      </c>
      <c r="T274" t="s">
        <v>1767</v>
      </c>
      <c r="U274">
        <v>2200</v>
      </c>
      <c r="V274" t="s">
        <v>217</v>
      </c>
      <c r="X274">
        <v>2</v>
      </c>
      <c r="AA274">
        <v>-4.5</v>
      </c>
      <c r="AB274">
        <v>10</v>
      </c>
      <c r="AC274">
        <v>45</v>
      </c>
      <c r="AD274">
        <v>45</v>
      </c>
      <c r="AE274">
        <v>0</v>
      </c>
      <c r="AF274">
        <v>100</v>
      </c>
      <c r="AG274">
        <v>0</v>
      </c>
      <c r="AH274">
        <v>100</v>
      </c>
      <c r="AI274">
        <v>100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100</v>
      </c>
      <c r="AU274">
        <v>15</v>
      </c>
      <c r="AV274">
        <v>88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4</v>
      </c>
      <c r="BZ274">
        <v>4</v>
      </c>
      <c r="CA274">
        <v>3</v>
      </c>
      <c r="CB274">
        <v>3</v>
      </c>
      <c r="CC274">
        <v>1</v>
      </c>
      <c r="CD274">
        <v>0</v>
      </c>
      <c r="CE274">
        <v>1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4</v>
      </c>
      <c r="CL274">
        <v>0</v>
      </c>
      <c r="CM274">
        <v>3</v>
      </c>
      <c r="CN274">
        <v>0</v>
      </c>
      <c r="CO274">
        <v>4</v>
      </c>
      <c r="CP274">
        <v>0</v>
      </c>
      <c r="CQ274">
        <v>3</v>
      </c>
      <c r="CR274">
        <v>0</v>
      </c>
      <c r="CS274">
        <v>1</v>
      </c>
      <c r="CT274">
        <v>1</v>
      </c>
      <c r="CU274">
        <v>0</v>
      </c>
      <c r="CV274">
        <v>0</v>
      </c>
      <c r="CW274">
        <v>0</v>
      </c>
      <c r="CX274">
        <v>0</v>
      </c>
      <c r="CY274">
        <v>1</v>
      </c>
      <c r="CZ274">
        <v>1</v>
      </c>
    </row>
    <row r="275" spans="1:104" x14ac:dyDescent="0.25">
      <c r="A275" s="1" t="s">
        <v>1768</v>
      </c>
      <c r="B275">
        <v>11677</v>
      </c>
      <c r="C275">
        <v>2168</v>
      </c>
      <c r="D275" s="2">
        <v>43701</v>
      </c>
      <c r="E275" s="3">
        <f t="shared" si="12"/>
        <v>2019</v>
      </c>
      <c r="F275" s="3">
        <f t="shared" si="13"/>
        <v>8</v>
      </c>
      <c r="G275" s="3">
        <f t="shared" si="14"/>
        <v>7</v>
      </c>
      <c r="H275" t="s">
        <v>1769</v>
      </c>
      <c r="I275">
        <v>2229</v>
      </c>
      <c r="J275" t="s">
        <v>1770</v>
      </c>
      <c r="K275" t="s">
        <v>104</v>
      </c>
      <c r="L275">
        <v>2019</v>
      </c>
      <c r="M275" t="s">
        <v>233</v>
      </c>
      <c r="N275" t="s">
        <v>1769</v>
      </c>
      <c r="O275" t="s">
        <v>1771</v>
      </c>
      <c r="P275">
        <v>3500</v>
      </c>
      <c r="Q275" t="s">
        <v>104</v>
      </c>
      <c r="V275" t="s">
        <v>104</v>
      </c>
      <c r="W275">
        <v>1976</v>
      </c>
      <c r="X275" t="s">
        <v>125</v>
      </c>
      <c r="Z275">
        <v>-2.5</v>
      </c>
      <c r="AA275">
        <v>-3.5</v>
      </c>
      <c r="AB275">
        <v>10</v>
      </c>
      <c r="AC275">
        <v>45</v>
      </c>
      <c r="AD275">
        <v>45</v>
      </c>
      <c r="AE275">
        <v>40</v>
      </c>
      <c r="AF275">
        <v>60</v>
      </c>
      <c r="AG275">
        <v>45</v>
      </c>
      <c r="AH275">
        <v>55</v>
      </c>
      <c r="AI275">
        <v>30</v>
      </c>
      <c r="AJ275">
        <v>70</v>
      </c>
      <c r="AK275">
        <v>0</v>
      </c>
      <c r="AL275">
        <v>0</v>
      </c>
      <c r="AM275">
        <v>0</v>
      </c>
      <c r="AN275">
        <v>100</v>
      </c>
      <c r="AO275">
        <v>0</v>
      </c>
      <c r="AP275">
        <v>100</v>
      </c>
      <c r="AQ275">
        <v>53</v>
      </c>
      <c r="AR275">
        <v>53</v>
      </c>
      <c r="AS275">
        <v>63</v>
      </c>
      <c r="AT275">
        <v>80</v>
      </c>
      <c r="AU275">
        <v>63</v>
      </c>
      <c r="AV275">
        <v>84</v>
      </c>
      <c r="AW275">
        <v>10</v>
      </c>
      <c r="AX275">
        <v>2</v>
      </c>
      <c r="AY275">
        <v>7</v>
      </c>
      <c r="AZ275">
        <v>1.4</v>
      </c>
      <c r="BA275">
        <v>8</v>
      </c>
      <c r="BB275">
        <v>10</v>
      </c>
      <c r="BC275">
        <v>2</v>
      </c>
      <c r="BD275">
        <v>1</v>
      </c>
      <c r="BE275">
        <v>1</v>
      </c>
      <c r="BF275">
        <v>4</v>
      </c>
      <c r="BG275">
        <v>5</v>
      </c>
      <c r="BH275">
        <v>5</v>
      </c>
      <c r="BI275">
        <v>13</v>
      </c>
      <c r="BJ275">
        <v>11</v>
      </c>
      <c r="BK275">
        <v>16</v>
      </c>
      <c r="BL275">
        <v>25</v>
      </c>
      <c r="BM275">
        <v>1.6</v>
      </c>
      <c r="BN275">
        <v>1.1000000000000001</v>
      </c>
      <c r="BO275">
        <v>2</v>
      </c>
      <c r="BP275">
        <v>2.5</v>
      </c>
      <c r="BQ275">
        <v>2</v>
      </c>
      <c r="BR275">
        <v>1</v>
      </c>
      <c r="BS275">
        <v>1</v>
      </c>
      <c r="BT275">
        <v>0</v>
      </c>
      <c r="BU275">
        <v>0</v>
      </c>
      <c r="BV275">
        <v>0</v>
      </c>
      <c r="BW275">
        <v>1</v>
      </c>
      <c r="BX275">
        <v>1</v>
      </c>
      <c r="BY275">
        <v>12</v>
      </c>
      <c r="BZ275">
        <v>2.4</v>
      </c>
      <c r="CA275">
        <v>3</v>
      </c>
      <c r="CB275">
        <v>0.6</v>
      </c>
      <c r="CC275">
        <v>9</v>
      </c>
      <c r="CD275">
        <v>9</v>
      </c>
      <c r="CE275">
        <v>8</v>
      </c>
      <c r="CF275">
        <v>5</v>
      </c>
      <c r="CG275">
        <v>0</v>
      </c>
      <c r="CH275">
        <v>0</v>
      </c>
      <c r="CI275">
        <v>1</v>
      </c>
      <c r="CJ275">
        <v>4</v>
      </c>
      <c r="CK275">
        <v>28</v>
      </c>
      <c r="CL275">
        <v>22</v>
      </c>
      <c r="CM275">
        <v>4</v>
      </c>
      <c r="CN275">
        <v>13</v>
      </c>
      <c r="CO275">
        <v>3.1</v>
      </c>
      <c r="CP275">
        <v>2.4</v>
      </c>
      <c r="CQ275">
        <v>0.4</v>
      </c>
      <c r="CR275">
        <v>1.4</v>
      </c>
      <c r="CS275">
        <v>1</v>
      </c>
      <c r="CT275">
        <v>2</v>
      </c>
      <c r="CU275">
        <v>1</v>
      </c>
      <c r="CV275">
        <v>1</v>
      </c>
      <c r="CW275">
        <v>0</v>
      </c>
      <c r="CX275">
        <v>0</v>
      </c>
      <c r="CY275">
        <v>0</v>
      </c>
      <c r="CZ275">
        <v>1</v>
      </c>
    </row>
    <row r="276" spans="1:104" x14ac:dyDescent="0.25">
      <c r="A276" s="1" t="s">
        <v>1772</v>
      </c>
      <c r="B276">
        <v>1087</v>
      </c>
      <c r="C276">
        <v>3985</v>
      </c>
      <c r="D276" s="2">
        <v>43666</v>
      </c>
      <c r="E276" s="3">
        <f t="shared" si="12"/>
        <v>2019</v>
      </c>
      <c r="F276" s="3">
        <f t="shared" si="13"/>
        <v>7</v>
      </c>
      <c r="G276" s="3">
        <f t="shared" si="14"/>
        <v>7</v>
      </c>
      <c r="H276" t="s">
        <v>1773</v>
      </c>
      <c r="I276">
        <v>516</v>
      </c>
      <c r="J276" t="s">
        <v>278</v>
      </c>
      <c r="K276" t="s">
        <v>279</v>
      </c>
      <c r="L276">
        <v>2019</v>
      </c>
      <c r="M276" t="s">
        <v>209</v>
      </c>
      <c r="N276" t="s">
        <v>1773</v>
      </c>
      <c r="O276" t="s">
        <v>1774</v>
      </c>
      <c r="P276">
        <v>15200</v>
      </c>
      <c r="Q276" t="s">
        <v>279</v>
      </c>
      <c r="R276">
        <v>1946</v>
      </c>
      <c r="S276" t="s">
        <v>470</v>
      </c>
      <c r="T276" t="s">
        <v>471</v>
      </c>
      <c r="U276">
        <v>1012</v>
      </c>
      <c r="V276" t="s">
        <v>279</v>
      </c>
      <c r="W276">
        <v>1930</v>
      </c>
      <c r="X276" t="s">
        <v>125</v>
      </c>
      <c r="Z276">
        <v>-2.5</v>
      </c>
      <c r="AA276">
        <v>-2.5</v>
      </c>
      <c r="AB276">
        <v>10</v>
      </c>
      <c r="AC276">
        <v>45</v>
      </c>
      <c r="AD276">
        <v>45</v>
      </c>
      <c r="AE276">
        <v>14</v>
      </c>
      <c r="AF276">
        <v>86</v>
      </c>
      <c r="AG276">
        <v>50</v>
      </c>
      <c r="AH276">
        <v>50</v>
      </c>
      <c r="AI276">
        <v>0</v>
      </c>
      <c r="AJ276">
        <v>100</v>
      </c>
      <c r="AK276">
        <v>0</v>
      </c>
      <c r="AL276">
        <v>100</v>
      </c>
      <c r="AM276">
        <v>0</v>
      </c>
      <c r="AN276">
        <v>0</v>
      </c>
      <c r="AO276">
        <v>0</v>
      </c>
      <c r="AP276">
        <v>0</v>
      </c>
      <c r="AQ276">
        <v>17</v>
      </c>
      <c r="AR276">
        <v>19</v>
      </c>
      <c r="AS276">
        <v>75</v>
      </c>
      <c r="AT276">
        <v>100</v>
      </c>
      <c r="AU276">
        <v>19</v>
      </c>
      <c r="AV276">
        <v>100</v>
      </c>
      <c r="AW276">
        <v>3</v>
      </c>
      <c r="AX276">
        <v>1.5</v>
      </c>
      <c r="AY276">
        <v>4</v>
      </c>
      <c r="AZ276">
        <v>2</v>
      </c>
      <c r="BA276">
        <v>1</v>
      </c>
      <c r="BB276">
        <v>1</v>
      </c>
      <c r="BC276">
        <v>0</v>
      </c>
      <c r="BD276">
        <v>0</v>
      </c>
      <c r="BE276">
        <v>0</v>
      </c>
      <c r="BF276">
        <v>1</v>
      </c>
      <c r="BG276">
        <v>1</v>
      </c>
      <c r="BH276">
        <v>0</v>
      </c>
      <c r="BI276">
        <v>1</v>
      </c>
      <c r="BJ276">
        <v>2</v>
      </c>
      <c r="BK276">
        <v>2</v>
      </c>
      <c r="BL276">
        <v>2</v>
      </c>
      <c r="BM276">
        <v>1</v>
      </c>
      <c r="BN276">
        <v>2</v>
      </c>
      <c r="BO276">
        <v>2</v>
      </c>
      <c r="BP276">
        <v>2</v>
      </c>
      <c r="BQ276">
        <v>1</v>
      </c>
      <c r="BR276">
        <v>1</v>
      </c>
      <c r="BS276">
        <v>0</v>
      </c>
      <c r="BT276">
        <v>0</v>
      </c>
      <c r="BU276">
        <v>0</v>
      </c>
      <c r="BV276">
        <v>0</v>
      </c>
      <c r="BW276">
        <v>1</v>
      </c>
      <c r="BX276">
        <v>1</v>
      </c>
      <c r="BY276">
        <v>3</v>
      </c>
      <c r="BZ276">
        <v>1.5</v>
      </c>
      <c r="CA276">
        <v>0</v>
      </c>
      <c r="CB276">
        <v>0</v>
      </c>
      <c r="CC276">
        <v>1</v>
      </c>
      <c r="CD276">
        <v>1</v>
      </c>
      <c r="CE276">
        <v>1</v>
      </c>
      <c r="CF276">
        <v>1</v>
      </c>
      <c r="CG276">
        <v>0</v>
      </c>
      <c r="CH276">
        <v>0</v>
      </c>
      <c r="CI276">
        <v>0</v>
      </c>
      <c r="CJ276">
        <v>0</v>
      </c>
      <c r="CK276">
        <v>2</v>
      </c>
      <c r="CL276">
        <v>1</v>
      </c>
      <c r="CM276">
        <v>0</v>
      </c>
      <c r="CN276">
        <v>0</v>
      </c>
      <c r="CO276">
        <v>2</v>
      </c>
      <c r="CP276">
        <v>1</v>
      </c>
      <c r="CQ276">
        <v>0</v>
      </c>
      <c r="CR276">
        <v>0</v>
      </c>
      <c r="CS276">
        <v>1</v>
      </c>
      <c r="CT276">
        <v>1</v>
      </c>
      <c r="CU276">
        <v>1</v>
      </c>
      <c r="CV276">
        <v>1</v>
      </c>
      <c r="CW276">
        <v>0</v>
      </c>
      <c r="CX276">
        <v>0</v>
      </c>
      <c r="CY276">
        <v>0</v>
      </c>
      <c r="CZ276">
        <v>0</v>
      </c>
    </row>
    <row r="277" spans="1:104" x14ac:dyDescent="0.25">
      <c r="A277" s="1" t="s">
        <v>1775</v>
      </c>
      <c r="B277">
        <v>4177</v>
      </c>
      <c r="C277">
        <v>4133</v>
      </c>
      <c r="D277" s="2">
        <v>44024</v>
      </c>
      <c r="E277" s="3">
        <f t="shared" si="12"/>
        <v>2020</v>
      </c>
      <c r="F277" s="3">
        <f t="shared" si="13"/>
        <v>7</v>
      </c>
      <c r="G277" s="3">
        <f t="shared" si="14"/>
        <v>1</v>
      </c>
      <c r="H277" t="s">
        <v>1776</v>
      </c>
      <c r="I277">
        <v>1361</v>
      </c>
      <c r="J277" t="s">
        <v>1777</v>
      </c>
      <c r="K277" t="s">
        <v>1778</v>
      </c>
      <c r="L277">
        <v>2020</v>
      </c>
      <c r="M277" t="s">
        <v>272</v>
      </c>
      <c r="N277" t="s">
        <v>1776</v>
      </c>
      <c r="O277" t="s">
        <v>1779</v>
      </c>
      <c r="P277">
        <v>2000</v>
      </c>
      <c r="Q277" t="s">
        <v>1778</v>
      </c>
      <c r="R277">
        <v>1993</v>
      </c>
      <c r="S277" t="s">
        <v>1780</v>
      </c>
      <c r="T277" t="s">
        <v>1781</v>
      </c>
      <c r="U277">
        <v>5000</v>
      </c>
      <c r="V277" t="s">
        <v>1778</v>
      </c>
      <c r="W277">
        <v>1904</v>
      </c>
      <c r="X277">
        <v>2</v>
      </c>
      <c r="Z277">
        <v>-1.5</v>
      </c>
      <c r="AA277">
        <v>-3.5</v>
      </c>
      <c r="AB277">
        <v>0</v>
      </c>
      <c r="AC277">
        <v>50</v>
      </c>
      <c r="AD277">
        <v>50</v>
      </c>
      <c r="AE277">
        <v>9</v>
      </c>
      <c r="AF277">
        <v>91</v>
      </c>
      <c r="AG277">
        <v>15</v>
      </c>
      <c r="AH277">
        <v>85</v>
      </c>
      <c r="AI277">
        <v>39</v>
      </c>
      <c r="AJ277">
        <v>61</v>
      </c>
      <c r="AK277">
        <v>12</v>
      </c>
      <c r="AL277">
        <v>88</v>
      </c>
      <c r="AM277">
        <v>20</v>
      </c>
      <c r="AN277">
        <v>80</v>
      </c>
      <c r="AO277">
        <v>28</v>
      </c>
      <c r="AP277">
        <v>72</v>
      </c>
      <c r="AQ277">
        <v>7</v>
      </c>
      <c r="AR277">
        <v>13</v>
      </c>
      <c r="AS277">
        <v>31</v>
      </c>
      <c r="AT277">
        <v>67</v>
      </c>
      <c r="AU277">
        <v>69</v>
      </c>
      <c r="AV277">
        <v>56</v>
      </c>
      <c r="AW277">
        <v>2</v>
      </c>
      <c r="AX277">
        <v>0.4</v>
      </c>
      <c r="AY277">
        <v>11</v>
      </c>
      <c r="AZ277">
        <v>2.2000000000000002</v>
      </c>
      <c r="BA277">
        <v>5</v>
      </c>
      <c r="BB277">
        <v>6</v>
      </c>
      <c r="BC277">
        <v>2</v>
      </c>
      <c r="BD277">
        <v>0</v>
      </c>
      <c r="BE277">
        <v>0</v>
      </c>
      <c r="BF277">
        <v>1</v>
      </c>
      <c r="BG277">
        <v>3</v>
      </c>
      <c r="BH277">
        <v>5</v>
      </c>
      <c r="BI277">
        <v>3</v>
      </c>
      <c r="BJ277">
        <v>3</v>
      </c>
      <c r="BK277">
        <v>8</v>
      </c>
      <c r="BL277">
        <v>12</v>
      </c>
      <c r="BM277">
        <v>0.6</v>
      </c>
      <c r="BN277">
        <v>0.5</v>
      </c>
      <c r="BO277">
        <v>1.6</v>
      </c>
      <c r="BP277">
        <v>2</v>
      </c>
      <c r="BQ277">
        <v>13</v>
      </c>
      <c r="BR277">
        <v>10</v>
      </c>
      <c r="BS277">
        <v>5</v>
      </c>
      <c r="BT277">
        <v>3</v>
      </c>
      <c r="BU277">
        <v>2</v>
      </c>
      <c r="BV277">
        <v>0</v>
      </c>
      <c r="BW277">
        <v>6</v>
      </c>
      <c r="BX277">
        <v>7</v>
      </c>
      <c r="BY277">
        <v>11</v>
      </c>
      <c r="BZ277">
        <v>2.2000000000000002</v>
      </c>
      <c r="CA277">
        <v>7</v>
      </c>
      <c r="CB277">
        <v>1.4</v>
      </c>
      <c r="CC277">
        <v>4</v>
      </c>
      <c r="CD277">
        <v>7</v>
      </c>
      <c r="CE277">
        <v>3</v>
      </c>
      <c r="CF277">
        <v>6</v>
      </c>
      <c r="CG277">
        <v>1</v>
      </c>
      <c r="CH277">
        <v>0</v>
      </c>
      <c r="CI277">
        <v>0</v>
      </c>
      <c r="CJ277">
        <v>1</v>
      </c>
      <c r="CK277">
        <v>10</v>
      </c>
      <c r="CL277">
        <v>18</v>
      </c>
      <c r="CM277">
        <v>3</v>
      </c>
      <c r="CN277">
        <v>7</v>
      </c>
      <c r="CO277">
        <v>2.5</v>
      </c>
      <c r="CP277">
        <v>2.6</v>
      </c>
      <c r="CQ277">
        <v>0.8</v>
      </c>
      <c r="CR277">
        <v>1</v>
      </c>
      <c r="CS277">
        <v>10</v>
      </c>
      <c r="CT277">
        <v>13</v>
      </c>
      <c r="CU277">
        <v>7</v>
      </c>
      <c r="CV277">
        <v>6</v>
      </c>
      <c r="CW277">
        <v>0</v>
      </c>
      <c r="CX277">
        <v>2</v>
      </c>
      <c r="CY277">
        <v>3</v>
      </c>
      <c r="CZ277">
        <v>5</v>
      </c>
    </row>
    <row r="278" spans="1:104" x14ac:dyDescent="0.25">
      <c r="A278" s="1" t="s">
        <v>1782</v>
      </c>
      <c r="B278">
        <v>8526</v>
      </c>
      <c r="C278">
        <v>8528</v>
      </c>
      <c r="D278" s="2">
        <v>43723</v>
      </c>
      <c r="E278" s="3">
        <f t="shared" si="12"/>
        <v>2019</v>
      </c>
      <c r="F278" s="3">
        <f t="shared" si="13"/>
        <v>9</v>
      </c>
      <c r="G278" s="3">
        <f t="shared" si="14"/>
        <v>1</v>
      </c>
      <c r="H278" t="s">
        <v>1783</v>
      </c>
      <c r="I278">
        <v>1139</v>
      </c>
      <c r="J278" t="s">
        <v>1784</v>
      </c>
      <c r="K278" t="s">
        <v>172</v>
      </c>
      <c r="L278">
        <v>2019</v>
      </c>
      <c r="M278" t="s">
        <v>1785</v>
      </c>
      <c r="N278" t="s">
        <v>1783</v>
      </c>
      <c r="O278" t="s">
        <v>1786</v>
      </c>
      <c r="P278">
        <v>3000</v>
      </c>
      <c r="Q278" t="s">
        <v>172</v>
      </c>
      <c r="S278" t="s">
        <v>170</v>
      </c>
      <c r="T278" t="s">
        <v>1787</v>
      </c>
      <c r="U278">
        <v>14000</v>
      </c>
      <c r="V278" t="s">
        <v>172</v>
      </c>
      <c r="W278">
        <v>1919</v>
      </c>
      <c r="X278">
        <v>2</v>
      </c>
      <c r="Z278">
        <v>-1.5</v>
      </c>
      <c r="AA278">
        <v>-3.5</v>
      </c>
      <c r="AB278">
        <v>0</v>
      </c>
      <c r="AC278">
        <v>50</v>
      </c>
      <c r="AD278">
        <v>50</v>
      </c>
      <c r="AE278">
        <v>20</v>
      </c>
      <c r="AF278">
        <v>80</v>
      </c>
      <c r="AG278">
        <v>29</v>
      </c>
      <c r="AH278">
        <v>71</v>
      </c>
      <c r="AI278">
        <v>23</v>
      </c>
      <c r="AJ278">
        <v>77</v>
      </c>
      <c r="AK278">
        <v>25</v>
      </c>
      <c r="AL278">
        <v>75</v>
      </c>
      <c r="AM278">
        <v>0</v>
      </c>
      <c r="AN278">
        <v>0</v>
      </c>
      <c r="AO278">
        <v>0</v>
      </c>
      <c r="AP278">
        <v>0</v>
      </c>
      <c r="AQ278">
        <v>20</v>
      </c>
      <c r="AR278">
        <v>30</v>
      </c>
      <c r="AS278">
        <v>57</v>
      </c>
      <c r="AT278">
        <v>80</v>
      </c>
      <c r="AU278">
        <v>74</v>
      </c>
      <c r="AV278">
        <v>87</v>
      </c>
      <c r="AW278">
        <v>7</v>
      </c>
      <c r="AX278">
        <v>1.4</v>
      </c>
      <c r="AY278">
        <v>10</v>
      </c>
      <c r="AZ278">
        <v>2</v>
      </c>
      <c r="BA278">
        <v>2</v>
      </c>
      <c r="BB278">
        <v>3</v>
      </c>
      <c r="BC278">
        <v>0</v>
      </c>
      <c r="BD278">
        <v>0</v>
      </c>
      <c r="BE278">
        <v>2</v>
      </c>
      <c r="BF278">
        <v>1</v>
      </c>
      <c r="BG278">
        <v>0</v>
      </c>
      <c r="BH278">
        <v>2</v>
      </c>
      <c r="BI278">
        <v>1</v>
      </c>
      <c r="BJ278">
        <v>6</v>
      </c>
      <c r="BK278">
        <v>1</v>
      </c>
      <c r="BL278">
        <v>9</v>
      </c>
      <c r="BM278">
        <v>0.5</v>
      </c>
      <c r="BN278">
        <v>2</v>
      </c>
      <c r="BO278">
        <v>0.5</v>
      </c>
      <c r="BP278">
        <v>3</v>
      </c>
      <c r="BQ278">
        <v>1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</v>
      </c>
      <c r="BX278">
        <v>0</v>
      </c>
      <c r="BY278">
        <v>17</v>
      </c>
      <c r="BZ278">
        <v>3.4</v>
      </c>
      <c r="CA278">
        <v>3</v>
      </c>
      <c r="CB278">
        <v>0.6</v>
      </c>
      <c r="CC278">
        <v>3</v>
      </c>
      <c r="CD278">
        <v>2</v>
      </c>
      <c r="CE278">
        <v>3</v>
      </c>
      <c r="CF278">
        <v>1</v>
      </c>
      <c r="CG278">
        <v>0</v>
      </c>
      <c r="CH278">
        <v>0</v>
      </c>
      <c r="CI278">
        <v>0</v>
      </c>
      <c r="CJ278">
        <v>1</v>
      </c>
      <c r="CK278">
        <v>13</v>
      </c>
      <c r="CL278">
        <v>4</v>
      </c>
      <c r="CM278">
        <v>0</v>
      </c>
      <c r="CN278">
        <v>3</v>
      </c>
      <c r="CO278">
        <v>4.3</v>
      </c>
      <c r="CP278">
        <v>2</v>
      </c>
      <c r="CQ278">
        <v>0</v>
      </c>
      <c r="CR278">
        <v>1.5</v>
      </c>
      <c r="CS278">
        <v>0</v>
      </c>
      <c r="CT278">
        <v>1</v>
      </c>
      <c r="CU278">
        <v>0</v>
      </c>
      <c r="CV278">
        <v>1</v>
      </c>
      <c r="CW278">
        <v>0</v>
      </c>
      <c r="CX278">
        <v>0</v>
      </c>
      <c r="CY278">
        <v>0</v>
      </c>
      <c r="CZ278">
        <v>0</v>
      </c>
    </row>
    <row r="279" spans="1:104" x14ac:dyDescent="0.25">
      <c r="A279" s="1" t="s">
        <v>1788</v>
      </c>
      <c r="B279">
        <v>2777</v>
      </c>
      <c r="C279">
        <v>2788</v>
      </c>
      <c r="D279" s="2">
        <v>43687</v>
      </c>
      <c r="E279" s="3">
        <f t="shared" si="12"/>
        <v>2019</v>
      </c>
      <c r="F279" s="3">
        <f t="shared" si="13"/>
        <v>8</v>
      </c>
      <c r="G279" s="3">
        <f t="shared" si="14"/>
        <v>7</v>
      </c>
      <c r="H279" t="s">
        <v>1789</v>
      </c>
      <c r="I279">
        <v>394</v>
      </c>
      <c r="J279" t="s">
        <v>1790</v>
      </c>
      <c r="K279" t="s">
        <v>1791</v>
      </c>
      <c r="L279">
        <v>2019</v>
      </c>
      <c r="M279" t="s">
        <v>469</v>
      </c>
      <c r="N279" t="s">
        <v>1792</v>
      </c>
      <c r="O279" t="s">
        <v>1793</v>
      </c>
      <c r="P279">
        <v>12000</v>
      </c>
      <c r="Q279" t="s">
        <v>1791</v>
      </c>
      <c r="R279">
        <v>2012</v>
      </c>
      <c r="S279" t="s">
        <v>1794</v>
      </c>
      <c r="T279" t="s">
        <v>1795</v>
      </c>
      <c r="U279">
        <v>3500</v>
      </c>
      <c r="V279" t="s">
        <v>1791</v>
      </c>
      <c r="W279">
        <v>2005</v>
      </c>
      <c r="X279">
        <v>1</v>
      </c>
      <c r="Z279">
        <v>-3.5</v>
      </c>
      <c r="AA279">
        <v>-1.5</v>
      </c>
      <c r="AB279">
        <v>45</v>
      </c>
      <c r="AC279">
        <v>45</v>
      </c>
      <c r="AD279">
        <v>10</v>
      </c>
      <c r="AE279">
        <v>73</v>
      </c>
      <c r="AF279">
        <v>27</v>
      </c>
      <c r="AG279">
        <v>69</v>
      </c>
      <c r="AH279">
        <v>31</v>
      </c>
      <c r="AI279">
        <v>64</v>
      </c>
      <c r="AJ279">
        <v>36</v>
      </c>
      <c r="AK279">
        <v>91</v>
      </c>
      <c r="AL279">
        <v>9</v>
      </c>
      <c r="AM279">
        <v>50</v>
      </c>
      <c r="AN279">
        <v>50</v>
      </c>
      <c r="AO279">
        <v>56</v>
      </c>
      <c r="AP279">
        <v>44</v>
      </c>
      <c r="AQ279">
        <v>73</v>
      </c>
      <c r="AR279">
        <v>73</v>
      </c>
      <c r="AS279">
        <v>73</v>
      </c>
      <c r="AT279">
        <v>27</v>
      </c>
      <c r="AU279">
        <v>33</v>
      </c>
      <c r="AV279">
        <v>53</v>
      </c>
      <c r="AW279">
        <v>11</v>
      </c>
      <c r="AX279">
        <v>2.2000000000000002</v>
      </c>
      <c r="AY279">
        <v>4</v>
      </c>
      <c r="AZ279">
        <v>0.8</v>
      </c>
      <c r="BA279">
        <v>12</v>
      </c>
      <c r="BB279">
        <v>12</v>
      </c>
      <c r="BC279">
        <v>8</v>
      </c>
      <c r="BD279">
        <v>5</v>
      </c>
      <c r="BE279">
        <v>4</v>
      </c>
      <c r="BF279">
        <v>5</v>
      </c>
      <c r="BG279">
        <v>0</v>
      </c>
      <c r="BH279">
        <v>2</v>
      </c>
      <c r="BI279">
        <v>22</v>
      </c>
      <c r="BJ279">
        <v>17</v>
      </c>
      <c r="BK279">
        <v>4</v>
      </c>
      <c r="BL279">
        <v>11</v>
      </c>
      <c r="BM279">
        <v>1.8</v>
      </c>
      <c r="BN279">
        <v>1.4</v>
      </c>
      <c r="BO279">
        <v>0.3</v>
      </c>
      <c r="BP279">
        <v>0.9</v>
      </c>
      <c r="BQ279">
        <v>3</v>
      </c>
      <c r="BR279">
        <v>2</v>
      </c>
      <c r="BS279">
        <v>2</v>
      </c>
      <c r="BT279">
        <v>1</v>
      </c>
      <c r="BU279">
        <v>0</v>
      </c>
      <c r="BV279">
        <v>0</v>
      </c>
      <c r="BW279">
        <v>1</v>
      </c>
      <c r="BX279">
        <v>1</v>
      </c>
      <c r="BY279">
        <v>5</v>
      </c>
      <c r="BZ279">
        <v>1</v>
      </c>
      <c r="CA279">
        <v>7</v>
      </c>
      <c r="CB279">
        <v>1.4</v>
      </c>
      <c r="CC279">
        <v>12</v>
      </c>
      <c r="CD279">
        <v>12</v>
      </c>
      <c r="CE279">
        <v>2</v>
      </c>
      <c r="CF279">
        <v>3</v>
      </c>
      <c r="CG279">
        <v>3</v>
      </c>
      <c r="CH279">
        <v>2</v>
      </c>
      <c r="CI279">
        <v>7</v>
      </c>
      <c r="CJ279">
        <v>7</v>
      </c>
      <c r="CK279">
        <v>9</v>
      </c>
      <c r="CL279">
        <v>9</v>
      </c>
      <c r="CM279">
        <v>19</v>
      </c>
      <c r="CN279">
        <v>19</v>
      </c>
      <c r="CO279">
        <v>0.8</v>
      </c>
      <c r="CP279">
        <v>0.8</v>
      </c>
      <c r="CQ279">
        <v>1.6</v>
      </c>
      <c r="CR279">
        <v>1.6</v>
      </c>
      <c r="CS279">
        <v>2</v>
      </c>
      <c r="CT279">
        <v>3</v>
      </c>
      <c r="CU279">
        <v>1</v>
      </c>
      <c r="CV279">
        <v>1</v>
      </c>
      <c r="CW279">
        <v>0</v>
      </c>
      <c r="CX279">
        <v>0</v>
      </c>
      <c r="CY279">
        <v>1</v>
      </c>
      <c r="CZ279">
        <v>2</v>
      </c>
    </row>
    <row r="280" spans="1:104" x14ac:dyDescent="0.25">
      <c r="A280" s="1" t="s">
        <v>1796</v>
      </c>
      <c r="B280">
        <v>963</v>
      </c>
      <c r="C280">
        <v>971</v>
      </c>
      <c r="D280" s="2">
        <v>43743</v>
      </c>
      <c r="E280" s="3">
        <f t="shared" si="12"/>
        <v>2019</v>
      </c>
      <c r="F280" s="3">
        <f t="shared" si="13"/>
        <v>10</v>
      </c>
      <c r="G280" s="3">
        <f t="shared" si="14"/>
        <v>7</v>
      </c>
      <c r="H280" t="s">
        <v>1797</v>
      </c>
      <c r="I280">
        <v>927</v>
      </c>
      <c r="J280" t="s">
        <v>1266</v>
      </c>
      <c r="K280" t="s">
        <v>391</v>
      </c>
      <c r="L280">
        <v>2019</v>
      </c>
      <c r="M280" t="s">
        <v>306</v>
      </c>
      <c r="N280" t="s">
        <v>1797</v>
      </c>
      <c r="O280" t="s">
        <v>1798</v>
      </c>
      <c r="P280">
        <v>12000</v>
      </c>
      <c r="Q280" t="s">
        <v>391</v>
      </c>
      <c r="R280">
        <v>1953</v>
      </c>
      <c r="S280" t="s">
        <v>1799</v>
      </c>
      <c r="T280" t="s">
        <v>1800</v>
      </c>
      <c r="U280">
        <v>41356</v>
      </c>
      <c r="V280" t="s">
        <v>391</v>
      </c>
      <c r="W280">
        <v>1947</v>
      </c>
      <c r="X280" t="s">
        <v>109</v>
      </c>
      <c r="Y280">
        <v>-3.5</v>
      </c>
      <c r="Z280">
        <v>-1.5</v>
      </c>
      <c r="AA280">
        <v>-1.5</v>
      </c>
      <c r="AB280">
        <v>45</v>
      </c>
      <c r="AC280">
        <v>45</v>
      </c>
      <c r="AD280">
        <v>10</v>
      </c>
      <c r="AE280">
        <v>50</v>
      </c>
      <c r="AF280">
        <v>50</v>
      </c>
      <c r="AG280">
        <v>50</v>
      </c>
      <c r="AH280">
        <v>50</v>
      </c>
      <c r="AI280">
        <v>50</v>
      </c>
      <c r="AJ280">
        <v>50</v>
      </c>
      <c r="AK280">
        <v>0</v>
      </c>
      <c r="AL280">
        <v>0</v>
      </c>
      <c r="AM280">
        <v>71</v>
      </c>
      <c r="AN280">
        <v>29</v>
      </c>
      <c r="AO280">
        <v>67</v>
      </c>
      <c r="AP280">
        <v>33</v>
      </c>
      <c r="AQ280">
        <v>50</v>
      </c>
      <c r="AR280">
        <v>20</v>
      </c>
      <c r="AS280">
        <v>80</v>
      </c>
      <c r="AT280">
        <v>33</v>
      </c>
      <c r="AU280">
        <v>20</v>
      </c>
      <c r="AV280">
        <v>80</v>
      </c>
      <c r="AW280">
        <v>2</v>
      </c>
      <c r="AX280">
        <v>1</v>
      </c>
      <c r="AY280">
        <v>2</v>
      </c>
      <c r="AZ280">
        <v>1</v>
      </c>
      <c r="BA280">
        <v>1</v>
      </c>
      <c r="BB280">
        <v>1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1</v>
      </c>
      <c r="BI280">
        <v>1</v>
      </c>
      <c r="BJ280">
        <v>1</v>
      </c>
      <c r="BK280">
        <v>0</v>
      </c>
      <c r="BL280">
        <v>2</v>
      </c>
      <c r="BM280">
        <v>1</v>
      </c>
      <c r="BN280">
        <v>1</v>
      </c>
      <c r="BO280">
        <v>0</v>
      </c>
      <c r="BP280">
        <v>2</v>
      </c>
      <c r="BQ280">
        <v>4</v>
      </c>
      <c r="BR280">
        <v>4</v>
      </c>
      <c r="BS280">
        <v>3</v>
      </c>
      <c r="BT280">
        <v>1</v>
      </c>
      <c r="BU280">
        <v>1</v>
      </c>
      <c r="BV280">
        <v>2</v>
      </c>
      <c r="BW280">
        <v>0</v>
      </c>
      <c r="BX280">
        <v>1</v>
      </c>
      <c r="BY280">
        <v>2</v>
      </c>
      <c r="BZ280">
        <v>0.7</v>
      </c>
      <c r="CA280">
        <v>2</v>
      </c>
      <c r="CB280">
        <v>0.7</v>
      </c>
      <c r="CC280">
        <v>2</v>
      </c>
      <c r="CD280">
        <v>1</v>
      </c>
      <c r="CE280">
        <v>0</v>
      </c>
      <c r="CF280">
        <v>0</v>
      </c>
      <c r="CG280">
        <v>2</v>
      </c>
      <c r="CH280">
        <v>1</v>
      </c>
      <c r="CI280">
        <v>0</v>
      </c>
      <c r="CJ280">
        <v>0</v>
      </c>
      <c r="CK280">
        <v>1</v>
      </c>
      <c r="CL280">
        <v>1</v>
      </c>
      <c r="CM280">
        <v>1</v>
      </c>
      <c r="CN280">
        <v>1</v>
      </c>
      <c r="CO280">
        <v>0.5</v>
      </c>
      <c r="CP280">
        <v>1</v>
      </c>
      <c r="CQ280">
        <v>0.5</v>
      </c>
      <c r="CR280">
        <v>1</v>
      </c>
      <c r="CS280">
        <v>4</v>
      </c>
      <c r="CT280">
        <v>4</v>
      </c>
      <c r="CU280">
        <v>1</v>
      </c>
      <c r="CV280">
        <v>0</v>
      </c>
      <c r="CW280">
        <v>2</v>
      </c>
      <c r="CX280">
        <v>1</v>
      </c>
      <c r="CY280">
        <v>1</v>
      </c>
      <c r="CZ280">
        <v>3</v>
      </c>
    </row>
    <row r="281" spans="1:104" x14ac:dyDescent="0.25">
      <c r="A281" s="1" t="s">
        <v>1801</v>
      </c>
      <c r="B281">
        <v>43</v>
      </c>
      <c r="C281">
        <v>56</v>
      </c>
      <c r="D281" s="2">
        <v>43779</v>
      </c>
      <c r="E281" s="3">
        <f t="shared" si="12"/>
        <v>2019</v>
      </c>
      <c r="F281" s="3">
        <f t="shared" si="13"/>
        <v>11</v>
      </c>
      <c r="G281" s="3">
        <f t="shared" si="14"/>
        <v>1</v>
      </c>
      <c r="H281" t="s">
        <v>1802</v>
      </c>
      <c r="I281">
        <v>565</v>
      </c>
      <c r="J281" t="s">
        <v>240</v>
      </c>
      <c r="K281" t="s">
        <v>241</v>
      </c>
      <c r="L281">
        <v>2019</v>
      </c>
      <c r="M281" t="s">
        <v>173</v>
      </c>
      <c r="N281" t="s">
        <v>1802</v>
      </c>
      <c r="O281" t="s">
        <v>1803</v>
      </c>
      <c r="P281">
        <v>33280</v>
      </c>
      <c r="Q281" t="s">
        <v>931</v>
      </c>
      <c r="R281">
        <v>1889</v>
      </c>
      <c r="S281" t="s">
        <v>1804</v>
      </c>
      <c r="T281" t="s">
        <v>1805</v>
      </c>
      <c r="U281">
        <v>27000</v>
      </c>
      <c r="V281" t="s">
        <v>241</v>
      </c>
      <c r="W281">
        <v>1894</v>
      </c>
      <c r="X281" t="s">
        <v>109</v>
      </c>
      <c r="Z281">
        <v>-3.5</v>
      </c>
      <c r="AA281">
        <v>-2.5</v>
      </c>
      <c r="AB281">
        <v>45</v>
      </c>
      <c r="AC281">
        <v>45</v>
      </c>
      <c r="AD281">
        <v>10</v>
      </c>
      <c r="AE281">
        <v>38</v>
      </c>
      <c r="AF281">
        <v>62</v>
      </c>
      <c r="AG281">
        <v>56</v>
      </c>
      <c r="AH281">
        <v>44</v>
      </c>
      <c r="AI281">
        <v>44</v>
      </c>
      <c r="AJ281">
        <v>56</v>
      </c>
      <c r="AK281">
        <v>64</v>
      </c>
      <c r="AL281">
        <v>36</v>
      </c>
      <c r="AM281">
        <v>80</v>
      </c>
      <c r="AN281">
        <v>20</v>
      </c>
      <c r="AO281">
        <v>64</v>
      </c>
      <c r="AP281">
        <v>36</v>
      </c>
      <c r="AQ281">
        <v>33</v>
      </c>
      <c r="AR281">
        <v>64</v>
      </c>
      <c r="AS281">
        <v>29</v>
      </c>
      <c r="AT281">
        <v>53</v>
      </c>
      <c r="AU281">
        <v>50</v>
      </c>
      <c r="AV281">
        <v>43</v>
      </c>
      <c r="AW281">
        <v>9</v>
      </c>
      <c r="AX281">
        <v>1.8</v>
      </c>
      <c r="AY281">
        <v>10</v>
      </c>
      <c r="AZ281">
        <v>2</v>
      </c>
      <c r="BA281">
        <v>7</v>
      </c>
      <c r="BB281">
        <v>8</v>
      </c>
      <c r="BC281">
        <v>5</v>
      </c>
      <c r="BD281">
        <v>0</v>
      </c>
      <c r="BE281">
        <v>2</v>
      </c>
      <c r="BF281">
        <v>4</v>
      </c>
      <c r="BG281">
        <v>0</v>
      </c>
      <c r="BH281">
        <v>4</v>
      </c>
      <c r="BI281">
        <v>14</v>
      </c>
      <c r="BJ281">
        <v>9</v>
      </c>
      <c r="BK281">
        <v>6</v>
      </c>
      <c r="BL281">
        <v>16</v>
      </c>
      <c r="BM281">
        <v>2</v>
      </c>
      <c r="BN281">
        <v>1.1000000000000001</v>
      </c>
      <c r="BO281">
        <v>0.9</v>
      </c>
      <c r="BP281">
        <v>2</v>
      </c>
      <c r="BQ281">
        <v>6</v>
      </c>
      <c r="BR281">
        <v>6</v>
      </c>
      <c r="BS281">
        <v>4</v>
      </c>
      <c r="BT281">
        <v>4</v>
      </c>
      <c r="BU281">
        <v>1</v>
      </c>
      <c r="BV281">
        <v>0</v>
      </c>
      <c r="BW281">
        <v>1</v>
      </c>
      <c r="BX281">
        <v>2</v>
      </c>
      <c r="BY281">
        <v>7</v>
      </c>
      <c r="BZ281">
        <v>1.4</v>
      </c>
      <c r="CA281">
        <v>8</v>
      </c>
      <c r="CB281">
        <v>1.6</v>
      </c>
      <c r="CC281">
        <v>7</v>
      </c>
      <c r="CD281">
        <v>8</v>
      </c>
      <c r="CE281">
        <v>3</v>
      </c>
      <c r="CF281">
        <v>3</v>
      </c>
      <c r="CG281">
        <v>3</v>
      </c>
      <c r="CH281">
        <v>4</v>
      </c>
      <c r="CI281">
        <v>1</v>
      </c>
      <c r="CJ281">
        <v>1</v>
      </c>
      <c r="CK281">
        <v>10</v>
      </c>
      <c r="CL281">
        <v>14</v>
      </c>
      <c r="CM281">
        <v>8</v>
      </c>
      <c r="CN281">
        <v>13</v>
      </c>
      <c r="CO281">
        <v>1.4</v>
      </c>
      <c r="CP281">
        <v>1.8</v>
      </c>
      <c r="CQ281">
        <v>1.1000000000000001</v>
      </c>
      <c r="CR281">
        <v>1.6</v>
      </c>
      <c r="CS281">
        <v>6</v>
      </c>
      <c r="CT281">
        <v>6</v>
      </c>
      <c r="CU281">
        <v>2</v>
      </c>
      <c r="CV281">
        <v>1</v>
      </c>
      <c r="CW281">
        <v>0</v>
      </c>
      <c r="CX281">
        <v>1</v>
      </c>
      <c r="CY281">
        <v>4</v>
      </c>
      <c r="CZ281">
        <v>4</v>
      </c>
    </row>
    <row r="282" spans="1:104" x14ac:dyDescent="0.25">
      <c r="A282" s="1" t="s">
        <v>1806</v>
      </c>
      <c r="B282">
        <v>4724</v>
      </c>
      <c r="C282">
        <v>807</v>
      </c>
      <c r="D282" s="2">
        <v>43800</v>
      </c>
      <c r="E282" s="3">
        <f t="shared" si="12"/>
        <v>2019</v>
      </c>
      <c r="F282" s="3">
        <f t="shared" si="13"/>
        <v>12</v>
      </c>
      <c r="G282" s="3">
        <f t="shared" si="14"/>
        <v>1</v>
      </c>
      <c r="H282" t="s">
        <v>1807</v>
      </c>
      <c r="I282">
        <v>1290</v>
      </c>
      <c r="J282" t="s">
        <v>1289</v>
      </c>
      <c r="K282" t="s">
        <v>140</v>
      </c>
      <c r="L282">
        <v>2019</v>
      </c>
      <c r="M282" t="s">
        <v>1808</v>
      </c>
      <c r="N282" t="s">
        <v>1809</v>
      </c>
      <c r="O282" t="s">
        <v>1810</v>
      </c>
      <c r="P282">
        <v>7705</v>
      </c>
      <c r="Q282" t="s">
        <v>140</v>
      </c>
      <c r="S282" t="s">
        <v>1811</v>
      </c>
      <c r="T282" t="s">
        <v>1812</v>
      </c>
      <c r="U282">
        <v>11662</v>
      </c>
      <c r="V282" t="s">
        <v>140</v>
      </c>
      <c r="W282">
        <v>1912</v>
      </c>
      <c r="X282" t="s">
        <v>125</v>
      </c>
      <c r="Z282">
        <v>-2.5</v>
      </c>
      <c r="AA282">
        <v>-3.5</v>
      </c>
      <c r="AB282">
        <v>10</v>
      </c>
      <c r="AC282">
        <v>45</v>
      </c>
      <c r="AD282">
        <v>45</v>
      </c>
      <c r="AE282">
        <v>35</v>
      </c>
      <c r="AF282">
        <v>65</v>
      </c>
      <c r="AG282">
        <v>35</v>
      </c>
      <c r="AH282">
        <v>65</v>
      </c>
      <c r="AI282">
        <v>22</v>
      </c>
      <c r="AJ282">
        <v>78</v>
      </c>
      <c r="AK282">
        <v>46</v>
      </c>
      <c r="AL282">
        <v>54</v>
      </c>
      <c r="AM282">
        <v>0</v>
      </c>
      <c r="AN282">
        <v>0</v>
      </c>
      <c r="AO282">
        <v>0</v>
      </c>
      <c r="AP282">
        <v>0</v>
      </c>
      <c r="AQ282">
        <v>47</v>
      </c>
      <c r="AR282">
        <v>47</v>
      </c>
      <c r="AS282">
        <v>53</v>
      </c>
      <c r="AT282">
        <v>87</v>
      </c>
      <c r="AU282">
        <v>87</v>
      </c>
      <c r="AV282">
        <v>87</v>
      </c>
      <c r="AW282">
        <v>7</v>
      </c>
      <c r="AX282">
        <v>1.4</v>
      </c>
      <c r="AY282">
        <v>7</v>
      </c>
      <c r="AZ282">
        <v>1.4</v>
      </c>
      <c r="BA282">
        <v>5</v>
      </c>
      <c r="BB282">
        <v>6</v>
      </c>
      <c r="BC282">
        <v>3</v>
      </c>
      <c r="BD282">
        <v>4</v>
      </c>
      <c r="BE282">
        <v>0</v>
      </c>
      <c r="BF282">
        <v>2</v>
      </c>
      <c r="BG282">
        <v>2</v>
      </c>
      <c r="BH282">
        <v>0</v>
      </c>
      <c r="BI282">
        <v>12</v>
      </c>
      <c r="BJ282">
        <v>11</v>
      </c>
      <c r="BK282">
        <v>6</v>
      </c>
      <c r="BL282">
        <v>5</v>
      </c>
      <c r="BM282">
        <v>2.4</v>
      </c>
      <c r="BN282">
        <v>1.8</v>
      </c>
      <c r="BO282">
        <v>1.2</v>
      </c>
      <c r="BP282">
        <v>0.8</v>
      </c>
      <c r="BQ282">
        <v>1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</v>
      </c>
      <c r="BX282">
        <v>0</v>
      </c>
      <c r="BY282">
        <v>13</v>
      </c>
      <c r="BZ282">
        <v>2.6</v>
      </c>
      <c r="CA282">
        <v>2</v>
      </c>
      <c r="CB282">
        <v>0.4</v>
      </c>
      <c r="CC282">
        <v>6</v>
      </c>
      <c r="CD282">
        <v>5</v>
      </c>
      <c r="CE282">
        <v>6</v>
      </c>
      <c r="CF282">
        <v>3</v>
      </c>
      <c r="CG282">
        <v>0</v>
      </c>
      <c r="CH282">
        <v>1</v>
      </c>
      <c r="CI282">
        <v>0</v>
      </c>
      <c r="CJ282">
        <v>1</v>
      </c>
      <c r="CK282">
        <v>20</v>
      </c>
      <c r="CL282">
        <v>8</v>
      </c>
      <c r="CM282">
        <v>5</v>
      </c>
      <c r="CN282">
        <v>4</v>
      </c>
      <c r="CO282">
        <v>3.3</v>
      </c>
      <c r="CP282">
        <v>1.6</v>
      </c>
      <c r="CQ282">
        <v>0.8</v>
      </c>
      <c r="CR282">
        <v>0.8</v>
      </c>
      <c r="CS282">
        <v>0</v>
      </c>
      <c r="CT282">
        <v>1</v>
      </c>
      <c r="CU282">
        <v>0</v>
      </c>
      <c r="CV282">
        <v>1</v>
      </c>
      <c r="CW282">
        <v>0</v>
      </c>
      <c r="CX282">
        <v>0</v>
      </c>
      <c r="CY282">
        <v>0</v>
      </c>
      <c r="CZ282">
        <v>0</v>
      </c>
    </row>
    <row r="283" spans="1:104" x14ac:dyDescent="0.25">
      <c r="A283" s="1" t="s">
        <v>1813</v>
      </c>
      <c r="B283">
        <v>6062</v>
      </c>
      <c r="C283">
        <v>6054</v>
      </c>
      <c r="D283" s="2">
        <v>43757</v>
      </c>
      <c r="E283" s="3">
        <f t="shared" si="12"/>
        <v>2019</v>
      </c>
      <c r="F283" s="3">
        <f t="shared" si="13"/>
        <v>10</v>
      </c>
      <c r="G283" s="3">
        <f t="shared" si="14"/>
        <v>7</v>
      </c>
      <c r="H283" t="s">
        <v>1814</v>
      </c>
      <c r="I283">
        <v>1163</v>
      </c>
      <c r="J283" t="s">
        <v>1815</v>
      </c>
      <c r="K283" t="s">
        <v>113</v>
      </c>
      <c r="L283">
        <v>2019</v>
      </c>
      <c r="M283" t="s">
        <v>1597</v>
      </c>
      <c r="N283" t="s">
        <v>1814</v>
      </c>
      <c r="O283" t="s">
        <v>1816</v>
      </c>
      <c r="P283">
        <v>1000</v>
      </c>
      <c r="Q283" t="s">
        <v>113</v>
      </c>
      <c r="S283" t="s">
        <v>1817</v>
      </c>
      <c r="T283" t="s">
        <v>1818</v>
      </c>
      <c r="U283">
        <v>1500</v>
      </c>
      <c r="V283" t="s">
        <v>113</v>
      </c>
      <c r="W283">
        <v>1917</v>
      </c>
      <c r="X283" t="s">
        <v>109</v>
      </c>
      <c r="Y283">
        <v>1.5</v>
      </c>
      <c r="Z283">
        <v>-3.5</v>
      </c>
      <c r="AA283">
        <v>-2.5</v>
      </c>
      <c r="AB283">
        <v>35</v>
      </c>
      <c r="AC283">
        <v>35</v>
      </c>
      <c r="AD283">
        <v>30</v>
      </c>
      <c r="AE283">
        <v>100</v>
      </c>
      <c r="AF283">
        <v>0</v>
      </c>
      <c r="AG283">
        <v>60</v>
      </c>
      <c r="AH283">
        <v>40</v>
      </c>
      <c r="AI283">
        <v>56</v>
      </c>
      <c r="AJ283">
        <v>44</v>
      </c>
      <c r="AK283">
        <v>54</v>
      </c>
      <c r="AL283">
        <v>46</v>
      </c>
      <c r="AM283">
        <v>15</v>
      </c>
      <c r="AN283">
        <v>85</v>
      </c>
      <c r="AO283">
        <v>29</v>
      </c>
      <c r="AP283">
        <v>71</v>
      </c>
      <c r="AQ283">
        <v>40</v>
      </c>
      <c r="AR283">
        <v>53</v>
      </c>
      <c r="AS283">
        <v>29</v>
      </c>
      <c r="AT283">
        <v>0</v>
      </c>
      <c r="AU283">
        <v>35</v>
      </c>
      <c r="AV283">
        <v>12</v>
      </c>
      <c r="AW283">
        <v>9</v>
      </c>
      <c r="AX283">
        <v>1.8</v>
      </c>
      <c r="AY283">
        <v>12</v>
      </c>
      <c r="AZ283">
        <v>2.4</v>
      </c>
      <c r="BA283">
        <v>5</v>
      </c>
      <c r="BB283">
        <v>5</v>
      </c>
      <c r="BC283">
        <v>1</v>
      </c>
      <c r="BD283">
        <v>3</v>
      </c>
      <c r="BE283">
        <v>0</v>
      </c>
      <c r="BF283">
        <v>0</v>
      </c>
      <c r="BG283">
        <v>4</v>
      </c>
      <c r="BH283">
        <v>2</v>
      </c>
      <c r="BI283">
        <v>6</v>
      </c>
      <c r="BJ283">
        <v>13</v>
      </c>
      <c r="BK283">
        <v>9</v>
      </c>
      <c r="BL283">
        <v>11</v>
      </c>
      <c r="BM283">
        <v>1.2</v>
      </c>
      <c r="BN283">
        <v>2.6</v>
      </c>
      <c r="BO283">
        <v>1.8</v>
      </c>
      <c r="BP283">
        <v>2.2000000000000002</v>
      </c>
      <c r="BQ283">
        <v>4</v>
      </c>
      <c r="BR283">
        <v>3</v>
      </c>
      <c r="BS283">
        <v>0</v>
      </c>
      <c r="BT283">
        <v>0</v>
      </c>
      <c r="BU283">
        <v>1</v>
      </c>
      <c r="BV283">
        <v>2</v>
      </c>
      <c r="BW283">
        <v>3</v>
      </c>
      <c r="BX283">
        <v>1</v>
      </c>
      <c r="BY283">
        <v>6</v>
      </c>
      <c r="BZ283">
        <v>1.2</v>
      </c>
      <c r="CA283">
        <v>15</v>
      </c>
      <c r="CB283">
        <v>3</v>
      </c>
      <c r="CC283">
        <v>5</v>
      </c>
      <c r="CD283">
        <v>6</v>
      </c>
      <c r="CE283">
        <v>1</v>
      </c>
      <c r="CF283">
        <v>1</v>
      </c>
      <c r="CG283">
        <v>0</v>
      </c>
      <c r="CH283">
        <v>1</v>
      </c>
      <c r="CI283">
        <v>4</v>
      </c>
      <c r="CJ283">
        <v>4</v>
      </c>
      <c r="CK283">
        <v>7</v>
      </c>
      <c r="CL283">
        <v>10</v>
      </c>
      <c r="CM283">
        <v>11</v>
      </c>
      <c r="CN283">
        <v>21</v>
      </c>
      <c r="CO283">
        <v>1.4</v>
      </c>
      <c r="CP283">
        <v>1.7</v>
      </c>
      <c r="CQ283">
        <v>2.2000000000000002</v>
      </c>
      <c r="CR283">
        <v>3.5</v>
      </c>
      <c r="CS283">
        <v>3</v>
      </c>
      <c r="CT283">
        <v>4</v>
      </c>
      <c r="CU283">
        <v>1</v>
      </c>
      <c r="CV283">
        <v>3</v>
      </c>
      <c r="CW283">
        <v>2</v>
      </c>
      <c r="CX283">
        <v>1</v>
      </c>
      <c r="CY283">
        <v>0</v>
      </c>
      <c r="CZ283">
        <v>0</v>
      </c>
    </row>
    <row r="284" spans="1:104" x14ac:dyDescent="0.25">
      <c r="A284" s="1" t="s">
        <v>1819</v>
      </c>
      <c r="B284">
        <v>6006</v>
      </c>
      <c r="C284">
        <v>2062</v>
      </c>
      <c r="D284" s="2">
        <v>43779</v>
      </c>
      <c r="E284" s="3">
        <f t="shared" si="12"/>
        <v>2019</v>
      </c>
      <c r="F284" s="3">
        <f t="shared" si="13"/>
        <v>11</v>
      </c>
      <c r="G284" s="3">
        <f t="shared" si="14"/>
        <v>1</v>
      </c>
      <c r="H284" t="s">
        <v>1820</v>
      </c>
      <c r="I284">
        <v>1161</v>
      </c>
      <c r="J284" t="s">
        <v>1596</v>
      </c>
      <c r="K284" t="s">
        <v>113</v>
      </c>
      <c r="L284">
        <v>2019</v>
      </c>
      <c r="M284" t="s">
        <v>1821</v>
      </c>
      <c r="N284" t="s">
        <v>1820</v>
      </c>
      <c r="O284" t="s">
        <v>1822</v>
      </c>
      <c r="P284">
        <v>6000</v>
      </c>
      <c r="Q284" t="s">
        <v>113</v>
      </c>
      <c r="R284">
        <v>1953</v>
      </c>
      <c r="S284" t="s">
        <v>1823</v>
      </c>
      <c r="T284" t="s">
        <v>1824</v>
      </c>
      <c r="U284">
        <v>3000</v>
      </c>
      <c r="V284" t="s">
        <v>113</v>
      </c>
      <c r="W284">
        <v>2005</v>
      </c>
      <c r="X284">
        <v>2</v>
      </c>
      <c r="Z284">
        <v>-1.5</v>
      </c>
      <c r="AA284">
        <v>-3.5</v>
      </c>
      <c r="AB284">
        <v>10</v>
      </c>
      <c r="AC284">
        <v>45</v>
      </c>
      <c r="AD284">
        <v>45</v>
      </c>
      <c r="AE284">
        <v>38</v>
      </c>
      <c r="AF284">
        <v>63</v>
      </c>
      <c r="AG284">
        <v>25</v>
      </c>
      <c r="AH284">
        <v>75</v>
      </c>
      <c r="AI284">
        <v>44</v>
      </c>
      <c r="AJ284">
        <v>56</v>
      </c>
      <c r="AK284">
        <v>31</v>
      </c>
      <c r="AL284">
        <v>69</v>
      </c>
      <c r="AM284">
        <v>0</v>
      </c>
      <c r="AN284">
        <v>100</v>
      </c>
      <c r="AO284">
        <v>0</v>
      </c>
      <c r="AP284">
        <v>100</v>
      </c>
      <c r="AQ284">
        <v>60</v>
      </c>
      <c r="AR284">
        <v>64</v>
      </c>
      <c r="AS284">
        <v>55</v>
      </c>
      <c r="AT284">
        <v>100</v>
      </c>
      <c r="AU284">
        <v>100</v>
      </c>
      <c r="AV284">
        <v>64</v>
      </c>
      <c r="AW284">
        <v>7</v>
      </c>
      <c r="AX284">
        <v>1.4</v>
      </c>
      <c r="AY284">
        <v>5</v>
      </c>
      <c r="AZ284">
        <v>1</v>
      </c>
      <c r="BA284">
        <v>7</v>
      </c>
      <c r="BB284">
        <v>8</v>
      </c>
      <c r="BC284">
        <v>3</v>
      </c>
      <c r="BD284">
        <v>3</v>
      </c>
      <c r="BE284">
        <v>3</v>
      </c>
      <c r="BF284">
        <v>2</v>
      </c>
      <c r="BG284">
        <v>1</v>
      </c>
      <c r="BH284">
        <v>3</v>
      </c>
      <c r="BI284">
        <v>6</v>
      </c>
      <c r="BJ284">
        <v>9</v>
      </c>
      <c r="BK284">
        <v>6</v>
      </c>
      <c r="BL284">
        <v>7</v>
      </c>
      <c r="BM284">
        <v>0.9</v>
      </c>
      <c r="BN284">
        <v>1.1000000000000001</v>
      </c>
      <c r="BO284">
        <v>0.9</v>
      </c>
      <c r="BP284">
        <v>0.9</v>
      </c>
      <c r="BQ284">
        <v>2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2</v>
      </c>
      <c r="BX284">
        <v>1</v>
      </c>
      <c r="BY284">
        <v>21</v>
      </c>
      <c r="BZ284">
        <v>4.2</v>
      </c>
      <c r="CA284">
        <v>4</v>
      </c>
      <c r="CB284">
        <v>0.8</v>
      </c>
      <c r="CC284">
        <v>8</v>
      </c>
      <c r="CD284">
        <v>7</v>
      </c>
      <c r="CE284">
        <v>7</v>
      </c>
      <c r="CF284">
        <v>5</v>
      </c>
      <c r="CG284">
        <v>1</v>
      </c>
      <c r="CH284">
        <v>1</v>
      </c>
      <c r="CI284">
        <v>0</v>
      </c>
      <c r="CJ284">
        <v>1</v>
      </c>
      <c r="CK284">
        <v>36</v>
      </c>
      <c r="CL284">
        <v>13</v>
      </c>
      <c r="CM284">
        <v>5</v>
      </c>
      <c r="CN284">
        <v>7</v>
      </c>
      <c r="CO284">
        <v>4.5</v>
      </c>
      <c r="CP284">
        <v>1.9</v>
      </c>
      <c r="CQ284">
        <v>0.6</v>
      </c>
      <c r="CR284">
        <v>1</v>
      </c>
      <c r="CS284">
        <v>1</v>
      </c>
      <c r="CT284">
        <v>2</v>
      </c>
      <c r="CU284">
        <v>1</v>
      </c>
      <c r="CV284">
        <v>2</v>
      </c>
      <c r="CW284">
        <v>0</v>
      </c>
      <c r="CX284">
        <v>0</v>
      </c>
      <c r="CY284">
        <v>0</v>
      </c>
      <c r="CZ284">
        <v>0</v>
      </c>
    </row>
    <row r="285" spans="1:104" x14ac:dyDescent="0.25">
      <c r="A285" s="1" t="s">
        <v>1825</v>
      </c>
      <c r="B285">
        <v>3038</v>
      </c>
      <c r="C285">
        <v>3155</v>
      </c>
      <c r="D285" s="2">
        <v>43771</v>
      </c>
      <c r="E285" s="3">
        <f t="shared" si="12"/>
        <v>2019</v>
      </c>
      <c r="F285" s="3">
        <f t="shared" si="13"/>
        <v>11</v>
      </c>
      <c r="G285" s="3">
        <f t="shared" si="14"/>
        <v>7</v>
      </c>
      <c r="H285" t="s">
        <v>1826</v>
      </c>
      <c r="I285">
        <v>1295</v>
      </c>
      <c r="J285" t="s">
        <v>1827</v>
      </c>
      <c r="K285" t="s">
        <v>158</v>
      </c>
      <c r="L285">
        <v>2019</v>
      </c>
      <c r="M285" t="s">
        <v>1828</v>
      </c>
      <c r="N285" t="s">
        <v>1826</v>
      </c>
      <c r="O285" t="s">
        <v>1829</v>
      </c>
      <c r="P285">
        <v>2000</v>
      </c>
      <c r="Q285" t="s">
        <v>158</v>
      </c>
      <c r="S285" t="s">
        <v>1830</v>
      </c>
      <c r="T285" t="s">
        <v>1831</v>
      </c>
      <c r="U285">
        <v>3200</v>
      </c>
      <c r="V285" t="s">
        <v>158</v>
      </c>
      <c r="W285">
        <v>1965</v>
      </c>
      <c r="X285" t="s">
        <v>125</v>
      </c>
      <c r="Z285">
        <v>-2.5</v>
      </c>
      <c r="AA285">
        <v>-3.5</v>
      </c>
      <c r="AB285">
        <v>10</v>
      </c>
      <c r="AC285">
        <v>45</v>
      </c>
      <c r="AD285">
        <v>45</v>
      </c>
      <c r="AE285">
        <v>48</v>
      </c>
      <c r="AF285">
        <v>52</v>
      </c>
      <c r="AG285">
        <v>40</v>
      </c>
      <c r="AH285">
        <v>60</v>
      </c>
      <c r="AI285">
        <v>20</v>
      </c>
      <c r="AJ285">
        <v>80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67</v>
      </c>
      <c r="AR285">
        <v>57</v>
      </c>
      <c r="AS285">
        <v>71</v>
      </c>
      <c r="AT285">
        <v>73</v>
      </c>
      <c r="AU285">
        <v>86</v>
      </c>
      <c r="AV285">
        <v>93</v>
      </c>
      <c r="AW285">
        <v>8</v>
      </c>
      <c r="AX285">
        <v>1.6</v>
      </c>
      <c r="AY285">
        <v>4</v>
      </c>
      <c r="AZ285">
        <v>0.8</v>
      </c>
      <c r="BA285">
        <v>4</v>
      </c>
      <c r="BB285">
        <v>3</v>
      </c>
      <c r="BC285">
        <v>3</v>
      </c>
      <c r="BD285">
        <v>0</v>
      </c>
      <c r="BE285">
        <v>1</v>
      </c>
      <c r="BF285">
        <v>2</v>
      </c>
      <c r="BG285">
        <v>0</v>
      </c>
      <c r="BH285">
        <v>1</v>
      </c>
      <c r="BI285">
        <v>8</v>
      </c>
      <c r="BJ285">
        <v>5</v>
      </c>
      <c r="BK285">
        <v>3</v>
      </c>
      <c r="BL285">
        <v>6</v>
      </c>
      <c r="BM285">
        <v>2</v>
      </c>
      <c r="BN285">
        <v>1.7</v>
      </c>
      <c r="BO285">
        <v>0.8</v>
      </c>
      <c r="BP285">
        <v>2</v>
      </c>
      <c r="BQ285">
        <v>1</v>
      </c>
      <c r="BR285">
        <v>0</v>
      </c>
      <c r="BS285">
        <v>1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12</v>
      </c>
      <c r="BZ285">
        <v>2.4</v>
      </c>
      <c r="CA285">
        <v>1</v>
      </c>
      <c r="CB285">
        <v>0.2</v>
      </c>
      <c r="CC285">
        <v>4</v>
      </c>
      <c r="CD285">
        <v>3</v>
      </c>
      <c r="CE285">
        <v>3</v>
      </c>
      <c r="CF285">
        <v>1</v>
      </c>
      <c r="CG285">
        <v>1</v>
      </c>
      <c r="CH285">
        <v>2</v>
      </c>
      <c r="CI285">
        <v>0</v>
      </c>
      <c r="CJ285">
        <v>0</v>
      </c>
      <c r="CK285">
        <v>10</v>
      </c>
      <c r="CL285">
        <v>4</v>
      </c>
      <c r="CM285">
        <v>0</v>
      </c>
      <c r="CN285">
        <v>1</v>
      </c>
      <c r="CO285">
        <v>2.5</v>
      </c>
      <c r="CP285">
        <v>1.3</v>
      </c>
      <c r="CQ285">
        <v>0</v>
      </c>
      <c r="CR285">
        <v>0.3</v>
      </c>
      <c r="CS285">
        <v>0</v>
      </c>
      <c r="CT285">
        <v>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1</v>
      </c>
    </row>
    <row r="286" spans="1:104" x14ac:dyDescent="0.25">
      <c r="A286" s="1" t="s">
        <v>1832</v>
      </c>
      <c r="B286">
        <v>634</v>
      </c>
      <c r="C286">
        <v>1413</v>
      </c>
      <c r="D286" s="2">
        <v>43687</v>
      </c>
      <c r="E286" s="3">
        <f t="shared" si="12"/>
        <v>2019</v>
      </c>
      <c r="F286" s="3">
        <f t="shared" si="13"/>
        <v>8</v>
      </c>
      <c r="G286" s="3">
        <f t="shared" si="14"/>
        <v>7</v>
      </c>
      <c r="H286" t="s">
        <v>1833</v>
      </c>
      <c r="I286">
        <v>531</v>
      </c>
      <c r="J286" t="s">
        <v>1503</v>
      </c>
      <c r="K286" t="s">
        <v>172</v>
      </c>
      <c r="L286">
        <v>2019</v>
      </c>
      <c r="M286" t="s">
        <v>591</v>
      </c>
      <c r="N286" t="s">
        <v>1833</v>
      </c>
      <c r="O286" t="s">
        <v>1834</v>
      </c>
      <c r="P286">
        <v>4000</v>
      </c>
      <c r="Q286" t="s">
        <v>172</v>
      </c>
      <c r="S286" t="s">
        <v>1835</v>
      </c>
      <c r="T286" t="s">
        <v>1504</v>
      </c>
      <c r="U286">
        <v>2000</v>
      </c>
      <c r="V286" t="s">
        <v>172</v>
      </c>
      <c r="W286">
        <v>2015</v>
      </c>
      <c r="X286">
        <v>1</v>
      </c>
      <c r="Z286">
        <v>-4.5</v>
      </c>
      <c r="AA286">
        <v>-1.5</v>
      </c>
      <c r="AB286">
        <v>45</v>
      </c>
      <c r="AC286">
        <v>45</v>
      </c>
      <c r="AD286">
        <v>10</v>
      </c>
      <c r="AE286">
        <v>83</v>
      </c>
      <c r="AF286">
        <v>17</v>
      </c>
      <c r="AG286">
        <v>86</v>
      </c>
      <c r="AH286">
        <v>14</v>
      </c>
      <c r="AI286">
        <v>54</v>
      </c>
      <c r="AJ286">
        <v>46</v>
      </c>
      <c r="AK286">
        <v>94</v>
      </c>
      <c r="AL286">
        <v>6</v>
      </c>
      <c r="AM286">
        <v>100</v>
      </c>
      <c r="AN286">
        <v>0</v>
      </c>
      <c r="AO286">
        <v>57</v>
      </c>
      <c r="AP286">
        <v>43</v>
      </c>
      <c r="AQ286">
        <v>42</v>
      </c>
      <c r="AR286">
        <v>60</v>
      </c>
      <c r="AS286">
        <v>40</v>
      </c>
      <c r="AT286">
        <v>8</v>
      </c>
      <c r="AU286">
        <v>10</v>
      </c>
      <c r="AV286">
        <v>30</v>
      </c>
      <c r="AW286">
        <v>6</v>
      </c>
      <c r="AX286">
        <v>1.5</v>
      </c>
      <c r="AY286">
        <v>6</v>
      </c>
      <c r="AZ286">
        <v>1.5</v>
      </c>
      <c r="BA286">
        <v>1</v>
      </c>
      <c r="BB286">
        <v>3</v>
      </c>
      <c r="BC286">
        <v>1</v>
      </c>
      <c r="BD286">
        <v>0</v>
      </c>
      <c r="BE286">
        <v>0</v>
      </c>
      <c r="BF286">
        <v>2</v>
      </c>
      <c r="BG286">
        <v>0</v>
      </c>
      <c r="BH286">
        <v>1</v>
      </c>
      <c r="BI286">
        <v>3</v>
      </c>
      <c r="BJ286">
        <v>3</v>
      </c>
      <c r="BK286">
        <v>1</v>
      </c>
      <c r="BL286">
        <v>5</v>
      </c>
      <c r="BM286">
        <v>3</v>
      </c>
      <c r="BN286">
        <v>1</v>
      </c>
      <c r="BO286">
        <v>1</v>
      </c>
      <c r="BP286">
        <v>1.7</v>
      </c>
      <c r="BQ286">
        <v>1</v>
      </c>
      <c r="BR286">
        <v>2</v>
      </c>
      <c r="BS286">
        <v>0</v>
      </c>
      <c r="BT286">
        <v>2</v>
      </c>
      <c r="BU286">
        <v>0</v>
      </c>
      <c r="BV286">
        <v>0</v>
      </c>
      <c r="BW286">
        <v>1</v>
      </c>
      <c r="BX286">
        <v>0</v>
      </c>
      <c r="BY286">
        <v>1</v>
      </c>
      <c r="BZ286">
        <v>0.3</v>
      </c>
      <c r="CA286">
        <v>7</v>
      </c>
      <c r="CB286">
        <v>1.8</v>
      </c>
      <c r="CC286">
        <v>2</v>
      </c>
      <c r="CD286">
        <v>2</v>
      </c>
      <c r="CE286">
        <v>0</v>
      </c>
      <c r="CF286">
        <v>0</v>
      </c>
      <c r="CG286">
        <v>1</v>
      </c>
      <c r="CH286">
        <v>0</v>
      </c>
      <c r="CI286">
        <v>1</v>
      </c>
      <c r="CJ286">
        <v>2</v>
      </c>
      <c r="CK286">
        <v>0</v>
      </c>
      <c r="CL286">
        <v>1</v>
      </c>
      <c r="CM286">
        <v>2</v>
      </c>
      <c r="CN286">
        <v>5</v>
      </c>
      <c r="CO286">
        <v>0</v>
      </c>
      <c r="CP286">
        <v>0.5</v>
      </c>
      <c r="CQ286">
        <v>1</v>
      </c>
      <c r="CR286">
        <v>2.5</v>
      </c>
      <c r="CS286">
        <v>2</v>
      </c>
      <c r="CT286">
        <v>1</v>
      </c>
      <c r="CU286">
        <v>0</v>
      </c>
      <c r="CV286">
        <v>1</v>
      </c>
      <c r="CW286">
        <v>0</v>
      </c>
      <c r="CX286">
        <v>0</v>
      </c>
      <c r="CY286">
        <v>2</v>
      </c>
      <c r="CZ286">
        <v>0</v>
      </c>
    </row>
    <row r="287" spans="1:104" x14ac:dyDescent="0.25">
      <c r="A287" s="1" t="s">
        <v>1836</v>
      </c>
      <c r="B287">
        <v>1030</v>
      </c>
      <c r="C287">
        <v>1031</v>
      </c>
      <c r="D287" s="2">
        <v>43740</v>
      </c>
      <c r="E287" s="3">
        <f t="shared" si="12"/>
        <v>2019</v>
      </c>
      <c r="F287" s="3">
        <f t="shared" si="13"/>
        <v>10</v>
      </c>
      <c r="G287" s="3">
        <f t="shared" si="14"/>
        <v>4</v>
      </c>
      <c r="H287" t="s">
        <v>1837</v>
      </c>
      <c r="I287">
        <v>972</v>
      </c>
      <c r="J287" t="s">
        <v>320</v>
      </c>
      <c r="K287" t="s">
        <v>481</v>
      </c>
      <c r="L287">
        <v>2019</v>
      </c>
      <c r="M287" t="s">
        <v>405</v>
      </c>
      <c r="N287" t="s">
        <v>1838</v>
      </c>
      <c r="O287" t="s">
        <v>1839</v>
      </c>
      <c r="P287">
        <v>18525</v>
      </c>
      <c r="Q287" t="s">
        <v>481</v>
      </c>
      <c r="R287">
        <v>1924</v>
      </c>
      <c r="S287" t="s">
        <v>1838</v>
      </c>
      <c r="T287" t="s">
        <v>1839</v>
      </c>
      <c r="U287">
        <v>18525</v>
      </c>
      <c r="V287" t="s">
        <v>481</v>
      </c>
      <c r="W287">
        <v>1920</v>
      </c>
      <c r="X287" t="s">
        <v>109</v>
      </c>
      <c r="Y287">
        <v>-3.5</v>
      </c>
      <c r="Z287">
        <v>-1.5</v>
      </c>
      <c r="AA287">
        <v>-1.5</v>
      </c>
      <c r="AB287">
        <v>45</v>
      </c>
      <c r="AC287">
        <v>45</v>
      </c>
      <c r="AD287">
        <v>10</v>
      </c>
      <c r="AE287">
        <v>75</v>
      </c>
      <c r="AF287">
        <v>25</v>
      </c>
      <c r="AG287">
        <v>50</v>
      </c>
      <c r="AH287">
        <v>50</v>
      </c>
      <c r="AI287">
        <v>100</v>
      </c>
      <c r="AJ287">
        <v>0</v>
      </c>
      <c r="AK287">
        <v>0</v>
      </c>
      <c r="AL287">
        <v>0</v>
      </c>
      <c r="AM287">
        <v>75</v>
      </c>
      <c r="AN287">
        <v>25</v>
      </c>
      <c r="AO287">
        <v>60</v>
      </c>
      <c r="AP287">
        <v>40</v>
      </c>
      <c r="AQ287">
        <v>100</v>
      </c>
      <c r="AR287">
        <v>9</v>
      </c>
      <c r="AS287">
        <v>100</v>
      </c>
      <c r="AT287">
        <v>33</v>
      </c>
      <c r="AU287">
        <v>9</v>
      </c>
      <c r="AV287">
        <v>91</v>
      </c>
      <c r="AW287">
        <v>1</v>
      </c>
      <c r="AX287">
        <v>1</v>
      </c>
      <c r="AY287">
        <v>0</v>
      </c>
      <c r="AZ287">
        <v>0</v>
      </c>
      <c r="BA287">
        <v>0</v>
      </c>
      <c r="BB287">
        <v>1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0</v>
      </c>
      <c r="BL287">
        <v>0</v>
      </c>
      <c r="BM287">
        <v>0</v>
      </c>
      <c r="BN287">
        <v>1</v>
      </c>
      <c r="BO287">
        <v>0</v>
      </c>
      <c r="BP287">
        <v>0</v>
      </c>
      <c r="BQ287">
        <v>7</v>
      </c>
      <c r="BR287">
        <v>8</v>
      </c>
      <c r="BS287">
        <v>2</v>
      </c>
      <c r="BT287">
        <v>2</v>
      </c>
      <c r="BU287">
        <v>4</v>
      </c>
      <c r="BV287">
        <v>5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0</v>
      </c>
      <c r="CE287">
        <v>0</v>
      </c>
      <c r="CF287">
        <v>0</v>
      </c>
      <c r="CG287">
        <v>1</v>
      </c>
      <c r="CH287">
        <v>0</v>
      </c>
      <c r="CI287">
        <v>0</v>
      </c>
      <c r="CJ287">
        <v>0</v>
      </c>
      <c r="CK287">
        <v>1</v>
      </c>
      <c r="CL287">
        <v>0</v>
      </c>
      <c r="CM287">
        <v>1</v>
      </c>
      <c r="CN287">
        <v>0</v>
      </c>
      <c r="CO287">
        <v>1</v>
      </c>
      <c r="CP287">
        <v>0</v>
      </c>
      <c r="CQ287">
        <v>1</v>
      </c>
      <c r="CR287">
        <v>0</v>
      </c>
      <c r="CS287">
        <v>8</v>
      </c>
      <c r="CT287">
        <v>7</v>
      </c>
      <c r="CU287">
        <v>1</v>
      </c>
      <c r="CV287">
        <v>1</v>
      </c>
      <c r="CW287">
        <v>5</v>
      </c>
      <c r="CX287">
        <v>4</v>
      </c>
      <c r="CY287">
        <v>2</v>
      </c>
      <c r="CZ287">
        <v>2</v>
      </c>
    </row>
    <row r="288" spans="1:104" x14ac:dyDescent="0.25">
      <c r="A288" s="1" t="s">
        <v>1840</v>
      </c>
      <c r="B288">
        <v>9838</v>
      </c>
      <c r="C288">
        <v>9830</v>
      </c>
      <c r="D288" s="2">
        <v>43778</v>
      </c>
      <c r="E288" s="3">
        <f t="shared" si="12"/>
        <v>2019</v>
      </c>
      <c r="F288" s="3">
        <f t="shared" si="13"/>
        <v>11</v>
      </c>
      <c r="G288" s="3">
        <f t="shared" si="14"/>
        <v>7</v>
      </c>
      <c r="H288" t="s">
        <v>1841</v>
      </c>
      <c r="I288">
        <v>1282</v>
      </c>
      <c r="J288" t="s">
        <v>1842</v>
      </c>
      <c r="K288" t="s">
        <v>380</v>
      </c>
      <c r="L288">
        <v>2019</v>
      </c>
      <c r="M288" t="s">
        <v>1843</v>
      </c>
      <c r="N288" t="s">
        <v>1841</v>
      </c>
      <c r="O288" t="s">
        <v>1844</v>
      </c>
      <c r="P288">
        <v>5000</v>
      </c>
      <c r="Q288" t="s">
        <v>380</v>
      </c>
      <c r="R288">
        <v>1974</v>
      </c>
      <c r="S288" t="s">
        <v>1845</v>
      </c>
      <c r="T288" t="s">
        <v>1846</v>
      </c>
      <c r="U288">
        <v>3000</v>
      </c>
      <c r="V288" t="s">
        <v>380</v>
      </c>
      <c r="X288" t="s">
        <v>125</v>
      </c>
      <c r="Z288">
        <v>-2.5</v>
      </c>
      <c r="AA288">
        <v>-2.5</v>
      </c>
      <c r="AB288">
        <v>10</v>
      </c>
      <c r="AC288">
        <v>45</v>
      </c>
      <c r="AD288">
        <v>45</v>
      </c>
      <c r="AE288">
        <v>40</v>
      </c>
      <c r="AF288">
        <v>60</v>
      </c>
      <c r="AG288">
        <v>62</v>
      </c>
      <c r="AH288">
        <v>38</v>
      </c>
      <c r="AI288">
        <v>15</v>
      </c>
      <c r="AJ288">
        <v>85</v>
      </c>
      <c r="AK288">
        <v>32</v>
      </c>
      <c r="AL288">
        <v>68</v>
      </c>
      <c r="AM288">
        <v>0</v>
      </c>
      <c r="AN288">
        <v>0</v>
      </c>
      <c r="AO288">
        <v>0</v>
      </c>
      <c r="AP288">
        <v>0</v>
      </c>
      <c r="AQ288">
        <v>40</v>
      </c>
      <c r="AR288">
        <v>42</v>
      </c>
      <c r="AS288">
        <v>42</v>
      </c>
      <c r="AT288">
        <v>60</v>
      </c>
      <c r="AU288">
        <v>26</v>
      </c>
      <c r="AV288">
        <v>89</v>
      </c>
      <c r="AW288">
        <v>8</v>
      </c>
      <c r="AX288">
        <v>1.6</v>
      </c>
      <c r="AY288">
        <v>11</v>
      </c>
      <c r="AZ288">
        <v>2.2000000000000002</v>
      </c>
      <c r="BA288">
        <v>6</v>
      </c>
      <c r="BB288">
        <v>6</v>
      </c>
      <c r="BC288">
        <v>3</v>
      </c>
      <c r="BD288">
        <v>1</v>
      </c>
      <c r="BE288">
        <v>1</v>
      </c>
      <c r="BF288">
        <v>1</v>
      </c>
      <c r="BG288">
        <v>2</v>
      </c>
      <c r="BH288">
        <v>4</v>
      </c>
      <c r="BI288">
        <v>8</v>
      </c>
      <c r="BJ288">
        <v>7</v>
      </c>
      <c r="BK288">
        <v>6</v>
      </c>
      <c r="BL288">
        <v>13</v>
      </c>
      <c r="BM288">
        <v>1.3</v>
      </c>
      <c r="BN288">
        <v>1.2</v>
      </c>
      <c r="BO288">
        <v>1</v>
      </c>
      <c r="BP288">
        <v>2.2000000000000002</v>
      </c>
      <c r="BQ288">
        <v>1</v>
      </c>
      <c r="BR288">
        <v>0</v>
      </c>
      <c r="BS288">
        <v>1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5</v>
      </c>
      <c r="BZ288">
        <v>1</v>
      </c>
      <c r="CA288">
        <v>2</v>
      </c>
      <c r="CB288">
        <v>0.4</v>
      </c>
      <c r="CC288">
        <v>6</v>
      </c>
      <c r="CD288">
        <v>6</v>
      </c>
      <c r="CE288">
        <v>2</v>
      </c>
      <c r="CF288">
        <v>3</v>
      </c>
      <c r="CG288">
        <v>3</v>
      </c>
      <c r="CH288">
        <v>3</v>
      </c>
      <c r="CI288">
        <v>1</v>
      </c>
      <c r="CJ288">
        <v>0</v>
      </c>
      <c r="CK288">
        <v>8</v>
      </c>
      <c r="CL288">
        <v>11</v>
      </c>
      <c r="CM288">
        <v>7</v>
      </c>
      <c r="CN288">
        <v>5</v>
      </c>
      <c r="CO288">
        <v>1.3</v>
      </c>
      <c r="CP288">
        <v>1.8</v>
      </c>
      <c r="CQ288">
        <v>1.2</v>
      </c>
      <c r="CR288">
        <v>0.8</v>
      </c>
      <c r="CS288">
        <v>0</v>
      </c>
      <c r="CT288">
        <v>1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1</v>
      </c>
    </row>
    <row r="289" spans="1:104" x14ac:dyDescent="0.25">
      <c r="A289" s="1" t="s">
        <v>1847</v>
      </c>
      <c r="B289">
        <v>5429</v>
      </c>
      <c r="C289">
        <v>5431</v>
      </c>
      <c r="D289" s="2">
        <v>43730</v>
      </c>
      <c r="E289" s="3">
        <f t="shared" si="12"/>
        <v>2019</v>
      </c>
      <c r="F289" s="3">
        <f t="shared" si="13"/>
        <v>9</v>
      </c>
      <c r="G289" s="3">
        <f t="shared" si="14"/>
        <v>1</v>
      </c>
      <c r="H289" t="s">
        <v>1848</v>
      </c>
      <c r="I289">
        <v>924</v>
      </c>
      <c r="J289" t="s">
        <v>320</v>
      </c>
      <c r="K289" t="s">
        <v>1849</v>
      </c>
      <c r="L289">
        <v>2019</v>
      </c>
      <c r="M289" t="s">
        <v>306</v>
      </c>
      <c r="Q289" t="s">
        <v>1849</v>
      </c>
      <c r="S289" t="s">
        <v>1850</v>
      </c>
      <c r="T289" t="s">
        <v>1851</v>
      </c>
      <c r="U289">
        <v>22500</v>
      </c>
      <c r="V289" t="s">
        <v>1849</v>
      </c>
      <c r="W289">
        <v>1961</v>
      </c>
      <c r="X289" t="s">
        <v>125</v>
      </c>
      <c r="Z289">
        <v>-2.5</v>
      </c>
      <c r="AA289">
        <v>-2.5</v>
      </c>
      <c r="AB289">
        <v>10</v>
      </c>
      <c r="AC289">
        <v>45</v>
      </c>
      <c r="AD289">
        <v>45</v>
      </c>
      <c r="AE289">
        <v>56</v>
      </c>
      <c r="AF289">
        <v>44</v>
      </c>
      <c r="AG289">
        <v>40</v>
      </c>
      <c r="AH289">
        <v>60</v>
      </c>
      <c r="AI289">
        <v>75</v>
      </c>
      <c r="AJ289">
        <v>25</v>
      </c>
      <c r="AK289">
        <v>100</v>
      </c>
      <c r="AL289">
        <v>0</v>
      </c>
      <c r="AM289">
        <v>29</v>
      </c>
      <c r="AN289">
        <v>71</v>
      </c>
      <c r="AO289">
        <v>36</v>
      </c>
      <c r="AP289">
        <v>64</v>
      </c>
      <c r="AQ289">
        <v>100</v>
      </c>
      <c r="AR289">
        <v>33</v>
      </c>
      <c r="AS289">
        <v>92</v>
      </c>
      <c r="AT289">
        <v>78</v>
      </c>
      <c r="AU289">
        <v>50</v>
      </c>
      <c r="AV289">
        <v>75</v>
      </c>
      <c r="AW289">
        <v>4</v>
      </c>
      <c r="AX289">
        <v>1.3</v>
      </c>
      <c r="AY289">
        <v>1</v>
      </c>
      <c r="AZ289">
        <v>0.3</v>
      </c>
      <c r="BA289">
        <v>1</v>
      </c>
      <c r="BB289">
        <v>2</v>
      </c>
      <c r="BC289">
        <v>1</v>
      </c>
      <c r="BD289">
        <v>2</v>
      </c>
      <c r="BE289">
        <v>0</v>
      </c>
      <c r="BF289">
        <v>0</v>
      </c>
      <c r="BG289">
        <v>0</v>
      </c>
      <c r="BH289">
        <v>0</v>
      </c>
      <c r="BI289">
        <v>1</v>
      </c>
      <c r="BJ289">
        <v>3</v>
      </c>
      <c r="BK289">
        <v>0</v>
      </c>
      <c r="BL289">
        <v>1</v>
      </c>
      <c r="BM289">
        <v>1</v>
      </c>
      <c r="BN289">
        <v>1.5</v>
      </c>
      <c r="BO289">
        <v>0</v>
      </c>
      <c r="BP289">
        <v>0.5</v>
      </c>
      <c r="BQ289">
        <v>4</v>
      </c>
      <c r="BR289">
        <v>3</v>
      </c>
      <c r="BS289">
        <v>1</v>
      </c>
      <c r="BT289">
        <v>1</v>
      </c>
      <c r="BU289">
        <v>0</v>
      </c>
      <c r="BV289">
        <v>2</v>
      </c>
      <c r="BW289">
        <v>3</v>
      </c>
      <c r="BX289">
        <v>0</v>
      </c>
      <c r="BY289">
        <v>6</v>
      </c>
      <c r="BZ289">
        <v>2</v>
      </c>
      <c r="CA289">
        <v>3</v>
      </c>
      <c r="CB289">
        <v>1</v>
      </c>
      <c r="CC289">
        <v>2</v>
      </c>
      <c r="CD289">
        <v>1</v>
      </c>
      <c r="CE289">
        <v>1</v>
      </c>
      <c r="CF289">
        <v>1</v>
      </c>
      <c r="CG289">
        <v>1</v>
      </c>
      <c r="CH289">
        <v>0</v>
      </c>
      <c r="CI289">
        <v>0</v>
      </c>
      <c r="CJ289">
        <v>0</v>
      </c>
      <c r="CK289">
        <v>3</v>
      </c>
      <c r="CL289">
        <v>3</v>
      </c>
      <c r="CM289">
        <v>1</v>
      </c>
      <c r="CN289">
        <v>2</v>
      </c>
      <c r="CO289">
        <v>1.5</v>
      </c>
      <c r="CP289">
        <v>3</v>
      </c>
      <c r="CQ289">
        <v>0.5</v>
      </c>
      <c r="CR289">
        <v>2</v>
      </c>
      <c r="CS289">
        <v>3</v>
      </c>
      <c r="CT289">
        <v>4</v>
      </c>
      <c r="CU289">
        <v>0</v>
      </c>
      <c r="CV289">
        <v>3</v>
      </c>
      <c r="CW289">
        <v>2</v>
      </c>
      <c r="CX289">
        <v>0</v>
      </c>
      <c r="CY289">
        <v>1</v>
      </c>
      <c r="CZ289">
        <v>1</v>
      </c>
    </row>
    <row r="290" spans="1:104" x14ac:dyDescent="0.25">
      <c r="A290" s="1" t="s">
        <v>1852</v>
      </c>
      <c r="B290">
        <v>1704</v>
      </c>
      <c r="C290">
        <v>9474</v>
      </c>
      <c r="D290" s="2">
        <v>43744</v>
      </c>
      <c r="E290" s="3">
        <f t="shared" si="12"/>
        <v>2019</v>
      </c>
      <c r="F290" s="3">
        <f t="shared" si="13"/>
        <v>10</v>
      </c>
      <c r="G290" s="3">
        <f t="shared" si="14"/>
        <v>1</v>
      </c>
      <c r="H290" t="s">
        <v>1853</v>
      </c>
      <c r="I290">
        <v>1255</v>
      </c>
      <c r="J290" t="s">
        <v>337</v>
      </c>
      <c r="K290" t="s">
        <v>338</v>
      </c>
      <c r="L290">
        <v>2019</v>
      </c>
      <c r="M290" t="s">
        <v>598</v>
      </c>
      <c r="N290" t="s">
        <v>1854</v>
      </c>
      <c r="O290" t="s">
        <v>1855</v>
      </c>
      <c r="P290">
        <v>8074</v>
      </c>
      <c r="Q290" t="s">
        <v>338</v>
      </c>
      <c r="R290">
        <v>1927</v>
      </c>
      <c r="S290" t="s">
        <v>340</v>
      </c>
      <c r="T290" t="s">
        <v>341</v>
      </c>
      <c r="U290">
        <v>1900</v>
      </c>
      <c r="V290" t="s">
        <v>338</v>
      </c>
      <c r="X290" t="s">
        <v>109</v>
      </c>
      <c r="Z290">
        <v>-2.5</v>
      </c>
      <c r="AA290">
        <v>-1.5</v>
      </c>
      <c r="AB290">
        <v>45</v>
      </c>
      <c r="AC290">
        <v>45</v>
      </c>
      <c r="AD290">
        <v>10</v>
      </c>
      <c r="AE290">
        <v>63</v>
      </c>
      <c r="AF290">
        <v>38</v>
      </c>
      <c r="AG290">
        <v>80</v>
      </c>
      <c r="AH290">
        <v>20</v>
      </c>
      <c r="AI290">
        <v>36</v>
      </c>
      <c r="AJ290">
        <v>64</v>
      </c>
      <c r="AK290">
        <v>52</v>
      </c>
      <c r="AL290">
        <v>48</v>
      </c>
      <c r="AM290">
        <v>0</v>
      </c>
      <c r="AN290">
        <v>0</v>
      </c>
      <c r="AO290">
        <v>0</v>
      </c>
      <c r="AP290">
        <v>0</v>
      </c>
      <c r="AQ290">
        <v>33</v>
      </c>
      <c r="AR290">
        <v>44</v>
      </c>
      <c r="AS290">
        <v>50</v>
      </c>
      <c r="AT290">
        <v>20</v>
      </c>
      <c r="AU290">
        <v>11</v>
      </c>
      <c r="AV290">
        <v>72</v>
      </c>
      <c r="AW290">
        <v>8</v>
      </c>
      <c r="AX290">
        <v>1.6</v>
      </c>
      <c r="AY290">
        <v>9</v>
      </c>
      <c r="AZ290">
        <v>1.8</v>
      </c>
      <c r="BA290">
        <v>3</v>
      </c>
      <c r="BB290">
        <v>3</v>
      </c>
      <c r="BC290">
        <v>0</v>
      </c>
      <c r="BD290">
        <v>1</v>
      </c>
      <c r="BE290">
        <v>1</v>
      </c>
      <c r="BF290">
        <v>1</v>
      </c>
      <c r="BG290">
        <v>2</v>
      </c>
      <c r="BH290">
        <v>1</v>
      </c>
      <c r="BI290">
        <v>4</v>
      </c>
      <c r="BJ290">
        <v>4</v>
      </c>
      <c r="BK290">
        <v>6</v>
      </c>
      <c r="BL290">
        <v>4</v>
      </c>
      <c r="BM290">
        <v>1.3</v>
      </c>
      <c r="BN290">
        <v>1.3</v>
      </c>
      <c r="BO290">
        <v>2</v>
      </c>
      <c r="BP290">
        <v>1.3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0</v>
      </c>
      <c r="BX290">
        <v>0</v>
      </c>
      <c r="BY290">
        <v>2</v>
      </c>
      <c r="BZ290">
        <v>0.4</v>
      </c>
      <c r="CA290">
        <v>5</v>
      </c>
      <c r="CB290">
        <v>1</v>
      </c>
      <c r="CC290">
        <v>3</v>
      </c>
      <c r="CD290">
        <v>3</v>
      </c>
      <c r="CE290">
        <v>0</v>
      </c>
      <c r="CF290">
        <v>0</v>
      </c>
      <c r="CG290">
        <v>2</v>
      </c>
      <c r="CH290">
        <v>2</v>
      </c>
      <c r="CI290">
        <v>1</v>
      </c>
      <c r="CJ290">
        <v>1</v>
      </c>
      <c r="CK290">
        <v>2</v>
      </c>
      <c r="CL290">
        <v>2</v>
      </c>
      <c r="CM290">
        <v>4</v>
      </c>
      <c r="CN290">
        <v>3</v>
      </c>
      <c r="CO290">
        <v>0.7</v>
      </c>
      <c r="CP290">
        <v>0.7</v>
      </c>
      <c r="CQ290">
        <v>1.3</v>
      </c>
      <c r="CR290">
        <v>1</v>
      </c>
      <c r="CS290">
        <v>1</v>
      </c>
      <c r="CT290">
        <v>1</v>
      </c>
      <c r="CU290">
        <v>0</v>
      </c>
      <c r="CV290">
        <v>0</v>
      </c>
      <c r="CW290">
        <v>0</v>
      </c>
      <c r="CX290">
        <v>0</v>
      </c>
      <c r="CY290">
        <v>1</v>
      </c>
      <c r="CZ290">
        <v>1</v>
      </c>
    </row>
    <row r="291" spans="1:104" x14ac:dyDescent="0.25">
      <c r="A291" s="1" t="s">
        <v>1856</v>
      </c>
      <c r="B291">
        <v>4220</v>
      </c>
      <c r="C291">
        <v>4211</v>
      </c>
      <c r="D291" s="2">
        <v>43898</v>
      </c>
      <c r="E291" s="3">
        <f t="shared" si="12"/>
        <v>2020</v>
      </c>
      <c r="F291" s="3">
        <f t="shared" si="13"/>
        <v>3</v>
      </c>
      <c r="G291" s="3">
        <f t="shared" si="14"/>
        <v>1</v>
      </c>
      <c r="H291" t="s">
        <v>1104</v>
      </c>
      <c r="I291">
        <v>1370</v>
      </c>
      <c r="J291" t="s">
        <v>761</v>
      </c>
      <c r="K291" t="s">
        <v>900</v>
      </c>
      <c r="L291">
        <v>2020</v>
      </c>
      <c r="M291" t="s">
        <v>405</v>
      </c>
      <c r="N291" t="s">
        <v>1104</v>
      </c>
      <c r="O291" t="s">
        <v>1105</v>
      </c>
      <c r="P291">
        <v>54170</v>
      </c>
      <c r="Q291" t="s">
        <v>900</v>
      </c>
      <c r="R291">
        <v>1956</v>
      </c>
      <c r="S291" t="s">
        <v>1857</v>
      </c>
      <c r="T291" t="s">
        <v>1858</v>
      </c>
      <c r="U291">
        <v>22700</v>
      </c>
      <c r="V291" t="s">
        <v>900</v>
      </c>
      <c r="W291">
        <v>1960</v>
      </c>
      <c r="X291">
        <v>1</v>
      </c>
      <c r="Z291">
        <v>-3.5</v>
      </c>
      <c r="AB291">
        <v>50</v>
      </c>
      <c r="AC291">
        <v>50</v>
      </c>
      <c r="AD291">
        <v>0</v>
      </c>
      <c r="AE291">
        <v>100</v>
      </c>
      <c r="AF291">
        <v>0</v>
      </c>
      <c r="AG291">
        <v>100</v>
      </c>
      <c r="AH291">
        <v>0</v>
      </c>
      <c r="AI291">
        <v>75</v>
      </c>
      <c r="AJ291">
        <v>25</v>
      </c>
      <c r="AK291">
        <v>100</v>
      </c>
      <c r="AL291">
        <v>0</v>
      </c>
      <c r="AM291">
        <v>100</v>
      </c>
      <c r="AN291">
        <v>0</v>
      </c>
      <c r="AO291">
        <v>87</v>
      </c>
      <c r="AP291">
        <v>13</v>
      </c>
      <c r="AQ291">
        <v>100</v>
      </c>
      <c r="AR291">
        <v>22</v>
      </c>
      <c r="AS291">
        <v>89</v>
      </c>
      <c r="AT291">
        <v>0</v>
      </c>
      <c r="AU291">
        <v>0</v>
      </c>
      <c r="AV291">
        <v>67</v>
      </c>
      <c r="AW291">
        <v>2</v>
      </c>
      <c r="AX291">
        <v>2</v>
      </c>
      <c r="AY291">
        <v>1</v>
      </c>
      <c r="AZ291">
        <v>1</v>
      </c>
      <c r="BA291">
        <v>1</v>
      </c>
      <c r="BB291">
        <v>0</v>
      </c>
      <c r="BC291">
        <v>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2</v>
      </c>
      <c r="BJ291">
        <v>0</v>
      </c>
      <c r="BK291">
        <v>1</v>
      </c>
      <c r="BL291">
        <v>0</v>
      </c>
      <c r="BM291">
        <v>2</v>
      </c>
      <c r="BN291">
        <v>0</v>
      </c>
      <c r="BO291">
        <v>1</v>
      </c>
      <c r="BP291">
        <v>0</v>
      </c>
      <c r="BQ291">
        <v>10</v>
      </c>
      <c r="BR291">
        <v>9</v>
      </c>
      <c r="BS291">
        <v>9</v>
      </c>
      <c r="BT291">
        <v>5</v>
      </c>
      <c r="BU291">
        <v>1</v>
      </c>
      <c r="BV291">
        <v>2</v>
      </c>
      <c r="BW291">
        <v>0</v>
      </c>
      <c r="BX291">
        <v>2</v>
      </c>
      <c r="BY291">
        <v>0</v>
      </c>
      <c r="BZ291">
        <v>0</v>
      </c>
      <c r="CA291">
        <v>3</v>
      </c>
      <c r="CB291">
        <v>3</v>
      </c>
      <c r="CC291">
        <v>0</v>
      </c>
      <c r="CD291">
        <v>1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</v>
      </c>
      <c r="CK291">
        <v>0</v>
      </c>
      <c r="CL291">
        <v>0</v>
      </c>
      <c r="CM291">
        <v>0</v>
      </c>
      <c r="CN291">
        <v>3</v>
      </c>
      <c r="CO291">
        <v>0</v>
      </c>
      <c r="CP291">
        <v>0</v>
      </c>
      <c r="CQ291">
        <v>0</v>
      </c>
      <c r="CR291">
        <v>3</v>
      </c>
      <c r="CS291">
        <v>9</v>
      </c>
      <c r="CT291">
        <v>10</v>
      </c>
      <c r="CU291">
        <v>2</v>
      </c>
      <c r="CV291">
        <v>0</v>
      </c>
      <c r="CW291">
        <v>2</v>
      </c>
      <c r="CX291">
        <v>1</v>
      </c>
      <c r="CY291">
        <v>5</v>
      </c>
      <c r="CZ291">
        <v>9</v>
      </c>
    </row>
    <row r="292" spans="1:104" x14ac:dyDescent="0.25">
      <c r="A292" s="1" t="s">
        <v>1859</v>
      </c>
      <c r="B292">
        <v>7726</v>
      </c>
      <c r="C292">
        <v>7731</v>
      </c>
      <c r="D292" s="2">
        <v>43743</v>
      </c>
      <c r="E292" s="3">
        <f t="shared" si="12"/>
        <v>2019</v>
      </c>
      <c r="F292" s="3">
        <f t="shared" si="13"/>
        <v>10</v>
      </c>
      <c r="G292" s="3">
        <f t="shared" si="14"/>
        <v>7</v>
      </c>
      <c r="H292" t="s">
        <v>1860</v>
      </c>
      <c r="I292">
        <v>1177</v>
      </c>
      <c r="J292" t="s">
        <v>1861</v>
      </c>
      <c r="K292" t="s">
        <v>241</v>
      </c>
      <c r="L292">
        <v>2019</v>
      </c>
      <c r="M292" t="s">
        <v>1862</v>
      </c>
      <c r="N292" t="s">
        <v>1863</v>
      </c>
      <c r="O292" t="s">
        <v>1864</v>
      </c>
      <c r="P292">
        <v>3513</v>
      </c>
      <c r="Q292" t="s">
        <v>241</v>
      </c>
      <c r="R292">
        <v>1905</v>
      </c>
      <c r="S292" t="s">
        <v>1865</v>
      </c>
      <c r="T292" t="s">
        <v>1866</v>
      </c>
      <c r="U292">
        <v>2757</v>
      </c>
      <c r="V292" t="s">
        <v>241</v>
      </c>
      <c r="W292">
        <v>1878</v>
      </c>
      <c r="X292" t="s">
        <v>109</v>
      </c>
      <c r="Z292">
        <v>-2.5</v>
      </c>
      <c r="AA292">
        <v>-2.5</v>
      </c>
      <c r="AB292">
        <v>45</v>
      </c>
      <c r="AC292">
        <v>45</v>
      </c>
      <c r="AD292">
        <v>10</v>
      </c>
      <c r="AE292">
        <v>62</v>
      </c>
      <c r="AF292">
        <v>38</v>
      </c>
      <c r="AG292">
        <v>60</v>
      </c>
      <c r="AH292">
        <v>40</v>
      </c>
      <c r="AI292">
        <v>47</v>
      </c>
      <c r="AJ292">
        <v>53</v>
      </c>
      <c r="AK292">
        <v>40</v>
      </c>
      <c r="AL292">
        <v>60</v>
      </c>
      <c r="AM292">
        <v>0</v>
      </c>
      <c r="AN292">
        <v>0</v>
      </c>
      <c r="AO292">
        <v>0</v>
      </c>
      <c r="AP292">
        <v>0</v>
      </c>
      <c r="AQ292">
        <v>53</v>
      </c>
      <c r="AR292">
        <v>60</v>
      </c>
      <c r="AS292">
        <v>55</v>
      </c>
      <c r="AT292">
        <v>33</v>
      </c>
      <c r="AU292">
        <v>40</v>
      </c>
      <c r="AV292">
        <v>60</v>
      </c>
      <c r="AW292">
        <v>12</v>
      </c>
      <c r="AX292">
        <v>2.4</v>
      </c>
      <c r="AY292">
        <v>9</v>
      </c>
      <c r="AZ292">
        <v>1.8</v>
      </c>
      <c r="BA292">
        <v>4</v>
      </c>
      <c r="BB292">
        <v>5</v>
      </c>
      <c r="BC292">
        <v>2</v>
      </c>
      <c r="BD292">
        <v>2</v>
      </c>
      <c r="BE292">
        <v>2</v>
      </c>
      <c r="BF292">
        <v>0</v>
      </c>
      <c r="BG292">
        <v>0</v>
      </c>
      <c r="BH292">
        <v>3</v>
      </c>
      <c r="BI292">
        <v>6</v>
      </c>
      <c r="BJ292">
        <v>12</v>
      </c>
      <c r="BK292">
        <v>4</v>
      </c>
      <c r="BL292">
        <v>13</v>
      </c>
      <c r="BM292">
        <v>1.5</v>
      </c>
      <c r="BN292">
        <v>2.4</v>
      </c>
      <c r="BO292">
        <v>1</v>
      </c>
      <c r="BP292">
        <v>2.6</v>
      </c>
      <c r="BQ292">
        <v>1</v>
      </c>
      <c r="BR292">
        <v>0</v>
      </c>
      <c r="BS292">
        <v>1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8</v>
      </c>
      <c r="BZ292">
        <v>1.6</v>
      </c>
      <c r="CA292">
        <v>8</v>
      </c>
      <c r="CB292">
        <v>1.6</v>
      </c>
      <c r="CC292">
        <v>5</v>
      </c>
      <c r="CD292">
        <v>5</v>
      </c>
      <c r="CE292">
        <v>2</v>
      </c>
      <c r="CF292">
        <v>3</v>
      </c>
      <c r="CG292">
        <v>2</v>
      </c>
      <c r="CH292">
        <v>1</v>
      </c>
      <c r="CI292">
        <v>1</v>
      </c>
      <c r="CJ292">
        <v>1</v>
      </c>
      <c r="CK292">
        <v>7</v>
      </c>
      <c r="CL292">
        <v>7</v>
      </c>
      <c r="CM292">
        <v>6</v>
      </c>
      <c r="CN292">
        <v>4</v>
      </c>
      <c r="CO292">
        <v>1.4</v>
      </c>
      <c r="CP292">
        <v>1.4</v>
      </c>
      <c r="CQ292">
        <v>1.2</v>
      </c>
      <c r="CR292">
        <v>0.8</v>
      </c>
      <c r="CS292">
        <v>0</v>
      </c>
      <c r="CT292">
        <v>1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1</v>
      </c>
    </row>
    <row r="293" spans="1:104" x14ac:dyDescent="0.25">
      <c r="A293" s="1" t="s">
        <v>1867</v>
      </c>
      <c r="B293">
        <v>903</v>
      </c>
      <c r="C293">
        <v>1383</v>
      </c>
      <c r="D293" s="2">
        <v>43715</v>
      </c>
      <c r="E293" s="3">
        <f t="shared" si="12"/>
        <v>2019</v>
      </c>
      <c r="F293" s="3">
        <f t="shared" si="13"/>
        <v>9</v>
      </c>
      <c r="G293" s="3">
        <f t="shared" si="14"/>
        <v>7</v>
      </c>
      <c r="H293" t="s">
        <v>1868</v>
      </c>
      <c r="I293">
        <v>946</v>
      </c>
      <c r="J293" t="s">
        <v>1869</v>
      </c>
      <c r="K293" t="s">
        <v>1029</v>
      </c>
      <c r="L293">
        <v>2019</v>
      </c>
      <c r="M293" t="s">
        <v>1713</v>
      </c>
      <c r="N293" t="s">
        <v>1868</v>
      </c>
      <c r="O293" t="s">
        <v>1870</v>
      </c>
      <c r="P293">
        <v>7918</v>
      </c>
      <c r="Q293" t="s">
        <v>1029</v>
      </c>
      <c r="R293">
        <v>1994</v>
      </c>
      <c r="S293" t="s">
        <v>1871</v>
      </c>
      <c r="T293" t="s">
        <v>1872</v>
      </c>
      <c r="U293">
        <v>11612</v>
      </c>
      <c r="V293" t="s">
        <v>1029</v>
      </c>
      <c r="W293">
        <v>1874</v>
      </c>
      <c r="X293" t="s">
        <v>109</v>
      </c>
      <c r="AB293">
        <v>50</v>
      </c>
      <c r="AC293">
        <v>50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85</v>
      </c>
      <c r="AN293">
        <v>15</v>
      </c>
      <c r="AO293">
        <v>73</v>
      </c>
      <c r="AP293">
        <v>27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7</v>
      </c>
      <c r="BR293">
        <v>5</v>
      </c>
      <c r="BS293">
        <v>4</v>
      </c>
      <c r="BT293">
        <v>2</v>
      </c>
      <c r="BU293">
        <v>2</v>
      </c>
      <c r="BV293">
        <v>1</v>
      </c>
      <c r="BW293">
        <v>1</v>
      </c>
      <c r="BX293">
        <v>2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5</v>
      </c>
      <c r="CT293">
        <v>7</v>
      </c>
      <c r="CU293">
        <v>2</v>
      </c>
      <c r="CV293">
        <v>1</v>
      </c>
      <c r="CW293">
        <v>1</v>
      </c>
      <c r="CX293">
        <v>2</v>
      </c>
      <c r="CY293">
        <v>2</v>
      </c>
      <c r="CZ293">
        <v>4</v>
      </c>
    </row>
    <row r="294" spans="1:104" x14ac:dyDescent="0.25">
      <c r="A294" s="1" t="s">
        <v>1873</v>
      </c>
      <c r="B294">
        <v>169</v>
      </c>
      <c r="C294">
        <v>170</v>
      </c>
      <c r="D294" s="2">
        <v>43868</v>
      </c>
      <c r="E294" s="3">
        <f t="shared" si="12"/>
        <v>2020</v>
      </c>
      <c r="F294" s="3">
        <f t="shared" si="13"/>
        <v>2</v>
      </c>
      <c r="G294" s="3">
        <f t="shared" si="14"/>
        <v>6</v>
      </c>
      <c r="H294" t="s">
        <v>1874</v>
      </c>
      <c r="I294">
        <v>754</v>
      </c>
      <c r="J294" t="s">
        <v>1008</v>
      </c>
      <c r="K294" t="s">
        <v>558</v>
      </c>
      <c r="L294">
        <v>2019</v>
      </c>
      <c r="M294" t="s">
        <v>354</v>
      </c>
      <c r="N294" t="s">
        <v>1874</v>
      </c>
      <c r="O294" t="s">
        <v>1875</v>
      </c>
      <c r="P294">
        <v>52300</v>
      </c>
      <c r="Q294" t="s">
        <v>558</v>
      </c>
      <c r="R294">
        <v>1899</v>
      </c>
      <c r="S294" t="s">
        <v>1876</v>
      </c>
      <c r="T294" t="s">
        <v>1877</v>
      </c>
      <c r="U294">
        <v>30662</v>
      </c>
      <c r="V294" t="s">
        <v>558</v>
      </c>
      <c r="W294">
        <v>1907</v>
      </c>
      <c r="X294" t="s">
        <v>125</v>
      </c>
      <c r="Z294">
        <v>-2.5</v>
      </c>
      <c r="AA294">
        <v>-2.5</v>
      </c>
      <c r="AB294">
        <v>10</v>
      </c>
      <c r="AC294">
        <v>45</v>
      </c>
      <c r="AD294">
        <v>45</v>
      </c>
      <c r="AE294">
        <v>54</v>
      </c>
      <c r="AF294">
        <v>46</v>
      </c>
      <c r="AG294">
        <v>47</v>
      </c>
      <c r="AH294">
        <v>53</v>
      </c>
      <c r="AI294">
        <v>58</v>
      </c>
      <c r="AJ294">
        <v>42</v>
      </c>
      <c r="AK294">
        <v>0</v>
      </c>
      <c r="AL294">
        <v>0</v>
      </c>
      <c r="AM294">
        <v>20</v>
      </c>
      <c r="AN294">
        <v>80</v>
      </c>
      <c r="AO294">
        <v>35</v>
      </c>
      <c r="AP294">
        <v>65</v>
      </c>
      <c r="AQ294">
        <v>47</v>
      </c>
      <c r="AR294">
        <v>36</v>
      </c>
      <c r="AS294">
        <v>64</v>
      </c>
      <c r="AT294">
        <v>40</v>
      </c>
      <c r="AU294">
        <v>41</v>
      </c>
      <c r="AV294">
        <v>50</v>
      </c>
      <c r="AW294">
        <v>8</v>
      </c>
      <c r="AX294">
        <v>1.6</v>
      </c>
      <c r="AY294">
        <v>8</v>
      </c>
      <c r="AZ294">
        <v>1.6</v>
      </c>
      <c r="BA294">
        <v>10</v>
      </c>
      <c r="BB294">
        <v>10</v>
      </c>
      <c r="BC294">
        <v>5</v>
      </c>
      <c r="BD294">
        <v>2</v>
      </c>
      <c r="BE294">
        <v>3</v>
      </c>
      <c r="BF294">
        <v>1</v>
      </c>
      <c r="BG294">
        <v>2</v>
      </c>
      <c r="BH294">
        <v>7</v>
      </c>
      <c r="BI294">
        <v>21</v>
      </c>
      <c r="BJ294">
        <v>11</v>
      </c>
      <c r="BK294">
        <v>14</v>
      </c>
      <c r="BL294">
        <v>17</v>
      </c>
      <c r="BM294">
        <v>2.1</v>
      </c>
      <c r="BN294">
        <v>1.1000000000000001</v>
      </c>
      <c r="BO294">
        <v>1.4</v>
      </c>
      <c r="BP294">
        <v>1.7</v>
      </c>
      <c r="BQ294">
        <v>8</v>
      </c>
      <c r="BR294">
        <v>8</v>
      </c>
      <c r="BS294">
        <v>3</v>
      </c>
      <c r="BT294">
        <v>1</v>
      </c>
      <c r="BU294">
        <v>2</v>
      </c>
      <c r="BV294">
        <v>3</v>
      </c>
      <c r="BW294">
        <v>3</v>
      </c>
      <c r="BX294">
        <v>4</v>
      </c>
      <c r="BY294">
        <v>9</v>
      </c>
      <c r="BZ294">
        <v>1.8</v>
      </c>
      <c r="CA294">
        <v>11</v>
      </c>
      <c r="CB294">
        <v>2.2000000000000002</v>
      </c>
      <c r="CC294">
        <v>10</v>
      </c>
      <c r="CD294">
        <v>10</v>
      </c>
      <c r="CE294">
        <v>5</v>
      </c>
      <c r="CF294">
        <v>2</v>
      </c>
      <c r="CG294">
        <v>2</v>
      </c>
      <c r="CH294">
        <v>3</v>
      </c>
      <c r="CI294">
        <v>3</v>
      </c>
      <c r="CJ294">
        <v>5</v>
      </c>
      <c r="CK294">
        <v>21</v>
      </c>
      <c r="CL294">
        <v>12</v>
      </c>
      <c r="CM294">
        <v>17</v>
      </c>
      <c r="CN294">
        <v>22</v>
      </c>
      <c r="CO294">
        <v>2.1</v>
      </c>
      <c r="CP294">
        <v>1.2</v>
      </c>
      <c r="CQ294">
        <v>1.7</v>
      </c>
      <c r="CR294">
        <v>2.2000000000000002</v>
      </c>
      <c r="CS294">
        <v>8</v>
      </c>
      <c r="CT294">
        <v>8</v>
      </c>
      <c r="CU294">
        <v>4</v>
      </c>
      <c r="CV294">
        <v>3</v>
      </c>
      <c r="CW294">
        <v>3</v>
      </c>
      <c r="CX294">
        <v>2</v>
      </c>
      <c r="CY294">
        <v>1</v>
      </c>
      <c r="CZ294">
        <v>3</v>
      </c>
    </row>
    <row r="295" spans="1:104" x14ac:dyDescent="0.25">
      <c r="A295" s="1" t="s">
        <v>1878</v>
      </c>
      <c r="B295">
        <v>178</v>
      </c>
      <c r="C295">
        <v>181</v>
      </c>
      <c r="D295" s="2">
        <v>43771</v>
      </c>
      <c r="E295" s="3">
        <f t="shared" si="12"/>
        <v>2019</v>
      </c>
      <c r="F295" s="3">
        <f t="shared" si="13"/>
        <v>11</v>
      </c>
      <c r="G295" s="3">
        <f t="shared" si="14"/>
        <v>7</v>
      </c>
      <c r="H295" t="s">
        <v>1879</v>
      </c>
      <c r="I295">
        <v>755</v>
      </c>
      <c r="J295" t="s">
        <v>1880</v>
      </c>
      <c r="K295" t="s">
        <v>558</v>
      </c>
      <c r="L295">
        <v>2019</v>
      </c>
      <c r="M295" t="s">
        <v>272</v>
      </c>
      <c r="N295" t="s">
        <v>1879</v>
      </c>
      <c r="O295" t="s">
        <v>1881</v>
      </c>
      <c r="P295">
        <v>18000</v>
      </c>
      <c r="Q295" t="s">
        <v>558</v>
      </c>
      <c r="R295">
        <v>1903</v>
      </c>
      <c r="S295" t="s">
        <v>1882</v>
      </c>
      <c r="T295" t="s">
        <v>1883</v>
      </c>
      <c r="U295">
        <v>17468</v>
      </c>
      <c r="V295" t="s">
        <v>558</v>
      </c>
      <c r="W295">
        <v>1898</v>
      </c>
      <c r="X295" t="s">
        <v>125</v>
      </c>
      <c r="Y295">
        <v>-3.5</v>
      </c>
      <c r="Z295">
        <v>-1.5</v>
      </c>
      <c r="AA295">
        <v>-1.5</v>
      </c>
      <c r="AB295">
        <v>10</v>
      </c>
      <c r="AC295">
        <v>45</v>
      </c>
      <c r="AD295">
        <v>45</v>
      </c>
      <c r="AE295">
        <v>33</v>
      </c>
      <c r="AF295">
        <v>67</v>
      </c>
      <c r="AG295">
        <v>29</v>
      </c>
      <c r="AH295">
        <v>71</v>
      </c>
      <c r="AI295">
        <v>36</v>
      </c>
      <c r="AJ295">
        <v>64</v>
      </c>
      <c r="AK295">
        <v>63</v>
      </c>
      <c r="AL295">
        <v>37</v>
      </c>
      <c r="AM295">
        <v>50</v>
      </c>
      <c r="AN295">
        <v>50</v>
      </c>
      <c r="AO295">
        <v>44</v>
      </c>
      <c r="AP295">
        <v>56</v>
      </c>
      <c r="AQ295">
        <v>27</v>
      </c>
      <c r="AR295">
        <v>18</v>
      </c>
      <c r="AS295">
        <v>36</v>
      </c>
      <c r="AT295">
        <v>53</v>
      </c>
      <c r="AU295">
        <v>45</v>
      </c>
      <c r="AV295">
        <v>64</v>
      </c>
      <c r="AW295">
        <v>2</v>
      </c>
      <c r="AX295">
        <v>0.4</v>
      </c>
      <c r="AY295">
        <v>7</v>
      </c>
      <c r="AZ295">
        <v>1.4</v>
      </c>
      <c r="BA295">
        <v>5</v>
      </c>
      <c r="BB295">
        <v>6</v>
      </c>
      <c r="BC295">
        <v>3</v>
      </c>
      <c r="BD295">
        <v>1</v>
      </c>
      <c r="BE295">
        <v>0</v>
      </c>
      <c r="BF295">
        <v>3</v>
      </c>
      <c r="BG295">
        <v>2</v>
      </c>
      <c r="BH295">
        <v>2</v>
      </c>
      <c r="BI295">
        <v>5</v>
      </c>
      <c r="BJ295">
        <v>6</v>
      </c>
      <c r="BK295">
        <v>6</v>
      </c>
      <c r="BL295">
        <v>8</v>
      </c>
      <c r="BM295">
        <v>1</v>
      </c>
      <c r="BN295">
        <v>1</v>
      </c>
      <c r="BO295">
        <v>1.2</v>
      </c>
      <c r="BP295">
        <v>1.3</v>
      </c>
      <c r="BQ295">
        <v>4</v>
      </c>
      <c r="BR295">
        <v>4</v>
      </c>
      <c r="BS295">
        <v>3</v>
      </c>
      <c r="BT295">
        <v>0</v>
      </c>
      <c r="BU295">
        <v>1</v>
      </c>
      <c r="BV295">
        <v>2</v>
      </c>
      <c r="BW295">
        <v>0</v>
      </c>
      <c r="BX295">
        <v>2</v>
      </c>
      <c r="BY295">
        <v>5</v>
      </c>
      <c r="BZ295">
        <v>1</v>
      </c>
      <c r="CA295">
        <v>4</v>
      </c>
      <c r="CB295">
        <v>0.8</v>
      </c>
      <c r="CC295">
        <v>5</v>
      </c>
      <c r="CD295">
        <v>6</v>
      </c>
      <c r="CE295">
        <v>2</v>
      </c>
      <c r="CF295">
        <v>1</v>
      </c>
      <c r="CG295">
        <v>3</v>
      </c>
      <c r="CH295">
        <v>2</v>
      </c>
      <c r="CI295">
        <v>0</v>
      </c>
      <c r="CJ295">
        <v>3</v>
      </c>
      <c r="CK295">
        <v>7</v>
      </c>
      <c r="CL295">
        <v>4</v>
      </c>
      <c r="CM295">
        <v>4</v>
      </c>
      <c r="CN295">
        <v>9</v>
      </c>
      <c r="CO295">
        <v>1.4</v>
      </c>
      <c r="CP295">
        <v>0.7</v>
      </c>
      <c r="CQ295">
        <v>0.8</v>
      </c>
      <c r="CR295">
        <v>1.5</v>
      </c>
      <c r="CS295">
        <v>4</v>
      </c>
      <c r="CT295">
        <v>4</v>
      </c>
      <c r="CU295">
        <v>2</v>
      </c>
      <c r="CV295">
        <v>0</v>
      </c>
      <c r="CW295">
        <v>2</v>
      </c>
      <c r="CX295">
        <v>1</v>
      </c>
      <c r="CY295">
        <v>0</v>
      </c>
      <c r="CZ295">
        <v>3</v>
      </c>
    </row>
    <row r="296" spans="1:104" x14ac:dyDescent="0.25">
      <c r="A296" s="1" t="s">
        <v>1884</v>
      </c>
      <c r="B296">
        <v>1459</v>
      </c>
      <c r="C296">
        <v>1132</v>
      </c>
      <c r="D296" s="2">
        <v>43762</v>
      </c>
      <c r="E296" s="3">
        <f t="shared" si="12"/>
        <v>2019</v>
      </c>
      <c r="F296" s="3">
        <f t="shared" si="13"/>
        <v>10</v>
      </c>
      <c r="G296" s="3">
        <f t="shared" si="14"/>
        <v>5</v>
      </c>
      <c r="H296" t="s">
        <v>1885</v>
      </c>
      <c r="I296">
        <v>293</v>
      </c>
      <c r="J296" t="s">
        <v>1886</v>
      </c>
      <c r="K296" t="s">
        <v>681</v>
      </c>
      <c r="L296">
        <v>2019</v>
      </c>
      <c r="M296" t="s">
        <v>1887</v>
      </c>
      <c r="N296" t="s">
        <v>1888</v>
      </c>
      <c r="O296" t="s">
        <v>1889</v>
      </c>
      <c r="P296">
        <v>16068</v>
      </c>
      <c r="Q296" t="s">
        <v>681</v>
      </c>
      <c r="R296">
        <v>1971</v>
      </c>
      <c r="S296" t="s">
        <v>1890</v>
      </c>
      <c r="T296" t="s">
        <v>1891</v>
      </c>
      <c r="U296">
        <v>20630</v>
      </c>
      <c r="V296" t="s">
        <v>681</v>
      </c>
      <c r="W296">
        <v>2002</v>
      </c>
      <c r="X296" t="s">
        <v>125</v>
      </c>
      <c r="Z296">
        <v>-2.5</v>
      </c>
      <c r="AA296">
        <v>-2.5</v>
      </c>
      <c r="AB296">
        <v>10</v>
      </c>
      <c r="AC296">
        <v>45</v>
      </c>
      <c r="AD296">
        <v>45</v>
      </c>
      <c r="AE296">
        <v>40</v>
      </c>
      <c r="AF296">
        <v>60</v>
      </c>
      <c r="AG296">
        <v>40</v>
      </c>
      <c r="AH296">
        <v>60</v>
      </c>
      <c r="AI296">
        <v>50</v>
      </c>
      <c r="AJ296">
        <v>50</v>
      </c>
      <c r="AK296">
        <v>57</v>
      </c>
      <c r="AL296">
        <v>43</v>
      </c>
      <c r="AM296">
        <v>25</v>
      </c>
      <c r="AN296">
        <v>75</v>
      </c>
      <c r="AO296">
        <v>31</v>
      </c>
      <c r="AP296">
        <v>69</v>
      </c>
      <c r="AQ296">
        <v>40</v>
      </c>
      <c r="AR296">
        <v>60</v>
      </c>
      <c r="AS296">
        <v>40</v>
      </c>
      <c r="AT296">
        <v>60</v>
      </c>
      <c r="AU296">
        <v>90</v>
      </c>
      <c r="AV296">
        <v>40</v>
      </c>
      <c r="AW296">
        <v>6</v>
      </c>
      <c r="AX296">
        <v>1.2</v>
      </c>
      <c r="AY296">
        <v>6</v>
      </c>
      <c r="AZ296">
        <v>1.2</v>
      </c>
      <c r="BA296">
        <v>18</v>
      </c>
      <c r="BB296">
        <v>19</v>
      </c>
      <c r="BC296">
        <v>12</v>
      </c>
      <c r="BD296">
        <v>6</v>
      </c>
      <c r="BE296">
        <v>5</v>
      </c>
      <c r="BF296">
        <v>6</v>
      </c>
      <c r="BG296">
        <v>1</v>
      </c>
      <c r="BH296">
        <v>7</v>
      </c>
      <c r="BI296">
        <v>35</v>
      </c>
      <c r="BJ296">
        <v>23</v>
      </c>
      <c r="BK296">
        <v>18</v>
      </c>
      <c r="BL296">
        <v>25</v>
      </c>
      <c r="BM296">
        <v>1.9</v>
      </c>
      <c r="BN296">
        <v>1.2</v>
      </c>
      <c r="BO296">
        <v>1</v>
      </c>
      <c r="BP296">
        <v>1.3</v>
      </c>
      <c r="BQ296">
        <v>3</v>
      </c>
      <c r="BR296">
        <v>3</v>
      </c>
      <c r="BS296">
        <v>1</v>
      </c>
      <c r="BT296">
        <v>0</v>
      </c>
      <c r="BU296">
        <v>0</v>
      </c>
      <c r="BV296">
        <v>0</v>
      </c>
      <c r="BW296">
        <v>2</v>
      </c>
      <c r="BX296">
        <v>3</v>
      </c>
      <c r="BY296">
        <v>9</v>
      </c>
      <c r="BZ296">
        <v>1.8</v>
      </c>
      <c r="CA296">
        <v>6</v>
      </c>
      <c r="CB296">
        <v>1.2</v>
      </c>
      <c r="CC296">
        <v>19</v>
      </c>
      <c r="CD296">
        <v>18</v>
      </c>
      <c r="CE296">
        <v>11</v>
      </c>
      <c r="CF296">
        <v>7</v>
      </c>
      <c r="CG296">
        <v>6</v>
      </c>
      <c r="CH296">
        <v>6</v>
      </c>
      <c r="CI296">
        <v>2</v>
      </c>
      <c r="CJ296">
        <v>5</v>
      </c>
      <c r="CK296">
        <v>27</v>
      </c>
      <c r="CL296">
        <v>22</v>
      </c>
      <c r="CM296">
        <v>10</v>
      </c>
      <c r="CN296">
        <v>22</v>
      </c>
      <c r="CO296">
        <v>1.4</v>
      </c>
      <c r="CP296">
        <v>1.2</v>
      </c>
      <c r="CQ296">
        <v>0.5</v>
      </c>
      <c r="CR296">
        <v>1.2</v>
      </c>
      <c r="CS296">
        <v>3</v>
      </c>
      <c r="CT296">
        <v>3</v>
      </c>
      <c r="CU296">
        <v>3</v>
      </c>
      <c r="CV296">
        <v>2</v>
      </c>
      <c r="CW296">
        <v>0</v>
      </c>
      <c r="CX296">
        <v>0</v>
      </c>
      <c r="CY296">
        <v>0</v>
      </c>
      <c r="CZ296">
        <v>1</v>
      </c>
    </row>
    <row r="297" spans="1:104" x14ac:dyDescent="0.25">
      <c r="A297" s="1" t="s">
        <v>1892</v>
      </c>
      <c r="B297">
        <v>6341</v>
      </c>
      <c r="C297">
        <v>3594</v>
      </c>
      <c r="D297" s="2">
        <v>43716</v>
      </c>
      <c r="E297" s="3">
        <f t="shared" si="12"/>
        <v>2019</v>
      </c>
      <c r="F297" s="3">
        <f t="shared" si="13"/>
        <v>9</v>
      </c>
      <c r="G297" s="3">
        <f t="shared" si="14"/>
        <v>1</v>
      </c>
      <c r="H297" t="s">
        <v>1893</v>
      </c>
      <c r="I297">
        <v>914</v>
      </c>
      <c r="J297" t="s">
        <v>1894</v>
      </c>
      <c r="K297" t="s">
        <v>329</v>
      </c>
      <c r="L297">
        <v>2019</v>
      </c>
      <c r="M297" t="s">
        <v>1895</v>
      </c>
      <c r="N297" t="s">
        <v>1893</v>
      </c>
      <c r="O297" t="s">
        <v>1896</v>
      </c>
      <c r="P297">
        <v>7500</v>
      </c>
      <c r="Q297" t="s">
        <v>329</v>
      </c>
      <c r="S297" t="s">
        <v>1897</v>
      </c>
      <c r="T297" t="s">
        <v>1898</v>
      </c>
      <c r="U297">
        <v>4033</v>
      </c>
      <c r="V297" t="s">
        <v>329</v>
      </c>
      <c r="W297">
        <v>1966</v>
      </c>
      <c r="X297">
        <v>1</v>
      </c>
      <c r="Y297">
        <v>-3.5</v>
      </c>
      <c r="Z297">
        <v>-2.5</v>
      </c>
      <c r="AB297">
        <v>50</v>
      </c>
      <c r="AC297">
        <v>50</v>
      </c>
      <c r="AD297">
        <v>0</v>
      </c>
      <c r="AE297">
        <v>100</v>
      </c>
      <c r="AF297">
        <v>0</v>
      </c>
      <c r="AG297">
        <v>100</v>
      </c>
      <c r="AH297">
        <v>0</v>
      </c>
      <c r="AI297">
        <v>100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100</v>
      </c>
      <c r="AR297">
        <v>11</v>
      </c>
      <c r="AS297">
        <v>100</v>
      </c>
      <c r="AT297">
        <v>0</v>
      </c>
      <c r="AU297">
        <v>0</v>
      </c>
      <c r="AV297">
        <v>89</v>
      </c>
      <c r="AW297">
        <v>2</v>
      </c>
      <c r="AX297">
        <v>2</v>
      </c>
      <c r="AY297">
        <v>0</v>
      </c>
      <c r="AZ297">
        <v>0</v>
      </c>
      <c r="BA297">
        <v>0</v>
      </c>
      <c r="BB297">
        <v>1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2</v>
      </c>
      <c r="BK297">
        <v>0</v>
      </c>
      <c r="BL297">
        <v>0</v>
      </c>
      <c r="BM297">
        <v>0</v>
      </c>
      <c r="BN297">
        <v>2</v>
      </c>
      <c r="BO297">
        <v>0</v>
      </c>
      <c r="BP297">
        <v>0</v>
      </c>
      <c r="BQ297">
        <v>1</v>
      </c>
      <c r="BR297">
        <v>1</v>
      </c>
      <c r="BS297">
        <v>1</v>
      </c>
      <c r="BT297">
        <v>0</v>
      </c>
      <c r="BU297">
        <v>0</v>
      </c>
      <c r="BV297">
        <v>0</v>
      </c>
      <c r="BW297">
        <v>0</v>
      </c>
      <c r="BX297">
        <v>1</v>
      </c>
      <c r="BY297">
        <v>0</v>
      </c>
      <c r="BZ297">
        <v>0</v>
      </c>
      <c r="CA297">
        <v>2</v>
      </c>
      <c r="CB297">
        <v>2</v>
      </c>
      <c r="CC297">
        <v>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</v>
      </c>
      <c r="CJ297">
        <v>0</v>
      </c>
      <c r="CK297">
        <v>0</v>
      </c>
      <c r="CL297">
        <v>0</v>
      </c>
      <c r="CM297">
        <v>2</v>
      </c>
      <c r="CN297">
        <v>0</v>
      </c>
      <c r="CO297">
        <v>0</v>
      </c>
      <c r="CP297">
        <v>0</v>
      </c>
      <c r="CQ297">
        <v>2</v>
      </c>
      <c r="CR297">
        <v>0</v>
      </c>
      <c r="CS297">
        <v>1</v>
      </c>
      <c r="CT297">
        <v>1</v>
      </c>
      <c r="CU297">
        <v>1</v>
      </c>
      <c r="CV297">
        <v>0</v>
      </c>
      <c r="CW297">
        <v>0</v>
      </c>
      <c r="CX297">
        <v>0</v>
      </c>
      <c r="CY297">
        <v>0</v>
      </c>
      <c r="CZ297">
        <v>1</v>
      </c>
    </row>
    <row r="298" spans="1:104" x14ac:dyDescent="0.25">
      <c r="A298" s="1" t="s">
        <v>1899</v>
      </c>
      <c r="B298">
        <v>8104</v>
      </c>
      <c r="C298">
        <v>8092</v>
      </c>
      <c r="D298" s="2">
        <v>43695</v>
      </c>
      <c r="E298" s="3">
        <f t="shared" si="12"/>
        <v>2019</v>
      </c>
      <c r="F298" s="3">
        <f t="shared" si="13"/>
        <v>8</v>
      </c>
      <c r="G298" s="3">
        <f t="shared" si="14"/>
        <v>1</v>
      </c>
      <c r="H298" t="s">
        <v>1900</v>
      </c>
      <c r="I298">
        <v>2108</v>
      </c>
      <c r="J298" t="s">
        <v>1901</v>
      </c>
      <c r="K298" t="s">
        <v>1902</v>
      </c>
      <c r="L298">
        <v>2019</v>
      </c>
      <c r="M298" t="s">
        <v>405</v>
      </c>
      <c r="Q298" t="s">
        <v>1902</v>
      </c>
      <c r="R298">
        <v>2005</v>
      </c>
      <c r="V298" t="s">
        <v>1902</v>
      </c>
      <c r="X298" t="s">
        <v>109</v>
      </c>
      <c r="Y298">
        <v>-3.5</v>
      </c>
      <c r="AA298">
        <v>-1.5</v>
      </c>
      <c r="AB298">
        <v>45</v>
      </c>
      <c r="AC298">
        <v>45</v>
      </c>
      <c r="AD298">
        <v>10</v>
      </c>
      <c r="AE298">
        <v>100</v>
      </c>
      <c r="AF298">
        <v>0</v>
      </c>
      <c r="AG298">
        <v>0</v>
      </c>
      <c r="AH298">
        <v>100</v>
      </c>
      <c r="AI298">
        <v>100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33</v>
      </c>
      <c r="AR298">
        <v>0</v>
      </c>
      <c r="AS298">
        <v>100</v>
      </c>
      <c r="AT298">
        <v>0</v>
      </c>
      <c r="AU298">
        <v>7</v>
      </c>
      <c r="AV298">
        <v>86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0</v>
      </c>
      <c r="BV298">
        <v>0</v>
      </c>
      <c r="BW298">
        <v>0</v>
      </c>
      <c r="BX298">
        <v>0</v>
      </c>
      <c r="BY298">
        <v>1</v>
      </c>
      <c r="BZ298">
        <v>1</v>
      </c>
      <c r="CA298">
        <v>2</v>
      </c>
      <c r="CB298">
        <v>2</v>
      </c>
      <c r="CC298">
        <v>1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1</v>
      </c>
      <c r="CJ298">
        <v>0</v>
      </c>
      <c r="CK298">
        <v>1</v>
      </c>
      <c r="CL298">
        <v>0</v>
      </c>
      <c r="CM298">
        <v>2</v>
      </c>
      <c r="CN298">
        <v>0</v>
      </c>
      <c r="CO298">
        <v>1</v>
      </c>
      <c r="CP298">
        <v>0</v>
      </c>
      <c r="CQ298">
        <v>2</v>
      </c>
      <c r="CR298">
        <v>0</v>
      </c>
      <c r="CS298">
        <v>1</v>
      </c>
      <c r="CT298">
        <v>1</v>
      </c>
      <c r="CU298">
        <v>0</v>
      </c>
      <c r="CV298">
        <v>0</v>
      </c>
      <c r="CW298">
        <v>0</v>
      </c>
      <c r="CX298">
        <v>0</v>
      </c>
      <c r="CY298">
        <v>1</v>
      </c>
      <c r="CZ298">
        <v>1</v>
      </c>
    </row>
    <row r="299" spans="1:104" x14ac:dyDescent="0.25">
      <c r="A299" s="1" t="s">
        <v>1903</v>
      </c>
      <c r="B299">
        <v>3987</v>
      </c>
      <c r="C299">
        <v>4022</v>
      </c>
      <c r="D299" s="2">
        <v>44083</v>
      </c>
      <c r="E299" s="3">
        <f t="shared" si="12"/>
        <v>2020</v>
      </c>
      <c r="F299" s="3">
        <f t="shared" si="13"/>
        <v>9</v>
      </c>
      <c r="G299" s="3">
        <f t="shared" si="14"/>
        <v>4</v>
      </c>
      <c r="H299" t="s">
        <v>1904</v>
      </c>
      <c r="I299">
        <v>1328</v>
      </c>
      <c r="J299" t="s">
        <v>1905</v>
      </c>
      <c r="K299" t="s">
        <v>612</v>
      </c>
      <c r="L299">
        <v>2020</v>
      </c>
      <c r="M299" t="s">
        <v>249</v>
      </c>
      <c r="N299" t="s">
        <v>1904</v>
      </c>
      <c r="O299" t="s">
        <v>1906</v>
      </c>
      <c r="P299">
        <v>5803</v>
      </c>
      <c r="Q299" t="s">
        <v>612</v>
      </c>
      <c r="R299">
        <v>2018</v>
      </c>
      <c r="S299" t="s">
        <v>1907</v>
      </c>
      <c r="T299" t="s">
        <v>1908</v>
      </c>
      <c r="U299">
        <v>10018</v>
      </c>
      <c r="V299" t="s">
        <v>612</v>
      </c>
      <c r="W299">
        <v>2013</v>
      </c>
      <c r="X299" t="s">
        <v>109</v>
      </c>
      <c r="Z299">
        <v>-2.5</v>
      </c>
      <c r="AA299">
        <v>-2.5</v>
      </c>
      <c r="AB299">
        <v>45</v>
      </c>
      <c r="AC299">
        <v>45</v>
      </c>
      <c r="AD299">
        <v>10</v>
      </c>
      <c r="AE299">
        <v>58</v>
      </c>
      <c r="AF299">
        <v>42</v>
      </c>
      <c r="AG299">
        <v>65</v>
      </c>
      <c r="AH299">
        <v>35</v>
      </c>
      <c r="AI299">
        <v>44</v>
      </c>
      <c r="AJ299">
        <v>56</v>
      </c>
      <c r="AK299">
        <v>44</v>
      </c>
      <c r="AL299">
        <v>56</v>
      </c>
      <c r="AM299">
        <v>85</v>
      </c>
      <c r="AN299">
        <v>15</v>
      </c>
      <c r="AO299">
        <v>68</v>
      </c>
      <c r="AP299">
        <v>32</v>
      </c>
      <c r="AQ299">
        <v>47</v>
      </c>
      <c r="AR299">
        <v>55</v>
      </c>
      <c r="AS299">
        <v>50</v>
      </c>
      <c r="AT299">
        <v>33</v>
      </c>
      <c r="AU299">
        <v>30</v>
      </c>
      <c r="AV299">
        <v>60</v>
      </c>
      <c r="AW299">
        <v>11</v>
      </c>
      <c r="AX299">
        <v>2.2000000000000002</v>
      </c>
      <c r="AY299">
        <v>10</v>
      </c>
      <c r="AZ299">
        <v>2</v>
      </c>
      <c r="BA299">
        <v>5</v>
      </c>
      <c r="BB299">
        <v>5</v>
      </c>
      <c r="BC299">
        <v>2</v>
      </c>
      <c r="BD299">
        <v>1</v>
      </c>
      <c r="BE299">
        <v>1</v>
      </c>
      <c r="BF299">
        <v>4</v>
      </c>
      <c r="BG299">
        <v>2</v>
      </c>
      <c r="BH299">
        <v>0</v>
      </c>
      <c r="BI299">
        <v>9</v>
      </c>
      <c r="BJ299">
        <v>11</v>
      </c>
      <c r="BK299">
        <v>9</v>
      </c>
      <c r="BL299">
        <v>10</v>
      </c>
      <c r="BM299">
        <v>1.8</v>
      </c>
      <c r="BN299">
        <v>2.2000000000000002</v>
      </c>
      <c r="BO299">
        <v>1.8</v>
      </c>
      <c r="BP299">
        <v>2</v>
      </c>
      <c r="BQ299">
        <v>3</v>
      </c>
      <c r="BR299">
        <v>2</v>
      </c>
      <c r="BS299">
        <v>2</v>
      </c>
      <c r="BT299">
        <v>1</v>
      </c>
      <c r="BU299">
        <v>1</v>
      </c>
      <c r="BV299">
        <v>1</v>
      </c>
      <c r="BW299">
        <v>0</v>
      </c>
      <c r="BX299">
        <v>0</v>
      </c>
      <c r="BY299">
        <v>6</v>
      </c>
      <c r="BZ299">
        <v>1.2</v>
      </c>
      <c r="CA299">
        <v>8</v>
      </c>
      <c r="CB299">
        <v>1.6</v>
      </c>
      <c r="CC299">
        <v>4</v>
      </c>
      <c r="CD299">
        <v>6</v>
      </c>
      <c r="CE299">
        <v>1</v>
      </c>
      <c r="CF299">
        <v>2</v>
      </c>
      <c r="CG299">
        <v>2</v>
      </c>
      <c r="CH299">
        <v>3</v>
      </c>
      <c r="CI299">
        <v>1</v>
      </c>
      <c r="CJ299">
        <v>1</v>
      </c>
      <c r="CK299">
        <v>5</v>
      </c>
      <c r="CL299">
        <v>7</v>
      </c>
      <c r="CM299">
        <v>5</v>
      </c>
      <c r="CN299">
        <v>6</v>
      </c>
      <c r="CO299">
        <v>1.3</v>
      </c>
      <c r="CP299">
        <v>1.2</v>
      </c>
      <c r="CQ299">
        <v>1.3</v>
      </c>
      <c r="CR299">
        <v>1</v>
      </c>
      <c r="CS299">
        <v>2</v>
      </c>
      <c r="CT299">
        <v>3</v>
      </c>
      <c r="CU299">
        <v>0</v>
      </c>
      <c r="CV299">
        <v>0</v>
      </c>
      <c r="CW299">
        <v>1</v>
      </c>
      <c r="CX299">
        <v>1</v>
      </c>
      <c r="CY299">
        <v>1</v>
      </c>
      <c r="CZ299">
        <v>2</v>
      </c>
    </row>
    <row r="300" spans="1:104" x14ac:dyDescent="0.25">
      <c r="A300" s="1" t="s">
        <v>1909</v>
      </c>
      <c r="B300">
        <v>2808</v>
      </c>
      <c r="C300">
        <v>2813</v>
      </c>
      <c r="D300" s="2">
        <v>43772</v>
      </c>
      <c r="E300" s="3">
        <f t="shared" si="12"/>
        <v>2019</v>
      </c>
      <c r="F300" s="3">
        <f t="shared" si="13"/>
        <v>11</v>
      </c>
      <c r="G300" s="3">
        <f t="shared" si="14"/>
        <v>1</v>
      </c>
      <c r="H300" t="s">
        <v>1910</v>
      </c>
      <c r="I300">
        <v>398</v>
      </c>
      <c r="J300" t="s">
        <v>344</v>
      </c>
      <c r="K300" t="s">
        <v>665</v>
      </c>
      <c r="L300">
        <v>2019</v>
      </c>
      <c r="M300" t="s">
        <v>1911</v>
      </c>
      <c r="N300" t="s">
        <v>1912</v>
      </c>
      <c r="O300" t="s">
        <v>1913</v>
      </c>
      <c r="P300">
        <v>23940</v>
      </c>
      <c r="Q300" t="s">
        <v>665</v>
      </c>
      <c r="R300">
        <v>1967</v>
      </c>
      <c r="S300" t="s">
        <v>1912</v>
      </c>
      <c r="T300" t="s">
        <v>1913</v>
      </c>
      <c r="U300">
        <v>23940</v>
      </c>
      <c r="V300" t="s">
        <v>665</v>
      </c>
      <c r="W300">
        <v>2008</v>
      </c>
      <c r="X300" t="s">
        <v>109</v>
      </c>
      <c r="Z300">
        <v>-2.5</v>
      </c>
      <c r="AA300">
        <v>-1.5</v>
      </c>
      <c r="AB300">
        <v>45</v>
      </c>
      <c r="AC300">
        <v>45</v>
      </c>
      <c r="AD300">
        <v>10</v>
      </c>
      <c r="AE300">
        <v>76</v>
      </c>
      <c r="AF300">
        <v>24</v>
      </c>
      <c r="AG300">
        <v>77</v>
      </c>
      <c r="AH300">
        <v>23</v>
      </c>
      <c r="AI300">
        <v>57</v>
      </c>
      <c r="AJ300">
        <v>43</v>
      </c>
      <c r="AK300">
        <v>60</v>
      </c>
      <c r="AL300">
        <v>40</v>
      </c>
      <c r="AM300">
        <v>60</v>
      </c>
      <c r="AN300">
        <v>40</v>
      </c>
      <c r="AO300">
        <v>56</v>
      </c>
      <c r="AP300">
        <v>44</v>
      </c>
      <c r="AQ300">
        <v>87</v>
      </c>
      <c r="AR300">
        <v>100</v>
      </c>
      <c r="AS300">
        <v>57</v>
      </c>
      <c r="AT300">
        <v>27</v>
      </c>
      <c r="AU300">
        <v>43</v>
      </c>
      <c r="AV300">
        <v>43</v>
      </c>
      <c r="AW300">
        <v>10</v>
      </c>
      <c r="AX300">
        <v>2</v>
      </c>
      <c r="AY300">
        <v>3</v>
      </c>
      <c r="AZ300">
        <v>0.6</v>
      </c>
      <c r="BA300">
        <v>18</v>
      </c>
      <c r="BB300">
        <v>19</v>
      </c>
      <c r="BC300">
        <v>9</v>
      </c>
      <c r="BD300">
        <v>9</v>
      </c>
      <c r="BE300">
        <v>5</v>
      </c>
      <c r="BF300">
        <v>6</v>
      </c>
      <c r="BG300">
        <v>4</v>
      </c>
      <c r="BH300">
        <v>4</v>
      </c>
      <c r="BI300">
        <v>32</v>
      </c>
      <c r="BJ300">
        <v>25</v>
      </c>
      <c r="BK300">
        <v>20</v>
      </c>
      <c r="BL300">
        <v>12</v>
      </c>
      <c r="BM300">
        <v>1.8</v>
      </c>
      <c r="BN300">
        <v>1.3</v>
      </c>
      <c r="BO300">
        <v>1.1000000000000001</v>
      </c>
      <c r="BP300">
        <v>0.6</v>
      </c>
      <c r="BQ300">
        <v>11</v>
      </c>
      <c r="BR300">
        <v>13</v>
      </c>
      <c r="BS300">
        <v>9</v>
      </c>
      <c r="BT300">
        <v>9</v>
      </c>
      <c r="BU300">
        <v>0</v>
      </c>
      <c r="BV300">
        <v>3</v>
      </c>
      <c r="BW300">
        <v>2</v>
      </c>
      <c r="BX300">
        <v>1</v>
      </c>
      <c r="BY300">
        <v>3</v>
      </c>
      <c r="BZ300">
        <v>0.6</v>
      </c>
      <c r="CA300">
        <v>4</v>
      </c>
      <c r="CB300">
        <v>0.8</v>
      </c>
      <c r="CC300">
        <v>18</v>
      </c>
      <c r="CD300">
        <v>17</v>
      </c>
      <c r="CE300">
        <v>9</v>
      </c>
      <c r="CF300">
        <v>3</v>
      </c>
      <c r="CG300">
        <v>5</v>
      </c>
      <c r="CH300">
        <v>7</v>
      </c>
      <c r="CI300">
        <v>4</v>
      </c>
      <c r="CJ300">
        <v>7</v>
      </c>
      <c r="CK300">
        <v>37</v>
      </c>
      <c r="CL300">
        <v>17</v>
      </c>
      <c r="CM300">
        <v>16</v>
      </c>
      <c r="CN300">
        <v>21</v>
      </c>
      <c r="CO300">
        <v>2.1</v>
      </c>
      <c r="CP300">
        <v>1</v>
      </c>
      <c r="CQ300">
        <v>0.9</v>
      </c>
      <c r="CR300">
        <v>1.2</v>
      </c>
      <c r="CS300">
        <v>13</v>
      </c>
      <c r="CT300">
        <v>11</v>
      </c>
      <c r="CU300">
        <v>1</v>
      </c>
      <c r="CV300">
        <v>2</v>
      </c>
      <c r="CW300">
        <v>3</v>
      </c>
      <c r="CX300">
        <v>0</v>
      </c>
      <c r="CY300">
        <v>9</v>
      </c>
      <c r="CZ300">
        <v>9</v>
      </c>
    </row>
    <row r="301" spans="1:104" x14ac:dyDescent="0.25">
      <c r="A301" s="1" t="s">
        <v>1914</v>
      </c>
      <c r="B301">
        <v>12397</v>
      </c>
      <c r="C301">
        <v>12400</v>
      </c>
      <c r="D301" s="2">
        <v>43751</v>
      </c>
      <c r="E301" s="3">
        <f t="shared" si="12"/>
        <v>2019</v>
      </c>
      <c r="F301" s="3">
        <f t="shared" si="13"/>
        <v>10</v>
      </c>
      <c r="G301" s="3">
        <f t="shared" si="14"/>
        <v>1</v>
      </c>
      <c r="H301" t="s">
        <v>1915</v>
      </c>
      <c r="I301">
        <v>2159</v>
      </c>
      <c r="J301" t="s">
        <v>1916</v>
      </c>
      <c r="K301" t="s">
        <v>597</v>
      </c>
      <c r="L301">
        <v>2019</v>
      </c>
      <c r="M301" t="s">
        <v>1917</v>
      </c>
      <c r="N301" t="s">
        <v>1915</v>
      </c>
      <c r="O301" t="s">
        <v>1918</v>
      </c>
      <c r="P301">
        <v>2000</v>
      </c>
      <c r="Q301" t="s">
        <v>597</v>
      </c>
      <c r="S301" t="s">
        <v>1919</v>
      </c>
      <c r="T301" t="s">
        <v>1920</v>
      </c>
      <c r="U301">
        <v>3000</v>
      </c>
      <c r="V301" t="s">
        <v>597</v>
      </c>
      <c r="X301" t="s">
        <v>125</v>
      </c>
      <c r="Y301">
        <v>-3.5</v>
      </c>
      <c r="Z301">
        <v>-1.5</v>
      </c>
      <c r="AA301">
        <v>-1.5</v>
      </c>
      <c r="AB301">
        <v>0</v>
      </c>
      <c r="AC301">
        <v>50</v>
      </c>
      <c r="AD301">
        <v>50</v>
      </c>
      <c r="AE301">
        <v>20</v>
      </c>
      <c r="AF301">
        <v>80</v>
      </c>
      <c r="AG301">
        <v>33</v>
      </c>
      <c r="AH301">
        <v>67</v>
      </c>
      <c r="AI301">
        <v>40</v>
      </c>
      <c r="AJ301">
        <v>60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11</v>
      </c>
      <c r="AR301">
        <v>9</v>
      </c>
      <c r="AS301">
        <v>73</v>
      </c>
      <c r="AT301">
        <v>44</v>
      </c>
      <c r="AU301">
        <v>18</v>
      </c>
      <c r="AV301">
        <v>82</v>
      </c>
      <c r="AW301">
        <v>1</v>
      </c>
      <c r="AX301">
        <v>0.3</v>
      </c>
      <c r="AY301">
        <v>3</v>
      </c>
      <c r="AZ301">
        <v>1</v>
      </c>
      <c r="BA301">
        <v>1</v>
      </c>
      <c r="BB301">
        <v>2</v>
      </c>
      <c r="BC301">
        <v>0</v>
      </c>
      <c r="BD301">
        <v>0</v>
      </c>
      <c r="BE301">
        <v>1</v>
      </c>
      <c r="BF301">
        <v>0</v>
      </c>
      <c r="BG301">
        <v>0</v>
      </c>
      <c r="BH301">
        <v>2</v>
      </c>
      <c r="BI301">
        <v>0</v>
      </c>
      <c r="BJ301">
        <v>1</v>
      </c>
      <c r="BK301">
        <v>0</v>
      </c>
      <c r="BL301">
        <v>3</v>
      </c>
      <c r="BM301">
        <v>0</v>
      </c>
      <c r="BN301">
        <v>0.5</v>
      </c>
      <c r="BO301">
        <v>0</v>
      </c>
      <c r="BP301">
        <v>1.5</v>
      </c>
      <c r="BQ301">
        <v>1</v>
      </c>
      <c r="BR301">
        <v>1</v>
      </c>
      <c r="BS301">
        <v>0</v>
      </c>
      <c r="BT301">
        <v>0</v>
      </c>
      <c r="BU301">
        <v>1</v>
      </c>
      <c r="BV301">
        <v>0</v>
      </c>
      <c r="BW301">
        <v>0</v>
      </c>
      <c r="BX301">
        <v>1</v>
      </c>
      <c r="BY301">
        <v>2</v>
      </c>
      <c r="BZ301">
        <v>0.7</v>
      </c>
      <c r="CA301">
        <v>2</v>
      </c>
      <c r="CB301">
        <v>0.7</v>
      </c>
      <c r="CC301">
        <v>2</v>
      </c>
      <c r="CD301">
        <v>1</v>
      </c>
      <c r="CE301">
        <v>0</v>
      </c>
      <c r="CF301">
        <v>1</v>
      </c>
      <c r="CG301">
        <v>1</v>
      </c>
      <c r="CH301">
        <v>0</v>
      </c>
      <c r="CI301">
        <v>1</v>
      </c>
      <c r="CJ301">
        <v>0</v>
      </c>
      <c r="CK301">
        <v>1</v>
      </c>
      <c r="CL301">
        <v>1</v>
      </c>
      <c r="CM301">
        <v>2</v>
      </c>
      <c r="CN301">
        <v>0</v>
      </c>
      <c r="CO301">
        <v>0.5</v>
      </c>
      <c r="CP301">
        <v>1</v>
      </c>
      <c r="CQ301">
        <v>1</v>
      </c>
      <c r="CR301">
        <v>0</v>
      </c>
      <c r="CS301">
        <v>1</v>
      </c>
      <c r="CT301">
        <v>1</v>
      </c>
      <c r="CU301">
        <v>1</v>
      </c>
      <c r="CV301">
        <v>0</v>
      </c>
      <c r="CW301">
        <v>0</v>
      </c>
      <c r="CX301">
        <v>1</v>
      </c>
      <c r="CY301">
        <v>0</v>
      </c>
      <c r="CZ301">
        <v>0</v>
      </c>
    </row>
    <row r="302" spans="1:104" x14ac:dyDescent="0.25">
      <c r="A302" s="1" t="s">
        <v>1921</v>
      </c>
      <c r="B302">
        <v>9892</v>
      </c>
      <c r="C302">
        <v>9391</v>
      </c>
      <c r="D302" s="2">
        <v>43898</v>
      </c>
      <c r="E302" s="3">
        <f t="shared" si="12"/>
        <v>2020</v>
      </c>
      <c r="F302" s="3">
        <f t="shared" si="13"/>
        <v>3</v>
      </c>
      <c r="G302" s="3">
        <f t="shared" si="14"/>
        <v>1</v>
      </c>
      <c r="H302" t="s">
        <v>1922</v>
      </c>
      <c r="I302">
        <v>1285</v>
      </c>
      <c r="J302" t="s">
        <v>397</v>
      </c>
      <c r="K302" t="s">
        <v>380</v>
      </c>
      <c r="L302">
        <v>2019</v>
      </c>
      <c r="M302" t="s">
        <v>1923</v>
      </c>
      <c r="N302" t="s">
        <v>1922</v>
      </c>
      <c r="O302" t="s">
        <v>1517</v>
      </c>
      <c r="P302">
        <v>1000</v>
      </c>
      <c r="Q302" t="s">
        <v>380</v>
      </c>
      <c r="S302" t="s">
        <v>571</v>
      </c>
      <c r="T302" t="s">
        <v>573</v>
      </c>
      <c r="U302">
        <v>2000</v>
      </c>
      <c r="V302" t="s">
        <v>380</v>
      </c>
      <c r="W302">
        <v>1935</v>
      </c>
      <c r="X302" t="s">
        <v>125</v>
      </c>
      <c r="Z302">
        <v>-1.5</v>
      </c>
      <c r="AA302">
        <v>-2.5</v>
      </c>
      <c r="AB302">
        <v>10</v>
      </c>
      <c r="AC302">
        <v>45</v>
      </c>
      <c r="AD302">
        <v>45</v>
      </c>
      <c r="AE302">
        <v>38</v>
      </c>
      <c r="AF302">
        <v>63</v>
      </c>
      <c r="AG302">
        <v>33</v>
      </c>
      <c r="AH302">
        <v>67</v>
      </c>
      <c r="AI302">
        <v>43</v>
      </c>
      <c r="AJ302">
        <v>57</v>
      </c>
      <c r="AK302">
        <v>35</v>
      </c>
      <c r="AL302">
        <v>65</v>
      </c>
      <c r="AM302">
        <v>0</v>
      </c>
      <c r="AN302">
        <v>100</v>
      </c>
      <c r="AO302">
        <v>0</v>
      </c>
      <c r="AP302">
        <v>100</v>
      </c>
      <c r="AQ302">
        <v>20</v>
      </c>
      <c r="AR302">
        <v>17</v>
      </c>
      <c r="AS302">
        <v>28</v>
      </c>
      <c r="AT302">
        <v>33</v>
      </c>
      <c r="AU302">
        <v>33</v>
      </c>
      <c r="AV302">
        <v>44</v>
      </c>
      <c r="AW302">
        <v>3</v>
      </c>
      <c r="AX302">
        <v>0.6</v>
      </c>
      <c r="AY302">
        <v>13</v>
      </c>
      <c r="AZ302">
        <v>2.6</v>
      </c>
      <c r="BA302">
        <v>13</v>
      </c>
      <c r="BB302">
        <v>14</v>
      </c>
      <c r="BC302">
        <v>5</v>
      </c>
      <c r="BD302">
        <v>1</v>
      </c>
      <c r="BE302">
        <v>2</v>
      </c>
      <c r="BF302">
        <v>2</v>
      </c>
      <c r="BG302">
        <v>6</v>
      </c>
      <c r="BH302">
        <v>11</v>
      </c>
      <c r="BI302">
        <v>17</v>
      </c>
      <c r="BJ302">
        <v>5</v>
      </c>
      <c r="BK302">
        <v>24</v>
      </c>
      <c r="BL302">
        <v>31</v>
      </c>
      <c r="BM302">
        <v>1.3</v>
      </c>
      <c r="BN302">
        <v>0.4</v>
      </c>
      <c r="BO302">
        <v>1.8</v>
      </c>
      <c r="BP302">
        <v>2.2000000000000002</v>
      </c>
      <c r="BQ302">
        <v>1</v>
      </c>
      <c r="BR302">
        <v>1</v>
      </c>
      <c r="BS302">
        <v>0</v>
      </c>
      <c r="BT302">
        <v>0</v>
      </c>
      <c r="BU302">
        <v>0</v>
      </c>
      <c r="BV302">
        <v>0</v>
      </c>
      <c r="BW302">
        <v>1</v>
      </c>
      <c r="BX302">
        <v>1</v>
      </c>
      <c r="BY302">
        <v>6</v>
      </c>
      <c r="BZ302">
        <v>1.2</v>
      </c>
      <c r="CA302">
        <v>10</v>
      </c>
      <c r="CB302">
        <v>2</v>
      </c>
      <c r="CC302">
        <v>14</v>
      </c>
      <c r="CD302">
        <v>13</v>
      </c>
      <c r="CE302">
        <v>6</v>
      </c>
      <c r="CF302">
        <v>3</v>
      </c>
      <c r="CG302">
        <v>6</v>
      </c>
      <c r="CH302">
        <v>7</v>
      </c>
      <c r="CI302">
        <v>2</v>
      </c>
      <c r="CJ302">
        <v>3</v>
      </c>
      <c r="CK302">
        <v>25</v>
      </c>
      <c r="CL302">
        <v>16</v>
      </c>
      <c r="CM302">
        <v>20</v>
      </c>
      <c r="CN302">
        <v>17</v>
      </c>
      <c r="CO302">
        <v>1.8</v>
      </c>
      <c r="CP302">
        <v>1.2</v>
      </c>
      <c r="CQ302">
        <v>1.4</v>
      </c>
      <c r="CR302">
        <v>1.3</v>
      </c>
      <c r="CS302">
        <v>1</v>
      </c>
      <c r="CT302">
        <v>1</v>
      </c>
      <c r="CU302">
        <v>1</v>
      </c>
      <c r="CV302">
        <v>1</v>
      </c>
      <c r="CW302">
        <v>0</v>
      </c>
      <c r="CX302">
        <v>0</v>
      </c>
      <c r="CY302">
        <v>0</v>
      </c>
      <c r="CZ302">
        <v>0</v>
      </c>
    </row>
    <row r="303" spans="1:104" x14ac:dyDescent="0.25">
      <c r="A303" s="1" t="s">
        <v>1924</v>
      </c>
      <c r="B303">
        <v>3599</v>
      </c>
      <c r="C303">
        <v>995</v>
      </c>
      <c r="D303" s="2">
        <v>43723</v>
      </c>
      <c r="E303" s="3">
        <f t="shared" si="12"/>
        <v>2019</v>
      </c>
      <c r="F303" s="3">
        <f t="shared" si="13"/>
        <v>9</v>
      </c>
      <c r="G303" s="3">
        <f t="shared" si="14"/>
        <v>1</v>
      </c>
      <c r="H303" t="s">
        <v>1925</v>
      </c>
      <c r="I303">
        <v>779</v>
      </c>
      <c r="J303" t="s">
        <v>1926</v>
      </c>
      <c r="K303" t="s">
        <v>329</v>
      </c>
      <c r="L303">
        <v>2019</v>
      </c>
      <c r="M303" t="s">
        <v>306</v>
      </c>
      <c r="N303" t="s">
        <v>1927</v>
      </c>
      <c r="O303" t="s">
        <v>1928</v>
      </c>
      <c r="P303">
        <v>5000</v>
      </c>
      <c r="Q303" t="s">
        <v>329</v>
      </c>
      <c r="R303">
        <v>1993</v>
      </c>
      <c r="S303" t="s">
        <v>1929</v>
      </c>
      <c r="T303" t="s">
        <v>1930</v>
      </c>
      <c r="U303">
        <v>12139</v>
      </c>
      <c r="V303" t="s">
        <v>329</v>
      </c>
      <c r="W303">
        <v>1970</v>
      </c>
      <c r="X303" t="s">
        <v>109</v>
      </c>
      <c r="Y303">
        <v>-3.5</v>
      </c>
      <c r="Z303">
        <v>-1.5</v>
      </c>
      <c r="AA303">
        <v>-1.5</v>
      </c>
      <c r="AB303">
        <v>35</v>
      </c>
      <c r="AC303">
        <v>35</v>
      </c>
      <c r="AD303">
        <v>30</v>
      </c>
      <c r="AE303">
        <v>50</v>
      </c>
      <c r="AF303">
        <v>50</v>
      </c>
      <c r="AG303">
        <v>60</v>
      </c>
      <c r="AH303">
        <v>40</v>
      </c>
      <c r="AI303">
        <v>29</v>
      </c>
      <c r="AJ303">
        <v>71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44</v>
      </c>
      <c r="AR303">
        <v>20</v>
      </c>
      <c r="AS303">
        <v>67</v>
      </c>
      <c r="AT303">
        <v>44</v>
      </c>
      <c r="AU303">
        <v>13</v>
      </c>
      <c r="AV303">
        <v>87</v>
      </c>
      <c r="AW303">
        <v>3</v>
      </c>
      <c r="AX303">
        <v>1</v>
      </c>
      <c r="AY303">
        <v>5</v>
      </c>
      <c r="AZ303">
        <v>1.7</v>
      </c>
      <c r="BA303">
        <v>1</v>
      </c>
      <c r="BB303">
        <v>2</v>
      </c>
      <c r="BC303">
        <v>0</v>
      </c>
      <c r="BD303">
        <v>1</v>
      </c>
      <c r="BE303">
        <v>0</v>
      </c>
      <c r="BF303">
        <v>1</v>
      </c>
      <c r="BG303">
        <v>1</v>
      </c>
      <c r="BH303">
        <v>0</v>
      </c>
      <c r="BI303">
        <v>0</v>
      </c>
      <c r="BJ303">
        <v>3</v>
      </c>
      <c r="BK303">
        <v>4</v>
      </c>
      <c r="BL303">
        <v>1</v>
      </c>
      <c r="BM303">
        <v>0</v>
      </c>
      <c r="BN303">
        <v>1.5</v>
      </c>
      <c r="BO303">
        <v>4</v>
      </c>
      <c r="BP303">
        <v>0.5</v>
      </c>
      <c r="BQ303">
        <v>1</v>
      </c>
      <c r="BR303">
        <v>1</v>
      </c>
      <c r="BS303">
        <v>0</v>
      </c>
      <c r="BT303">
        <v>0</v>
      </c>
      <c r="BU303">
        <v>0</v>
      </c>
      <c r="BV303">
        <v>1</v>
      </c>
      <c r="BW303">
        <v>1</v>
      </c>
      <c r="BX303">
        <v>0</v>
      </c>
      <c r="BY303">
        <v>2</v>
      </c>
      <c r="BZ303">
        <v>0.7</v>
      </c>
      <c r="CA303">
        <v>2</v>
      </c>
      <c r="CB303">
        <v>0.7</v>
      </c>
      <c r="CC303">
        <v>2</v>
      </c>
      <c r="CD303">
        <v>1</v>
      </c>
      <c r="CE303">
        <v>1</v>
      </c>
      <c r="CF303">
        <v>0</v>
      </c>
      <c r="CG303">
        <v>1</v>
      </c>
      <c r="CH303">
        <v>0</v>
      </c>
      <c r="CI303">
        <v>0</v>
      </c>
      <c r="CJ303">
        <v>1</v>
      </c>
      <c r="CK303">
        <v>1</v>
      </c>
      <c r="CL303">
        <v>1</v>
      </c>
      <c r="CM303">
        <v>0</v>
      </c>
      <c r="CN303">
        <v>2</v>
      </c>
      <c r="CO303">
        <v>0.5</v>
      </c>
      <c r="CP303">
        <v>1</v>
      </c>
      <c r="CQ303">
        <v>0</v>
      </c>
      <c r="CR303">
        <v>2</v>
      </c>
      <c r="CS303">
        <v>1</v>
      </c>
      <c r="CT303">
        <v>1</v>
      </c>
      <c r="CU303">
        <v>0</v>
      </c>
      <c r="CV303">
        <v>1</v>
      </c>
      <c r="CW303">
        <v>1</v>
      </c>
      <c r="CX303">
        <v>0</v>
      </c>
      <c r="CY303">
        <v>0</v>
      </c>
      <c r="CZ303">
        <v>0</v>
      </c>
    </row>
    <row r="304" spans="1:104" x14ac:dyDescent="0.25">
      <c r="A304" s="1" t="s">
        <v>1931</v>
      </c>
      <c r="B304">
        <v>1958</v>
      </c>
      <c r="C304">
        <v>2422</v>
      </c>
      <c r="D304" s="2">
        <v>43794</v>
      </c>
      <c r="E304" s="3">
        <f t="shared" si="12"/>
        <v>2019</v>
      </c>
      <c r="F304" s="3">
        <f t="shared" si="13"/>
        <v>11</v>
      </c>
      <c r="G304" s="3">
        <f t="shared" si="14"/>
        <v>2</v>
      </c>
      <c r="H304" t="s">
        <v>1932</v>
      </c>
      <c r="I304">
        <v>1098</v>
      </c>
      <c r="J304" t="s">
        <v>1737</v>
      </c>
      <c r="K304" t="s">
        <v>345</v>
      </c>
      <c r="L304">
        <v>2019</v>
      </c>
      <c r="M304" t="s">
        <v>1933</v>
      </c>
      <c r="N304" t="s">
        <v>1932</v>
      </c>
      <c r="O304" t="s">
        <v>1934</v>
      </c>
      <c r="P304">
        <v>2500</v>
      </c>
      <c r="Q304" t="s">
        <v>345</v>
      </c>
      <c r="R304">
        <v>1936</v>
      </c>
      <c r="S304" t="s">
        <v>1935</v>
      </c>
      <c r="T304" t="s">
        <v>1936</v>
      </c>
      <c r="U304">
        <v>8500</v>
      </c>
      <c r="V304" t="s">
        <v>345</v>
      </c>
      <c r="W304">
        <v>2017</v>
      </c>
      <c r="X304" t="s">
        <v>125</v>
      </c>
      <c r="Z304">
        <v>-2.5</v>
      </c>
      <c r="AA304">
        <v>-2.5</v>
      </c>
      <c r="AB304">
        <v>10</v>
      </c>
      <c r="AC304">
        <v>45</v>
      </c>
      <c r="AD304">
        <v>45</v>
      </c>
      <c r="AE304">
        <v>36</v>
      </c>
      <c r="AF304">
        <v>64</v>
      </c>
      <c r="AG304">
        <v>36</v>
      </c>
      <c r="AH304">
        <v>64</v>
      </c>
      <c r="AI304">
        <v>54</v>
      </c>
      <c r="AJ304">
        <v>46</v>
      </c>
      <c r="AK304">
        <v>49</v>
      </c>
      <c r="AL304">
        <v>51</v>
      </c>
      <c r="AM304">
        <v>0</v>
      </c>
      <c r="AN304">
        <v>0</v>
      </c>
      <c r="AO304">
        <v>0</v>
      </c>
      <c r="AP304">
        <v>0</v>
      </c>
      <c r="AQ304">
        <v>27</v>
      </c>
      <c r="AR304">
        <v>42</v>
      </c>
      <c r="AS304">
        <v>50</v>
      </c>
      <c r="AT304">
        <v>47</v>
      </c>
      <c r="AU304">
        <v>75</v>
      </c>
      <c r="AV304">
        <v>42</v>
      </c>
      <c r="AW304">
        <v>5</v>
      </c>
      <c r="AX304">
        <v>1</v>
      </c>
      <c r="AY304">
        <v>6</v>
      </c>
      <c r="AZ304">
        <v>1.2</v>
      </c>
      <c r="BA304">
        <v>7</v>
      </c>
      <c r="BB304">
        <v>8</v>
      </c>
      <c r="BC304">
        <v>2</v>
      </c>
      <c r="BD304">
        <v>0</v>
      </c>
      <c r="BE304">
        <v>2</v>
      </c>
      <c r="BF304">
        <v>3</v>
      </c>
      <c r="BG304">
        <v>3</v>
      </c>
      <c r="BH304">
        <v>5</v>
      </c>
      <c r="BI304">
        <v>12</v>
      </c>
      <c r="BJ304">
        <v>4</v>
      </c>
      <c r="BK304">
        <v>9</v>
      </c>
      <c r="BL304">
        <v>11</v>
      </c>
      <c r="BM304">
        <v>1.7</v>
      </c>
      <c r="BN304">
        <v>0.5</v>
      </c>
      <c r="BO304">
        <v>1.3</v>
      </c>
      <c r="BP304">
        <v>1.4</v>
      </c>
      <c r="BQ304">
        <v>1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</v>
      </c>
      <c r="BX304">
        <v>0</v>
      </c>
      <c r="BY304">
        <v>9</v>
      </c>
      <c r="BZ304">
        <v>1.8</v>
      </c>
      <c r="CA304">
        <v>7</v>
      </c>
      <c r="CB304">
        <v>1.4</v>
      </c>
      <c r="CC304">
        <v>8</v>
      </c>
      <c r="CD304">
        <v>8</v>
      </c>
      <c r="CE304">
        <v>4</v>
      </c>
      <c r="CF304">
        <v>2</v>
      </c>
      <c r="CG304">
        <v>3</v>
      </c>
      <c r="CH304">
        <v>3</v>
      </c>
      <c r="CI304">
        <v>1</v>
      </c>
      <c r="CJ304">
        <v>3</v>
      </c>
      <c r="CK304">
        <v>12</v>
      </c>
      <c r="CL304">
        <v>9</v>
      </c>
      <c r="CM304">
        <v>7</v>
      </c>
      <c r="CN304">
        <v>9</v>
      </c>
      <c r="CO304">
        <v>1.5</v>
      </c>
      <c r="CP304">
        <v>1.1000000000000001</v>
      </c>
      <c r="CQ304">
        <v>0.9</v>
      </c>
      <c r="CR304">
        <v>1.1000000000000001</v>
      </c>
      <c r="CS304">
        <v>0</v>
      </c>
      <c r="CT304">
        <v>1</v>
      </c>
      <c r="CU304">
        <v>0</v>
      </c>
      <c r="CV304">
        <v>1</v>
      </c>
      <c r="CW304">
        <v>0</v>
      </c>
      <c r="CX304">
        <v>0</v>
      </c>
      <c r="CY304">
        <v>0</v>
      </c>
      <c r="CZ304">
        <v>0</v>
      </c>
    </row>
    <row r="305" spans="1:104" x14ac:dyDescent="0.25">
      <c r="A305" s="1" t="s">
        <v>1937</v>
      </c>
      <c r="B305">
        <v>7096</v>
      </c>
      <c r="C305">
        <v>7060</v>
      </c>
      <c r="D305" s="2">
        <v>43715</v>
      </c>
      <c r="E305" s="3">
        <f t="shared" si="12"/>
        <v>2019</v>
      </c>
      <c r="F305" s="3">
        <f t="shared" si="13"/>
        <v>9</v>
      </c>
      <c r="G305" s="3">
        <f t="shared" si="14"/>
        <v>7</v>
      </c>
      <c r="H305" t="s">
        <v>1938</v>
      </c>
      <c r="I305">
        <v>1206</v>
      </c>
      <c r="J305" t="s">
        <v>1048</v>
      </c>
      <c r="K305" t="s">
        <v>463</v>
      </c>
      <c r="L305">
        <v>2019</v>
      </c>
      <c r="M305" t="s">
        <v>105</v>
      </c>
      <c r="N305" t="s">
        <v>1939</v>
      </c>
      <c r="O305" t="s">
        <v>1940</v>
      </c>
      <c r="P305">
        <v>5952</v>
      </c>
      <c r="Q305" t="s">
        <v>463</v>
      </c>
      <c r="R305">
        <v>2009</v>
      </c>
      <c r="S305" t="s">
        <v>1941</v>
      </c>
      <c r="T305" t="s">
        <v>1942</v>
      </c>
      <c r="U305">
        <v>3372</v>
      </c>
      <c r="V305" t="s">
        <v>463</v>
      </c>
      <c r="W305">
        <v>2007</v>
      </c>
      <c r="X305" t="s">
        <v>125</v>
      </c>
      <c r="Z305">
        <v>-1.5</v>
      </c>
      <c r="AA305">
        <v>-2.5</v>
      </c>
      <c r="AB305">
        <v>10</v>
      </c>
      <c r="AC305">
        <v>45</v>
      </c>
      <c r="AD305">
        <v>45</v>
      </c>
      <c r="AE305">
        <v>27</v>
      </c>
      <c r="AF305">
        <v>73</v>
      </c>
      <c r="AG305">
        <v>27</v>
      </c>
      <c r="AH305">
        <v>73</v>
      </c>
      <c r="AI305">
        <v>45</v>
      </c>
      <c r="AJ305">
        <v>55</v>
      </c>
      <c r="AK305">
        <v>43</v>
      </c>
      <c r="AL305">
        <v>57</v>
      </c>
      <c r="AM305">
        <v>29</v>
      </c>
      <c r="AN305">
        <v>71</v>
      </c>
      <c r="AO305">
        <v>45</v>
      </c>
      <c r="AP305">
        <v>55</v>
      </c>
      <c r="AQ305">
        <v>20</v>
      </c>
      <c r="AR305">
        <v>38</v>
      </c>
      <c r="AS305">
        <v>25</v>
      </c>
      <c r="AT305">
        <v>53</v>
      </c>
      <c r="AU305">
        <v>100</v>
      </c>
      <c r="AV305">
        <v>38</v>
      </c>
      <c r="AW305">
        <v>3</v>
      </c>
      <c r="AX305">
        <v>0.6</v>
      </c>
      <c r="AY305">
        <v>6</v>
      </c>
      <c r="AZ305">
        <v>1.2</v>
      </c>
      <c r="BA305">
        <v>9</v>
      </c>
      <c r="BB305">
        <v>12</v>
      </c>
      <c r="BC305">
        <v>2</v>
      </c>
      <c r="BD305">
        <v>4</v>
      </c>
      <c r="BE305">
        <v>2</v>
      </c>
      <c r="BF305">
        <v>1</v>
      </c>
      <c r="BG305">
        <v>5</v>
      </c>
      <c r="BH305">
        <v>7</v>
      </c>
      <c r="BI305">
        <v>7</v>
      </c>
      <c r="BJ305">
        <v>11</v>
      </c>
      <c r="BK305">
        <v>11</v>
      </c>
      <c r="BL305">
        <v>17</v>
      </c>
      <c r="BM305">
        <v>0.8</v>
      </c>
      <c r="BN305">
        <v>0.9</v>
      </c>
      <c r="BO305">
        <v>1.2</v>
      </c>
      <c r="BP305">
        <v>1.4</v>
      </c>
      <c r="BQ305">
        <v>7</v>
      </c>
      <c r="BR305">
        <v>10</v>
      </c>
      <c r="BS305">
        <v>3</v>
      </c>
      <c r="BT305">
        <v>3</v>
      </c>
      <c r="BU305">
        <v>1</v>
      </c>
      <c r="BV305">
        <v>3</v>
      </c>
      <c r="BW305">
        <v>3</v>
      </c>
      <c r="BX305">
        <v>4</v>
      </c>
      <c r="BY305">
        <v>8</v>
      </c>
      <c r="BZ305">
        <v>1.6</v>
      </c>
      <c r="CA305">
        <v>5</v>
      </c>
      <c r="CB305">
        <v>1</v>
      </c>
      <c r="CC305">
        <v>10</v>
      </c>
      <c r="CD305">
        <v>11</v>
      </c>
      <c r="CE305">
        <v>4</v>
      </c>
      <c r="CF305">
        <v>3</v>
      </c>
      <c r="CG305">
        <v>3</v>
      </c>
      <c r="CH305">
        <v>4</v>
      </c>
      <c r="CI305">
        <v>3</v>
      </c>
      <c r="CJ305">
        <v>4</v>
      </c>
      <c r="CK305">
        <v>12</v>
      </c>
      <c r="CL305">
        <v>12</v>
      </c>
      <c r="CM305">
        <v>12</v>
      </c>
      <c r="CN305">
        <v>16</v>
      </c>
      <c r="CO305">
        <v>1.2</v>
      </c>
      <c r="CP305">
        <v>1.1000000000000001</v>
      </c>
      <c r="CQ305">
        <v>1.2</v>
      </c>
      <c r="CR305">
        <v>1.5</v>
      </c>
      <c r="CS305">
        <v>10</v>
      </c>
      <c r="CT305">
        <v>7</v>
      </c>
      <c r="CU305">
        <v>4</v>
      </c>
      <c r="CV305">
        <v>3</v>
      </c>
      <c r="CW305">
        <v>3</v>
      </c>
      <c r="CX305">
        <v>1</v>
      </c>
      <c r="CY305">
        <v>3</v>
      </c>
      <c r="CZ305">
        <v>3</v>
      </c>
    </row>
    <row r="306" spans="1:104" x14ac:dyDescent="0.25">
      <c r="A306" s="1" t="s">
        <v>1943</v>
      </c>
      <c r="B306">
        <v>4845</v>
      </c>
      <c r="C306">
        <v>4661</v>
      </c>
      <c r="D306" s="2">
        <v>43771</v>
      </c>
      <c r="E306" s="3">
        <f t="shared" si="12"/>
        <v>2019</v>
      </c>
      <c r="F306" s="3">
        <f t="shared" si="13"/>
        <v>11</v>
      </c>
      <c r="G306" s="3">
        <f t="shared" si="14"/>
        <v>7</v>
      </c>
      <c r="H306" t="s">
        <v>1944</v>
      </c>
      <c r="I306">
        <v>1289</v>
      </c>
      <c r="J306" t="s">
        <v>139</v>
      </c>
      <c r="K306" t="s">
        <v>140</v>
      </c>
      <c r="L306">
        <v>2019</v>
      </c>
      <c r="M306" t="s">
        <v>1945</v>
      </c>
      <c r="N306" t="s">
        <v>1946</v>
      </c>
      <c r="O306" t="s">
        <v>1947</v>
      </c>
      <c r="P306">
        <v>1200</v>
      </c>
      <c r="Q306" t="s">
        <v>140</v>
      </c>
      <c r="S306" t="s">
        <v>1948</v>
      </c>
      <c r="T306" t="s">
        <v>1949</v>
      </c>
      <c r="U306">
        <v>30498</v>
      </c>
      <c r="V306" t="s">
        <v>140</v>
      </c>
      <c r="W306">
        <v>1922</v>
      </c>
      <c r="X306" t="s">
        <v>125</v>
      </c>
      <c r="Y306">
        <v>-3.5</v>
      </c>
      <c r="Z306">
        <v>-1.5</v>
      </c>
      <c r="AA306">
        <v>-2.5</v>
      </c>
      <c r="AB306">
        <v>0</v>
      </c>
      <c r="AC306">
        <v>50</v>
      </c>
      <c r="AD306">
        <v>50</v>
      </c>
      <c r="AE306">
        <v>21</v>
      </c>
      <c r="AF306">
        <v>79</v>
      </c>
      <c r="AG306">
        <v>36</v>
      </c>
      <c r="AH306">
        <v>64</v>
      </c>
      <c r="AI306">
        <v>10</v>
      </c>
      <c r="AJ306">
        <v>90</v>
      </c>
      <c r="AK306">
        <v>28</v>
      </c>
      <c r="AL306">
        <v>72</v>
      </c>
      <c r="AM306">
        <v>0</v>
      </c>
      <c r="AN306">
        <v>0</v>
      </c>
      <c r="AO306">
        <v>0</v>
      </c>
      <c r="AP306">
        <v>0</v>
      </c>
      <c r="AQ306">
        <v>20</v>
      </c>
      <c r="AR306">
        <v>57</v>
      </c>
      <c r="AS306">
        <v>0</v>
      </c>
      <c r="AT306">
        <v>73</v>
      </c>
      <c r="AU306">
        <v>100</v>
      </c>
      <c r="AV306">
        <v>86</v>
      </c>
      <c r="AW306">
        <v>4</v>
      </c>
      <c r="AX306">
        <v>0.8</v>
      </c>
      <c r="AY306">
        <v>9</v>
      </c>
      <c r="AZ306">
        <v>1.8</v>
      </c>
      <c r="BA306">
        <v>5</v>
      </c>
      <c r="BB306">
        <v>3</v>
      </c>
      <c r="BC306">
        <v>2</v>
      </c>
      <c r="BD306">
        <v>0</v>
      </c>
      <c r="BE306">
        <v>0</v>
      </c>
      <c r="BF306">
        <v>1</v>
      </c>
      <c r="BG306">
        <v>3</v>
      </c>
      <c r="BH306">
        <v>2</v>
      </c>
      <c r="BI306">
        <v>10</v>
      </c>
      <c r="BJ306">
        <v>3</v>
      </c>
      <c r="BK306">
        <v>7</v>
      </c>
      <c r="BL306">
        <v>8</v>
      </c>
      <c r="BM306">
        <v>2</v>
      </c>
      <c r="BN306">
        <v>1</v>
      </c>
      <c r="BO306">
        <v>1.4</v>
      </c>
      <c r="BP306">
        <v>2.7</v>
      </c>
      <c r="BQ306">
        <v>1</v>
      </c>
      <c r="BR306">
        <v>0</v>
      </c>
      <c r="BS306">
        <v>1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7</v>
      </c>
      <c r="BZ306">
        <v>1.4</v>
      </c>
      <c r="CA306">
        <v>1</v>
      </c>
      <c r="CB306">
        <v>0.2</v>
      </c>
      <c r="CC306">
        <v>4</v>
      </c>
      <c r="CD306">
        <v>4</v>
      </c>
      <c r="CE306">
        <v>2</v>
      </c>
      <c r="CF306">
        <v>2</v>
      </c>
      <c r="CG306">
        <v>2</v>
      </c>
      <c r="CH306">
        <v>2</v>
      </c>
      <c r="CI306">
        <v>0</v>
      </c>
      <c r="CJ306">
        <v>0</v>
      </c>
      <c r="CK306">
        <v>8</v>
      </c>
      <c r="CL306">
        <v>3</v>
      </c>
      <c r="CM306">
        <v>3</v>
      </c>
      <c r="CN306">
        <v>1</v>
      </c>
      <c r="CO306">
        <v>2</v>
      </c>
      <c r="CP306">
        <v>0.8</v>
      </c>
      <c r="CQ306">
        <v>0.8</v>
      </c>
      <c r="CR306">
        <v>0.3</v>
      </c>
      <c r="CS306">
        <v>0</v>
      </c>
      <c r="CT306">
        <v>1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1</v>
      </c>
    </row>
    <row r="307" spans="1:104" x14ac:dyDescent="0.25">
      <c r="A307" s="1" t="s">
        <v>1950</v>
      </c>
      <c r="B307">
        <v>12240</v>
      </c>
      <c r="C307">
        <v>12238</v>
      </c>
      <c r="D307" s="2">
        <v>43695</v>
      </c>
      <c r="E307" s="3">
        <f t="shared" si="12"/>
        <v>2019</v>
      </c>
      <c r="F307" s="3">
        <f t="shared" si="13"/>
        <v>8</v>
      </c>
      <c r="G307" s="3">
        <f t="shared" si="14"/>
        <v>1</v>
      </c>
      <c r="H307" t="s">
        <v>1702</v>
      </c>
      <c r="I307">
        <v>2124</v>
      </c>
      <c r="J307" t="s">
        <v>320</v>
      </c>
      <c r="K307" t="s">
        <v>1700</v>
      </c>
      <c r="L307">
        <v>2019</v>
      </c>
      <c r="M307" t="s">
        <v>968</v>
      </c>
      <c r="N307" t="s">
        <v>1702</v>
      </c>
      <c r="O307" t="s">
        <v>1703</v>
      </c>
      <c r="P307">
        <v>5000</v>
      </c>
      <c r="Q307" t="s">
        <v>1700</v>
      </c>
      <c r="S307" t="s">
        <v>1951</v>
      </c>
      <c r="T307" t="s">
        <v>1952</v>
      </c>
      <c r="U307">
        <v>4500</v>
      </c>
      <c r="V307" t="s">
        <v>1700</v>
      </c>
      <c r="X307" t="s">
        <v>109</v>
      </c>
      <c r="Z307">
        <v>-1.5</v>
      </c>
      <c r="AA307">
        <v>-2.5</v>
      </c>
      <c r="AB307">
        <v>45</v>
      </c>
      <c r="AC307">
        <v>45</v>
      </c>
      <c r="AD307">
        <v>10</v>
      </c>
      <c r="AE307">
        <v>40</v>
      </c>
      <c r="AF307">
        <v>60</v>
      </c>
      <c r="AG307">
        <v>36</v>
      </c>
      <c r="AH307">
        <v>64</v>
      </c>
      <c r="AI307">
        <v>64</v>
      </c>
      <c r="AJ307">
        <v>36</v>
      </c>
      <c r="AK307">
        <v>0</v>
      </c>
      <c r="AL307">
        <v>0</v>
      </c>
      <c r="AM307">
        <v>93</v>
      </c>
      <c r="AN307">
        <v>7</v>
      </c>
      <c r="AO307">
        <v>71</v>
      </c>
      <c r="AP307">
        <v>29</v>
      </c>
      <c r="AQ307">
        <v>27</v>
      </c>
      <c r="AR307">
        <v>31</v>
      </c>
      <c r="AS307">
        <v>62</v>
      </c>
      <c r="AT307">
        <v>40</v>
      </c>
      <c r="AU307">
        <v>54</v>
      </c>
      <c r="AV307">
        <v>31</v>
      </c>
      <c r="AW307">
        <v>4</v>
      </c>
      <c r="AX307">
        <v>0.8</v>
      </c>
      <c r="AY307">
        <v>5</v>
      </c>
      <c r="AZ307">
        <v>1</v>
      </c>
      <c r="BA307">
        <v>7</v>
      </c>
      <c r="BB307">
        <v>9</v>
      </c>
      <c r="BC307">
        <v>2</v>
      </c>
      <c r="BD307">
        <v>4</v>
      </c>
      <c r="BE307">
        <v>3</v>
      </c>
      <c r="BF307">
        <v>1</v>
      </c>
      <c r="BG307">
        <v>2</v>
      </c>
      <c r="BH307">
        <v>4</v>
      </c>
      <c r="BI307">
        <v>8</v>
      </c>
      <c r="BJ307">
        <v>8</v>
      </c>
      <c r="BK307">
        <v>7</v>
      </c>
      <c r="BL307">
        <v>9</v>
      </c>
      <c r="BM307">
        <v>1.1000000000000001</v>
      </c>
      <c r="BN307">
        <v>0.9</v>
      </c>
      <c r="BO307">
        <v>1</v>
      </c>
      <c r="BP307">
        <v>1</v>
      </c>
      <c r="BQ307">
        <v>7</v>
      </c>
      <c r="BR307">
        <v>6</v>
      </c>
      <c r="BS307">
        <v>6</v>
      </c>
      <c r="BT307">
        <v>4</v>
      </c>
      <c r="BU307">
        <v>1</v>
      </c>
      <c r="BV307">
        <v>2</v>
      </c>
      <c r="BW307">
        <v>0</v>
      </c>
      <c r="BX307">
        <v>0</v>
      </c>
      <c r="BY307">
        <v>7</v>
      </c>
      <c r="BZ307">
        <v>1.4</v>
      </c>
      <c r="CA307">
        <v>9</v>
      </c>
      <c r="CB307">
        <v>1.8</v>
      </c>
      <c r="CC307">
        <v>8</v>
      </c>
      <c r="CD307">
        <v>8</v>
      </c>
      <c r="CE307">
        <v>1</v>
      </c>
      <c r="CF307">
        <v>2</v>
      </c>
      <c r="CG307">
        <v>1</v>
      </c>
      <c r="CH307">
        <v>0</v>
      </c>
      <c r="CI307">
        <v>6</v>
      </c>
      <c r="CJ307">
        <v>6</v>
      </c>
      <c r="CK307">
        <v>6</v>
      </c>
      <c r="CL307">
        <v>7</v>
      </c>
      <c r="CM307">
        <v>21</v>
      </c>
      <c r="CN307">
        <v>16</v>
      </c>
      <c r="CO307">
        <v>0.8</v>
      </c>
      <c r="CP307">
        <v>0.9</v>
      </c>
      <c r="CQ307">
        <v>2.6</v>
      </c>
      <c r="CR307">
        <v>2</v>
      </c>
      <c r="CS307">
        <v>6</v>
      </c>
      <c r="CT307">
        <v>7</v>
      </c>
      <c r="CU307">
        <v>0</v>
      </c>
      <c r="CV307">
        <v>0</v>
      </c>
      <c r="CW307">
        <v>2</v>
      </c>
      <c r="CX307">
        <v>1</v>
      </c>
      <c r="CY307">
        <v>4</v>
      </c>
      <c r="CZ307">
        <v>6</v>
      </c>
    </row>
    <row r="308" spans="1:104" x14ac:dyDescent="0.25">
      <c r="A308" s="1" t="s">
        <v>1953</v>
      </c>
      <c r="B308">
        <v>8427</v>
      </c>
      <c r="C308">
        <v>8423</v>
      </c>
      <c r="D308" s="2">
        <v>43743</v>
      </c>
      <c r="E308" s="3">
        <f t="shared" si="12"/>
        <v>2019</v>
      </c>
      <c r="F308" s="3">
        <f t="shared" si="13"/>
        <v>10</v>
      </c>
      <c r="G308" s="3">
        <f t="shared" si="14"/>
        <v>7</v>
      </c>
      <c r="H308" t="s">
        <v>1954</v>
      </c>
      <c r="I308">
        <v>1121</v>
      </c>
      <c r="J308" t="s">
        <v>1955</v>
      </c>
      <c r="K308" t="s">
        <v>475</v>
      </c>
      <c r="L308">
        <v>2019</v>
      </c>
      <c r="M308" t="s">
        <v>1956</v>
      </c>
      <c r="Q308" t="s">
        <v>475</v>
      </c>
      <c r="S308" t="s">
        <v>1957</v>
      </c>
      <c r="T308" t="s">
        <v>1958</v>
      </c>
      <c r="U308">
        <v>500</v>
      </c>
      <c r="V308" t="s">
        <v>475</v>
      </c>
      <c r="W308">
        <v>1927</v>
      </c>
      <c r="X308" t="s">
        <v>125</v>
      </c>
      <c r="Z308">
        <v>-1.5</v>
      </c>
      <c r="AA308">
        <v>-2.5</v>
      </c>
      <c r="AB308">
        <v>0</v>
      </c>
      <c r="AC308">
        <v>50</v>
      </c>
      <c r="AD308">
        <v>50</v>
      </c>
      <c r="AE308">
        <v>40</v>
      </c>
      <c r="AF308">
        <v>60</v>
      </c>
      <c r="AG308">
        <v>36</v>
      </c>
      <c r="AH308">
        <v>64</v>
      </c>
      <c r="AI308">
        <v>38</v>
      </c>
      <c r="AJ308">
        <v>62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27</v>
      </c>
      <c r="AR308">
        <v>25</v>
      </c>
      <c r="AS308">
        <v>19</v>
      </c>
      <c r="AT308">
        <v>40</v>
      </c>
      <c r="AU308">
        <v>44</v>
      </c>
      <c r="AV308">
        <v>50</v>
      </c>
      <c r="AW308">
        <v>4</v>
      </c>
      <c r="AX308">
        <v>0.8</v>
      </c>
      <c r="AY308">
        <v>13</v>
      </c>
      <c r="AZ308">
        <v>2.6</v>
      </c>
      <c r="BA308">
        <v>2</v>
      </c>
      <c r="BB308">
        <v>3</v>
      </c>
      <c r="BC308">
        <v>1</v>
      </c>
      <c r="BD308">
        <v>0</v>
      </c>
      <c r="BE308">
        <v>0</v>
      </c>
      <c r="BF308">
        <v>1</v>
      </c>
      <c r="BG308">
        <v>1</v>
      </c>
      <c r="BH308">
        <v>2</v>
      </c>
      <c r="BI308">
        <v>2</v>
      </c>
      <c r="BJ308">
        <v>2</v>
      </c>
      <c r="BK308">
        <v>4</v>
      </c>
      <c r="BL308">
        <v>9</v>
      </c>
      <c r="BM308">
        <v>1</v>
      </c>
      <c r="BN308">
        <v>0.7</v>
      </c>
      <c r="BO308">
        <v>2</v>
      </c>
      <c r="BP308">
        <v>3</v>
      </c>
      <c r="BQ308">
        <v>1</v>
      </c>
      <c r="BR308">
        <v>1</v>
      </c>
      <c r="BS308">
        <v>0</v>
      </c>
      <c r="BT308">
        <v>0</v>
      </c>
      <c r="BU308">
        <v>0</v>
      </c>
      <c r="BV308">
        <v>0</v>
      </c>
      <c r="BW308">
        <v>1</v>
      </c>
      <c r="BX308">
        <v>1</v>
      </c>
      <c r="BY308">
        <v>7</v>
      </c>
      <c r="BZ308">
        <v>1.4</v>
      </c>
      <c r="CA308">
        <v>8</v>
      </c>
      <c r="CB308">
        <v>1.6</v>
      </c>
      <c r="CC308">
        <v>3</v>
      </c>
      <c r="CD308">
        <v>2</v>
      </c>
      <c r="CE308">
        <v>2</v>
      </c>
      <c r="CF308">
        <v>0</v>
      </c>
      <c r="CG308">
        <v>0</v>
      </c>
      <c r="CH308">
        <v>0</v>
      </c>
      <c r="CI308">
        <v>1</v>
      </c>
      <c r="CJ308">
        <v>2</v>
      </c>
      <c r="CK308">
        <v>7</v>
      </c>
      <c r="CL308">
        <v>0</v>
      </c>
      <c r="CM308">
        <v>6</v>
      </c>
      <c r="CN308">
        <v>2</v>
      </c>
      <c r="CO308">
        <v>2.2999999999999998</v>
      </c>
      <c r="CP308">
        <v>0</v>
      </c>
      <c r="CQ308">
        <v>2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0</v>
      </c>
      <c r="CX308">
        <v>0</v>
      </c>
      <c r="CY308">
        <v>0</v>
      </c>
      <c r="CZ308">
        <v>0</v>
      </c>
    </row>
    <row r="309" spans="1:104" x14ac:dyDescent="0.25">
      <c r="A309" s="1" t="s">
        <v>1959</v>
      </c>
      <c r="B309">
        <v>2285</v>
      </c>
      <c r="C309">
        <v>2283</v>
      </c>
      <c r="D309" s="2">
        <v>44060</v>
      </c>
      <c r="E309" s="3">
        <f t="shared" si="12"/>
        <v>2020</v>
      </c>
      <c r="F309" s="3">
        <f t="shared" si="13"/>
        <v>8</v>
      </c>
      <c r="G309" s="3">
        <f t="shared" si="14"/>
        <v>2</v>
      </c>
      <c r="H309" t="s">
        <v>1960</v>
      </c>
      <c r="I309">
        <v>2656</v>
      </c>
      <c r="J309" t="s">
        <v>1379</v>
      </c>
      <c r="K309" t="s">
        <v>1380</v>
      </c>
      <c r="L309">
        <v>2020</v>
      </c>
      <c r="M309" t="s">
        <v>1961</v>
      </c>
      <c r="Q309" t="s">
        <v>1380</v>
      </c>
      <c r="R309">
        <v>1983</v>
      </c>
      <c r="V309" t="s">
        <v>1380</v>
      </c>
      <c r="W309">
        <v>1916</v>
      </c>
      <c r="X309">
        <v>1</v>
      </c>
      <c r="Z309">
        <v>-3.5</v>
      </c>
      <c r="AA309">
        <v>-1.5</v>
      </c>
      <c r="AB309">
        <v>45</v>
      </c>
      <c r="AC309">
        <v>45</v>
      </c>
      <c r="AD309">
        <v>10</v>
      </c>
      <c r="AE309">
        <v>80</v>
      </c>
      <c r="AF309">
        <v>20</v>
      </c>
      <c r="AG309">
        <v>56</v>
      </c>
      <c r="AH309">
        <v>44</v>
      </c>
      <c r="AI309">
        <v>53</v>
      </c>
      <c r="AJ309">
        <v>47</v>
      </c>
      <c r="AK309">
        <v>100</v>
      </c>
      <c r="AL309">
        <v>0</v>
      </c>
      <c r="AM309">
        <v>60</v>
      </c>
      <c r="AN309">
        <v>40</v>
      </c>
      <c r="AO309">
        <v>57</v>
      </c>
      <c r="AP309">
        <v>43</v>
      </c>
      <c r="AQ309">
        <v>33</v>
      </c>
      <c r="AR309">
        <v>33</v>
      </c>
      <c r="AS309">
        <v>53</v>
      </c>
      <c r="AT309">
        <v>8</v>
      </c>
      <c r="AU309">
        <v>27</v>
      </c>
      <c r="AV309">
        <v>47</v>
      </c>
      <c r="AW309">
        <v>5</v>
      </c>
      <c r="AX309">
        <v>1.3</v>
      </c>
      <c r="AY309">
        <v>7</v>
      </c>
      <c r="AZ309">
        <v>1.8</v>
      </c>
      <c r="BA309">
        <v>1</v>
      </c>
      <c r="BB309">
        <v>3</v>
      </c>
      <c r="BC309">
        <v>1</v>
      </c>
      <c r="BD309">
        <v>0</v>
      </c>
      <c r="BE309">
        <v>0</v>
      </c>
      <c r="BF309">
        <v>1</v>
      </c>
      <c r="BG309">
        <v>0</v>
      </c>
      <c r="BH309">
        <v>2</v>
      </c>
      <c r="BI309">
        <v>2</v>
      </c>
      <c r="BJ309">
        <v>3</v>
      </c>
      <c r="BK309">
        <v>0</v>
      </c>
      <c r="BL309">
        <v>7</v>
      </c>
      <c r="BM309">
        <v>2</v>
      </c>
      <c r="BN309">
        <v>1</v>
      </c>
      <c r="BO309">
        <v>0</v>
      </c>
      <c r="BP309">
        <v>2.2999999999999998</v>
      </c>
      <c r="BQ309">
        <v>5</v>
      </c>
      <c r="BR309">
        <v>4</v>
      </c>
      <c r="BS309">
        <v>2</v>
      </c>
      <c r="BT309">
        <v>1</v>
      </c>
      <c r="BU309">
        <v>2</v>
      </c>
      <c r="BV309">
        <v>1</v>
      </c>
      <c r="BW309">
        <v>1</v>
      </c>
      <c r="BX309">
        <v>2</v>
      </c>
      <c r="BY309">
        <v>4</v>
      </c>
      <c r="BZ309">
        <v>1</v>
      </c>
      <c r="CA309">
        <v>8</v>
      </c>
      <c r="CB309">
        <v>2</v>
      </c>
      <c r="CC309">
        <v>2</v>
      </c>
      <c r="CD309">
        <v>2</v>
      </c>
      <c r="CE309">
        <v>0</v>
      </c>
      <c r="CF309">
        <v>0</v>
      </c>
      <c r="CG309">
        <v>0</v>
      </c>
      <c r="CH309">
        <v>1</v>
      </c>
      <c r="CI309">
        <v>2</v>
      </c>
      <c r="CJ309">
        <v>1</v>
      </c>
      <c r="CK309">
        <v>2</v>
      </c>
      <c r="CL309">
        <v>2</v>
      </c>
      <c r="CM309">
        <v>4</v>
      </c>
      <c r="CN309">
        <v>4</v>
      </c>
      <c r="CO309">
        <v>1</v>
      </c>
      <c r="CP309">
        <v>1</v>
      </c>
      <c r="CQ309">
        <v>2</v>
      </c>
      <c r="CR309">
        <v>2</v>
      </c>
      <c r="CS309">
        <v>4</v>
      </c>
      <c r="CT309">
        <v>5</v>
      </c>
      <c r="CU309">
        <v>2</v>
      </c>
      <c r="CV309">
        <v>1</v>
      </c>
      <c r="CW309">
        <v>1</v>
      </c>
      <c r="CX309">
        <v>2</v>
      </c>
      <c r="CY309">
        <v>1</v>
      </c>
      <c r="CZ309">
        <v>2</v>
      </c>
    </row>
    <row r="310" spans="1:104" x14ac:dyDescent="0.25">
      <c r="A310" s="1" t="s">
        <v>1962</v>
      </c>
      <c r="B310">
        <v>821</v>
      </c>
      <c r="C310">
        <v>818</v>
      </c>
      <c r="D310" s="2">
        <v>44076</v>
      </c>
      <c r="E310" s="3">
        <f t="shared" si="12"/>
        <v>2020</v>
      </c>
      <c r="F310" s="3">
        <f t="shared" si="13"/>
        <v>9</v>
      </c>
      <c r="G310" s="3">
        <f t="shared" si="14"/>
        <v>4</v>
      </c>
      <c r="H310" t="s">
        <v>1963</v>
      </c>
      <c r="I310">
        <v>2712</v>
      </c>
      <c r="J310" t="s">
        <v>344</v>
      </c>
      <c r="K310" t="s">
        <v>795</v>
      </c>
      <c r="L310">
        <v>2020</v>
      </c>
      <c r="M310" t="s">
        <v>1964</v>
      </c>
      <c r="N310" t="s">
        <v>1965</v>
      </c>
      <c r="O310" t="s">
        <v>1966</v>
      </c>
      <c r="P310">
        <v>7321</v>
      </c>
      <c r="Q310" t="s">
        <v>795</v>
      </c>
      <c r="S310" t="s">
        <v>1967</v>
      </c>
      <c r="T310" t="s">
        <v>1968</v>
      </c>
      <c r="U310">
        <v>4000</v>
      </c>
      <c r="V310" t="s">
        <v>795</v>
      </c>
      <c r="W310">
        <v>1945</v>
      </c>
      <c r="X310" t="s">
        <v>109</v>
      </c>
      <c r="Z310">
        <v>-3.5</v>
      </c>
      <c r="AA310">
        <v>-2.5</v>
      </c>
      <c r="AB310">
        <v>35</v>
      </c>
      <c r="AC310">
        <v>35</v>
      </c>
      <c r="AD310">
        <v>30</v>
      </c>
      <c r="AE310">
        <v>50</v>
      </c>
      <c r="AF310">
        <v>50</v>
      </c>
      <c r="AG310">
        <v>56</v>
      </c>
      <c r="AH310">
        <v>44</v>
      </c>
      <c r="AI310">
        <v>50</v>
      </c>
      <c r="AJ310">
        <v>50</v>
      </c>
      <c r="AK310">
        <v>74</v>
      </c>
      <c r="AL310">
        <v>26</v>
      </c>
      <c r="AM310">
        <v>40</v>
      </c>
      <c r="AN310">
        <v>60</v>
      </c>
      <c r="AO310">
        <v>50</v>
      </c>
      <c r="AP310">
        <v>50</v>
      </c>
      <c r="AQ310">
        <v>44</v>
      </c>
      <c r="AR310">
        <v>31</v>
      </c>
      <c r="AS310">
        <v>69</v>
      </c>
      <c r="AT310">
        <v>44</v>
      </c>
      <c r="AU310">
        <v>25</v>
      </c>
      <c r="AV310">
        <v>69</v>
      </c>
      <c r="AW310">
        <v>5</v>
      </c>
      <c r="AX310">
        <v>1.7</v>
      </c>
      <c r="AY310">
        <v>5</v>
      </c>
      <c r="AZ310">
        <v>1.7</v>
      </c>
      <c r="BA310">
        <v>1</v>
      </c>
      <c r="BB310">
        <v>2</v>
      </c>
      <c r="BC310">
        <v>0</v>
      </c>
      <c r="BD310">
        <v>1</v>
      </c>
      <c r="BE310">
        <v>1</v>
      </c>
      <c r="BF310">
        <v>0</v>
      </c>
      <c r="BG310">
        <v>0</v>
      </c>
      <c r="BH310">
        <v>1</v>
      </c>
      <c r="BI310">
        <v>2</v>
      </c>
      <c r="BJ310">
        <v>3</v>
      </c>
      <c r="BK310">
        <v>2</v>
      </c>
      <c r="BL310">
        <v>3</v>
      </c>
      <c r="BM310">
        <v>2</v>
      </c>
      <c r="BN310">
        <v>1.5</v>
      </c>
      <c r="BO310">
        <v>2</v>
      </c>
      <c r="BP310">
        <v>1.5</v>
      </c>
      <c r="BQ310">
        <v>6</v>
      </c>
      <c r="BR310">
        <v>6</v>
      </c>
      <c r="BS310">
        <v>3</v>
      </c>
      <c r="BT310">
        <v>1</v>
      </c>
      <c r="BU310">
        <v>1</v>
      </c>
      <c r="BV310">
        <v>2</v>
      </c>
      <c r="BW310">
        <v>2</v>
      </c>
      <c r="BX310">
        <v>3</v>
      </c>
      <c r="BY310">
        <v>4</v>
      </c>
      <c r="BZ310">
        <v>1.3</v>
      </c>
      <c r="CA310">
        <v>5</v>
      </c>
      <c r="CB310">
        <v>1.7</v>
      </c>
      <c r="CC310">
        <v>1</v>
      </c>
      <c r="CD310">
        <v>2</v>
      </c>
      <c r="CE310">
        <v>1</v>
      </c>
      <c r="CF310">
        <v>0</v>
      </c>
      <c r="CG310">
        <v>0</v>
      </c>
      <c r="CH310">
        <v>1</v>
      </c>
      <c r="CI310">
        <v>0</v>
      </c>
      <c r="CJ310">
        <v>1</v>
      </c>
      <c r="CK310">
        <v>3</v>
      </c>
      <c r="CL310">
        <v>1</v>
      </c>
      <c r="CM310">
        <v>1</v>
      </c>
      <c r="CN310">
        <v>4</v>
      </c>
      <c r="CO310">
        <v>3</v>
      </c>
      <c r="CP310">
        <v>0.5</v>
      </c>
      <c r="CQ310">
        <v>1</v>
      </c>
      <c r="CR310">
        <v>2</v>
      </c>
      <c r="CS310">
        <v>6</v>
      </c>
      <c r="CT310">
        <v>6</v>
      </c>
      <c r="CU310">
        <v>3</v>
      </c>
      <c r="CV310">
        <v>2</v>
      </c>
      <c r="CW310">
        <v>2</v>
      </c>
      <c r="CX310">
        <v>1</v>
      </c>
      <c r="CY310">
        <v>1</v>
      </c>
      <c r="CZ310">
        <v>3</v>
      </c>
    </row>
    <row r="311" spans="1:104" x14ac:dyDescent="0.25">
      <c r="A311" s="1" t="s">
        <v>1969</v>
      </c>
      <c r="B311">
        <v>537</v>
      </c>
      <c r="C311">
        <v>532</v>
      </c>
      <c r="D311" s="2">
        <v>44024</v>
      </c>
      <c r="E311" s="3">
        <f t="shared" si="12"/>
        <v>2020</v>
      </c>
      <c r="F311" s="3">
        <f t="shared" si="13"/>
        <v>7</v>
      </c>
      <c r="G311" s="3">
        <f t="shared" si="14"/>
        <v>1</v>
      </c>
      <c r="H311" t="s">
        <v>1606</v>
      </c>
      <c r="I311">
        <v>775</v>
      </c>
      <c r="J311" t="s">
        <v>344</v>
      </c>
      <c r="K311" t="s">
        <v>380</v>
      </c>
      <c r="L311">
        <v>2019</v>
      </c>
      <c r="M311" t="s">
        <v>1970</v>
      </c>
      <c r="N311" t="s">
        <v>1606</v>
      </c>
      <c r="O311" t="s">
        <v>1607</v>
      </c>
      <c r="P311">
        <v>12450</v>
      </c>
      <c r="Q311" t="s">
        <v>380</v>
      </c>
      <c r="R311">
        <v>1928</v>
      </c>
      <c r="S311" t="s">
        <v>1971</v>
      </c>
      <c r="T311" t="s">
        <v>1972</v>
      </c>
      <c r="U311">
        <v>55000</v>
      </c>
      <c r="V311" t="s">
        <v>380</v>
      </c>
      <c r="W311">
        <v>1919</v>
      </c>
      <c r="X311" t="s">
        <v>125</v>
      </c>
      <c r="Z311">
        <v>-1.5</v>
      </c>
      <c r="AA311">
        <v>-2.5</v>
      </c>
      <c r="AB311">
        <v>10</v>
      </c>
      <c r="AC311">
        <v>45</v>
      </c>
      <c r="AD311">
        <v>45</v>
      </c>
      <c r="AE311">
        <v>56</v>
      </c>
      <c r="AF311">
        <v>44</v>
      </c>
      <c r="AG311">
        <v>33</v>
      </c>
      <c r="AH311">
        <v>67</v>
      </c>
      <c r="AI311">
        <v>62</v>
      </c>
      <c r="AJ311">
        <v>38</v>
      </c>
      <c r="AK311">
        <v>46</v>
      </c>
      <c r="AL311">
        <v>54</v>
      </c>
      <c r="AM311">
        <v>25</v>
      </c>
      <c r="AN311">
        <v>75</v>
      </c>
      <c r="AO311">
        <v>30</v>
      </c>
      <c r="AP311">
        <v>70</v>
      </c>
      <c r="AQ311">
        <v>33</v>
      </c>
      <c r="AR311">
        <v>20</v>
      </c>
      <c r="AS311">
        <v>50</v>
      </c>
      <c r="AT311">
        <v>27</v>
      </c>
      <c r="AU311">
        <v>40</v>
      </c>
      <c r="AV311">
        <v>20</v>
      </c>
      <c r="AW311">
        <v>2</v>
      </c>
      <c r="AX311">
        <v>0.4</v>
      </c>
      <c r="AY311">
        <v>5</v>
      </c>
      <c r="AZ311">
        <v>1</v>
      </c>
      <c r="BA311">
        <v>17</v>
      </c>
      <c r="BB311">
        <v>18</v>
      </c>
      <c r="BC311">
        <v>4</v>
      </c>
      <c r="BD311">
        <v>2</v>
      </c>
      <c r="BE311">
        <v>4</v>
      </c>
      <c r="BF311">
        <v>7</v>
      </c>
      <c r="BG311">
        <v>9</v>
      </c>
      <c r="BH311">
        <v>9</v>
      </c>
      <c r="BI311">
        <v>14</v>
      </c>
      <c r="BJ311">
        <v>11</v>
      </c>
      <c r="BK311">
        <v>24</v>
      </c>
      <c r="BL311">
        <v>25</v>
      </c>
      <c r="BM311">
        <v>0.8</v>
      </c>
      <c r="BN311">
        <v>0.6</v>
      </c>
      <c r="BO311">
        <v>1.4</v>
      </c>
      <c r="BP311">
        <v>1.4</v>
      </c>
      <c r="BQ311">
        <v>4</v>
      </c>
      <c r="BR311">
        <v>4</v>
      </c>
      <c r="BS311">
        <v>1</v>
      </c>
      <c r="BT311">
        <v>0</v>
      </c>
      <c r="BU311">
        <v>1</v>
      </c>
      <c r="BV311">
        <v>2</v>
      </c>
      <c r="BW311">
        <v>2</v>
      </c>
      <c r="BX311">
        <v>2</v>
      </c>
      <c r="BY311">
        <v>4</v>
      </c>
      <c r="BZ311">
        <v>0.8</v>
      </c>
      <c r="CA311">
        <v>8</v>
      </c>
      <c r="CB311">
        <v>1.6</v>
      </c>
      <c r="CC311">
        <v>18</v>
      </c>
      <c r="CD311">
        <v>17</v>
      </c>
      <c r="CE311">
        <v>10</v>
      </c>
      <c r="CF311">
        <v>3</v>
      </c>
      <c r="CG311">
        <v>7</v>
      </c>
      <c r="CH311">
        <v>4</v>
      </c>
      <c r="CI311">
        <v>1</v>
      </c>
      <c r="CJ311">
        <v>10</v>
      </c>
      <c r="CK311">
        <v>28</v>
      </c>
      <c r="CL311">
        <v>17</v>
      </c>
      <c r="CM311">
        <v>16</v>
      </c>
      <c r="CN311">
        <v>35</v>
      </c>
      <c r="CO311">
        <v>1.6</v>
      </c>
      <c r="CP311">
        <v>1</v>
      </c>
      <c r="CQ311">
        <v>0.9</v>
      </c>
      <c r="CR311">
        <v>2.1</v>
      </c>
      <c r="CS311">
        <v>4</v>
      </c>
      <c r="CT311">
        <v>4</v>
      </c>
      <c r="CU311">
        <v>2</v>
      </c>
      <c r="CV311">
        <v>2</v>
      </c>
      <c r="CW311">
        <v>2</v>
      </c>
      <c r="CX311">
        <v>1</v>
      </c>
      <c r="CY311">
        <v>0</v>
      </c>
      <c r="CZ311">
        <v>1</v>
      </c>
    </row>
    <row r="312" spans="1:104" x14ac:dyDescent="0.25">
      <c r="A312" s="1" t="s">
        <v>1973</v>
      </c>
      <c r="B312">
        <v>9783</v>
      </c>
      <c r="C312">
        <v>9777</v>
      </c>
      <c r="D312" s="2">
        <v>43757</v>
      </c>
      <c r="E312" s="3">
        <f t="shared" si="12"/>
        <v>2019</v>
      </c>
      <c r="F312" s="3">
        <f t="shared" si="13"/>
        <v>10</v>
      </c>
      <c r="G312" s="3">
        <f t="shared" si="14"/>
        <v>7</v>
      </c>
      <c r="H312" t="s">
        <v>1974</v>
      </c>
      <c r="I312">
        <v>1279</v>
      </c>
      <c r="J312" t="s">
        <v>1975</v>
      </c>
      <c r="K312" t="s">
        <v>380</v>
      </c>
      <c r="L312">
        <v>2019</v>
      </c>
      <c r="M312" t="s">
        <v>1976</v>
      </c>
      <c r="N312" t="s">
        <v>1977</v>
      </c>
      <c r="O312" t="s">
        <v>1978</v>
      </c>
      <c r="P312">
        <v>1500</v>
      </c>
      <c r="Q312" t="s">
        <v>380</v>
      </c>
      <c r="S312" t="s">
        <v>1979</v>
      </c>
      <c r="T312" t="s">
        <v>1980</v>
      </c>
      <c r="U312">
        <v>1000</v>
      </c>
      <c r="V312" t="s">
        <v>380</v>
      </c>
      <c r="X312">
        <v>1</v>
      </c>
      <c r="Z312">
        <v>-3.5</v>
      </c>
      <c r="AA312">
        <v>-1.5</v>
      </c>
      <c r="AB312">
        <v>50</v>
      </c>
      <c r="AC312">
        <v>50</v>
      </c>
      <c r="AD312">
        <v>0</v>
      </c>
      <c r="AE312">
        <v>87</v>
      </c>
      <c r="AF312">
        <v>13</v>
      </c>
      <c r="AG312">
        <v>69</v>
      </c>
      <c r="AH312">
        <v>31</v>
      </c>
      <c r="AI312">
        <v>70</v>
      </c>
      <c r="AJ312">
        <v>30</v>
      </c>
      <c r="AK312">
        <v>98</v>
      </c>
      <c r="AL312">
        <v>2</v>
      </c>
      <c r="AM312">
        <v>0</v>
      </c>
      <c r="AN312">
        <v>0</v>
      </c>
      <c r="AO312">
        <v>0</v>
      </c>
      <c r="AP312">
        <v>0</v>
      </c>
      <c r="AQ312">
        <v>87</v>
      </c>
      <c r="AR312">
        <v>90</v>
      </c>
      <c r="AS312">
        <v>70</v>
      </c>
      <c r="AT312">
        <v>13</v>
      </c>
      <c r="AU312">
        <v>40</v>
      </c>
      <c r="AV312">
        <v>30</v>
      </c>
      <c r="AW312">
        <v>9</v>
      </c>
      <c r="AX312">
        <v>1.8</v>
      </c>
      <c r="AY312">
        <v>3</v>
      </c>
      <c r="AZ312">
        <v>0.6</v>
      </c>
      <c r="BA312">
        <v>4</v>
      </c>
      <c r="BB312">
        <v>4</v>
      </c>
      <c r="BC312">
        <v>3</v>
      </c>
      <c r="BD312">
        <v>4</v>
      </c>
      <c r="BE312">
        <v>1</v>
      </c>
      <c r="BF312">
        <v>0</v>
      </c>
      <c r="BG312">
        <v>0</v>
      </c>
      <c r="BH312">
        <v>0</v>
      </c>
      <c r="BI312">
        <v>9</v>
      </c>
      <c r="BJ312">
        <v>11</v>
      </c>
      <c r="BK312">
        <v>1</v>
      </c>
      <c r="BL312">
        <v>2</v>
      </c>
      <c r="BM312">
        <v>2.2999999999999998</v>
      </c>
      <c r="BN312">
        <v>2.8</v>
      </c>
      <c r="BO312">
        <v>0.3</v>
      </c>
      <c r="BP312">
        <v>0.5</v>
      </c>
      <c r="BQ312">
        <v>1</v>
      </c>
      <c r="BR312">
        <v>0</v>
      </c>
      <c r="BS312">
        <v>0</v>
      </c>
      <c r="BT312">
        <v>0</v>
      </c>
      <c r="BU312">
        <v>1</v>
      </c>
      <c r="BV312">
        <v>0</v>
      </c>
      <c r="BW312">
        <v>0</v>
      </c>
      <c r="BX312">
        <v>0</v>
      </c>
      <c r="BY312">
        <v>4</v>
      </c>
      <c r="BZ312">
        <v>0.8</v>
      </c>
      <c r="CA312">
        <v>7</v>
      </c>
      <c r="CB312">
        <v>1.4</v>
      </c>
      <c r="CC312">
        <v>4</v>
      </c>
      <c r="CD312">
        <v>4</v>
      </c>
      <c r="CE312">
        <v>0</v>
      </c>
      <c r="CF312">
        <v>0</v>
      </c>
      <c r="CG312">
        <v>2</v>
      </c>
      <c r="CH312">
        <v>1</v>
      </c>
      <c r="CI312">
        <v>2</v>
      </c>
      <c r="CJ312">
        <v>3</v>
      </c>
      <c r="CK312">
        <v>4</v>
      </c>
      <c r="CL312">
        <v>1</v>
      </c>
      <c r="CM312">
        <v>6</v>
      </c>
      <c r="CN312">
        <v>8</v>
      </c>
      <c r="CO312">
        <v>1</v>
      </c>
      <c r="CP312">
        <v>0.3</v>
      </c>
      <c r="CQ312">
        <v>1.5</v>
      </c>
      <c r="CR312">
        <v>2</v>
      </c>
      <c r="CS312">
        <v>0</v>
      </c>
      <c r="CT312">
        <v>1</v>
      </c>
      <c r="CU312">
        <v>0</v>
      </c>
      <c r="CV312">
        <v>0</v>
      </c>
      <c r="CW312">
        <v>0</v>
      </c>
      <c r="CX312">
        <v>1</v>
      </c>
      <c r="CY312">
        <v>0</v>
      </c>
      <c r="CZ312">
        <v>0</v>
      </c>
    </row>
    <row r="313" spans="1:104" x14ac:dyDescent="0.25">
      <c r="A313" s="1" t="s">
        <v>1981</v>
      </c>
      <c r="B313">
        <v>542</v>
      </c>
      <c r="C313">
        <v>538</v>
      </c>
      <c r="D313" s="2">
        <v>43758</v>
      </c>
      <c r="E313" s="3">
        <f t="shared" si="12"/>
        <v>2019</v>
      </c>
      <c r="F313" s="3">
        <f t="shared" si="13"/>
        <v>10</v>
      </c>
      <c r="G313" s="3">
        <f t="shared" si="14"/>
        <v>1</v>
      </c>
      <c r="H313" t="s">
        <v>1982</v>
      </c>
      <c r="I313">
        <v>775</v>
      </c>
      <c r="J313" t="s">
        <v>344</v>
      </c>
      <c r="K313" t="s">
        <v>380</v>
      </c>
      <c r="L313">
        <v>2019</v>
      </c>
      <c r="M313" t="s">
        <v>168</v>
      </c>
      <c r="N313" t="s">
        <v>1982</v>
      </c>
      <c r="O313" t="s">
        <v>1983</v>
      </c>
      <c r="P313">
        <v>19840</v>
      </c>
      <c r="Q313" t="s">
        <v>380</v>
      </c>
      <c r="R313">
        <v>1921</v>
      </c>
      <c r="S313" t="s">
        <v>1984</v>
      </c>
      <c r="T313" t="s">
        <v>1985</v>
      </c>
      <c r="U313">
        <v>31800</v>
      </c>
      <c r="V313" t="s">
        <v>380</v>
      </c>
      <c r="W313">
        <v>1923</v>
      </c>
      <c r="X313" t="s">
        <v>109</v>
      </c>
      <c r="Y313">
        <v>-3.5</v>
      </c>
      <c r="Z313">
        <v>-1.5</v>
      </c>
      <c r="AA313">
        <v>-1.5</v>
      </c>
      <c r="AB313">
        <v>45</v>
      </c>
      <c r="AC313">
        <v>45</v>
      </c>
      <c r="AD313">
        <v>10</v>
      </c>
      <c r="AE313">
        <v>38</v>
      </c>
      <c r="AF313">
        <v>63</v>
      </c>
      <c r="AG313">
        <v>60</v>
      </c>
      <c r="AH313">
        <v>40</v>
      </c>
      <c r="AI313">
        <v>38</v>
      </c>
      <c r="AJ313">
        <v>62</v>
      </c>
      <c r="AK313">
        <v>87</v>
      </c>
      <c r="AL313">
        <v>13</v>
      </c>
      <c r="AM313">
        <v>71</v>
      </c>
      <c r="AN313">
        <v>29</v>
      </c>
      <c r="AO313">
        <v>67</v>
      </c>
      <c r="AP313">
        <v>33</v>
      </c>
      <c r="AQ313">
        <v>20</v>
      </c>
      <c r="AR313">
        <v>33</v>
      </c>
      <c r="AS313">
        <v>11</v>
      </c>
      <c r="AT313">
        <v>33</v>
      </c>
      <c r="AU313">
        <v>22</v>
      </c>
      <c r="AV313">
        <v>44</v>
      </c>
      <c r="AW313">
        <v>3</v>
      </c>
      <c r="AX313">
        <v>0.6</v>
      </c>
      <c r="AY313">
        <v>8</v>
      </c>
      <c r="AZ313">
        <v>1.6</v>
      </c>
      <c r="BA313">
        <v>4</v>
      </c>
      <c r="BB313">
        <v>4</v>
      </c>
      <c r="BC313">
        <v>2</v>
      </c>
      <c r="BD313">
        <v>0</v>
      </c>
      <c r="BE313">
        <v>1</v>
      </c>
      <c r="BF313">
        <v>1</v>
      </c>
      <c r="BG313">
        <v>1</v>
      </c>
      <c r="BH313">
        <v>3</v>
      </c>
      <c r="BI313">
        <v>3</v>
      </c>
      <c r="BJ313">
        <v>2</v>
      </c>
      <c r="BK313">
        <v>1</v>
      </c>
      <c r="BL313">
        <v>8</v>
      </c>
      <c r="BM313">
        <v>0.8</v>
      </c>
      <c r="BN313">
        <v>0.5</v>
      </c>
      <c r="BO313">
        <v>0.3</v>
      </c>
      <c r="BP313">
        <v>2</v>
      </c>
      <c r="BQ313">
        <v>4</v>
      </c>
      <c r="BR313">
        <v>4</v>
      </c>
      <c r="BS313">
        <v>3</v>
      </c>
      <c r="BT313">
        <v>1</v>
      </c>
      <c r="BU313">
        <v>1</v>
      </c>
      <c r="BV313">
        <v>0</v>
      </c>
      <c r="BW313">
        <v>0</v>
      </c>
      <c r="BX313">
        <v>3</v>
      </c>
      <c r="BY313">
        <v>2</v>
      </c>
      <c r="BZ313">
        <v>0.4</v>
      </c>
      <c r="CA313">
        <v>5</v>
      </c>
      <c r="CB313">
        <v>1</v>
      </c>
      <c r="CC313">
        <v>5</v>
      </c>
      <c r="CD313">
        <v>3</v>
      </c>
      <c r="CE313">
        <v>2</v>
      </c>
      <c r="CF313">
        <v>0</v>
      </c>
      <c r="CG313">
        <v>1</v>
      </c>
      <c r="CH313">
        <v>2</v>
      </c>
      <c r="CI313">
        <v>2</v>
      </c>
      <c r="CJ313">
        <v>1</v>
      </c>
      <c r="CK313">
        <v>4</v>
      </c>
      <c r="CL313">
        <v>1</v>
      </c>
      <c r="CM313">
        <v>6</v>
      </c>
      <c r="CN313">
        <v>3</v>
      </c>
      <c r="CO313">
        <v>0.8</v>
      </c>
      <c r="CP313">
        <v>0.3</v>
      </c>
      <c r="CQ313">
        <v>1.2</v>
      </c>
      <c r="CR313">
        <v>1</v>
      </c>
      <c r="CS313">
        <v>4</v>
      </c>
      <c r="CT313">
        <v>4</v>
      </c>
      <c r="CU313">
        <v>3</v>
      </c>
      <c r="CV313">
        <v>0</v>
      </c>
      <c r="CW313">
        <v>0</v>
      </c>
      <c r="CX313">
        <v>1</v>
      </c>
      <c r="CY313">
        <v>1</v>
      </c>
      <c r="CZ313">
        <v>3</v>
      </c>
    </row>
    <row r="314" spans="1:104" x14ac:dyDescent="0.25">
      <c r="A314" s="1" t="s">
        <v>1986</v>
      </c>
      <c r="B314">
        <v>3601</v>
      </c>
      <c r="C314">
        <v>3579</v>
      </c>
      <c r="D314" s="2">
        <v>43764</v>
      </c>
      <c r="E314" s="3">
        <f t="shared" si="12"/>
        <v>2019</v>
      </c>
      <c r="F314" s="3">
        <f t="shared" si="13"/>
        <v>10</v>
      </c>
      <c r="G314" s="3">
        <f t="shared" si="14"/>
        <v>7</v>
      </c>
      <c r="H314" t="s">
        <v>1987</v>
      </c>
      <c r="I314">
        <v>914</v>
      </c>
      <c r="J314" t="s">
        <v>1894</v>
      </c>
      <c r="K314" t="s">
        <v>329</v>
      </c>
      <c r="L314">
        <v>2019</v>
      </c>
      <c r="M314" t="s">
        <v>1988</v>
      </c>
      <c r="N314" t="s">
        <v>1987</v>
      </c>
      <c r="O314" t="s">
        <v>436</v>
      </c>
      <c r="P314">
        <v>4000</v>
      </c>
      <c r="Q314" t="s">
        <v>329</v>
      </c>
      <c r="R314">
        <v>1950</v>
      </c>
      <c r="S314" t="s">
        <v>1989</v>
      </c>
      <c r="T314" t="s">
        <v>1990</v>
      </c>
      <c r="U314">
        <v>2500</v>
      </c>
      <c r="V314" t="s">
        <v>329</v>
      </c>
      <c r="W314">
        <v>1990</v>
      </c>
      <c r="X314" t="s">
        <v>109</v>
      </c>
      <c r="Y314">
        <v>-3.5</v>
      </c>
      <c r="Z314">
        <v>-2.5</v>
      </c>
      <c r="AA314">
        <v>-1.5</v>
      </c>
      <c r="AB314">
        <v>45</v>
      </c>
      <c r="AC314">
        <v>45</v>
      </c>
      <c r="AD314">
        <v>10</v>
      </c>
      <c r="AE314">
        <v>50</v>
      </c>
      <c r="AF314">
        <v>50</v>
      </c>
      <c r="AG314">
        <v>67</v>
      </c>
      <c r="AH314">
        <v>33</v>
      </c>
      <c r="AI314">
        <v>25</v>
      </c>
      <c r="AJ314">
        <v>75</v>
      </c>
      <c r="AK314">
        <v>77</v>
      </c>
      <c r="AL314">
        <v>23</v>
      </c>
      <c r="AM314">
        <v>50</v>
      </c>
      <c r="AN314">
        <v>50</v>
      </c>
      <c r="AO314">
        <v>75</v>
      </c>
      <c r="AP314">
        <v>25</v>
      </c>
      <c r="AQ314">
        <v>47</v>
      </c>
      <c r="AR314">
        <v>55</v>
      </c>
      <c r="AS314">
        <v>45</v>
      </c>
      <c r="AT314">
        <v>47</v>
      </c>
      <c r="AU314">
        <v>27</v>
      </c>
      <c r="AV314">
        <v>82</v>
      </c>
      <c r="AW314">
        <v>6</v>
      </c>
      <c r="AX314">
        <v>1.2</v>
      </c>
      <c r="AY314">
        <v>6</v>
      </c>
      <c r="AZ314">
        <v>1.2</v>
      </c>
      <c r="BA314">
        <v>4</v>
      </c>
      <c r="BB314">
        <v>5</v>
      </c>
      <c r="BC314">
        <v>2</v>
      </c>
      <c r="BD314">
        <v>1</v>
      </c>
      <c r="BE314">
        <v>1</v>
      </c>
      <c r="BF314">
        <v>1</v>
      </c>
      <c r="BG314">
        <v>1</v>
      </c>
      <c r="BH314">
        <v>3</v>
      </c>
      <c r="BI314">
        <v>5</v>
      </c>
      <c r="BJ314">
        <v>5</v>
      </c>
      <c r="BK314">
        <v>3</v>
      </c>
      <c r="BL314">
        <v>8</v>
      </c>
      <c r="BM314">
        <v>1.3</v>
      </c>
      <c r="BN314">
        <v>1</v>
      </c>
      <c r="BO314">
        <v>0.8</v>
      </c>
      <c r="BP314">
        <v>1.6</v>
      </c>
      <c r="BQ314">
        <v>2</v>
      </c>
      <c r="BR314">
        <v>2</v>
      </c>
      <c r="BS314">
        <v>2</v>
      </c>
      <c r="BT314">
        <v>1</v>
      </c>
      <c r="BU314">
        <v>0</v>
      </c>
      <c r="BV314">
        <v>0</v>
      </c>
      <c r="BW314">
        <v>0</v>
      </c>
      <c r="BX314">
        <v>1</v>
      </c>
      <c r="BY314">
        <v>3</v>
      </c>
      <c r="BZ314">
        <v>0.6</v>
      </c>
      <c r="CA314">
        <v>2</v>
      </c>
      <c r="CB314">
        <v>0.4</v>
      </c>
      <c r="CC314">
        <v>5</v>
      </c>
      <c r="CD314">
        <v>4</v>
      </c>
      <c r="CE314">
        <v>0</v>
      </c>
      <c r="CF314">
        <v>1</v>
      </c>
      <c r="CG314">
        <v>4</v>
      </c>
      <c r="CH314">
        <v>1</v>
      </c>
      <c r="CI314">
        <v>1</v>
      </c>
      <c r="CJ314">
        <v>2</v>
      </c>
      <c r="CK314">
        <v>2</v>
      </c>
      <c r="CL314">
        <v>2</v>
      </c>
      <c r="CM314">
        <v>3</v>
      </c>
      <c r="CN314">
        <v>5</v>
      </c>
      <c r="CO314">
        <v>0.4</v>
      </c>
      <c r="CP314">
        <v>0.5</v>
      </c>
      <c r="CQ314">
        <v>0.6</v>
      </c>
      <c r="CR314">
        <v>1.3</v>
      </c>
      <c r="CS314">
        <v>2</v>
      </c>
      <c r="CT314">
        <v>2</v>
      </c>
      <c r="CU314">
        <v>1</v>
      </c>
      <c r="CV314">
        <v>0</v>
      </c>
      <c r="CW314">
        <v>0</v>
      </c>
      <c r="CX314">
        <v>0</v>
      </c>
      <c r="CY314">
        <v>1</v>
      </c>
      <c r="CZ314">
        <v>2</v>
      </c>
    </row>
    <row r="315" spans="1:104" x14ac:dyDescent="0.25">
      <c r="A315" s="1" t="s">
        <v>1991</v>
      </c>
      <c r="B315">
        <v>4373</v>
      </c>
      <c r="C315">
        <v>4368</v>
      </c>
      <c r="D315" s="2">
        <v>44055</v>
      </c>
      <c r="E315" s="3">
        <f t="shared" si="12"/>
        <v>2020</v>
      </c>
      <c r="F315" s="3">
        <f t="shared" si="13"/>
        <v>8</v>
      </c>
      <c r="G315" s="3">
        <f t="shared" si="14"/>
        <v>4</v>
      </c>
      <c r="H315" t="s">
        <v>1992</v>
      </c>
      <c r="I315">
        <v>2671</v>
      </c>
      <c r="J315" t="s">
        <v>1335</v>
      </c>
      <c r="K315" t="s">
        <v>1336</v>
      </c>
      <c r="L315">
        <v>2020</v>
      </c>
      <c r="M315" t="s">
        <v>1170</v>
      </c>
      <c r="Q315" t="s">
        <v>1336</v>
      </c>
      <c r="R315">
        <v>1937</v>
      </c>
      <c r="V315" t="s">
        <v>1336</v>
      </c>
      <c r="X315" t="s">
        <v>109</v>
      </c>
      <c r="AB315">
        <v>50</v>
      </c>
      <c r="AC315">
        <v>50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67</v>
      </c>
      <c r="AN315">
        <v>33</v>
      </c>
      <c r="AO315">
        <v>67</v>
      </c>
      <c r="AP315">
        <v>33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3</v>
      </c>
      <c r="BR315">
        <v>1</v>
      </c>
      <c r="BS315">
        <v>2</v>
      </c>
      <c r="BT315">
        <v>0</v>
      </c>
      <c r="BU315">
        <v>1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1</v>
      </c>
      <c r="CT315">
        <v>3</v>
      </c>
      <c r="CU315">
        <v>0</v>
      </c>
      <c r="CV315">
        <v>0</v>
      </c>
      <c r="CW315">
        <v>1</v>
      </c>
      <c r="CX315">
        <v>1</v>
      </c>
      <c r="CY315">
        <v>0</v>
      </c>
      <c r="CZ315">
        <v>2</v>
      </c>
    </row>
    <row r="316" spans="1:104" x14ac:dyDescent="0.25">
      <c r="A316" s="1" t="s">
        <v>1993</v>
      </c>
      <c r="B316">
        <v>9603</v>
      </c>
      <c r="C316">
        <v>9610</v>
      </c>
      <c r="D316" s="2">
        <v>43870</v>
      </c>
      <c r="E316" s="3">
        <f t="shared" si="12"/>
        <v>2020</v>
      </c>
      <c r="F316" s="3">
        <f t="shared" si="13"/>
        <v>2</v>
      </c>
      <c r="G316" s="3">
        <f t="shared" si="14"/>
        <v>1</v>
      </c>
      <c r="H316" t="s">
        <v>1994</v>
      </c>
      <c r="I316">
        <v>1269</v>
      </c>
      <c r="J316" t="s">
        <v>1675</v>
      </c>
      <c r="K316" t="s">
        <v>380</v>
      </c>
      <c r="L316">
        <v>2019</v>
      </c>
      <c r="M316" t="s">
        <v>1995</v>
      </c>
      <c r="N316" t="s">
        <v>1994</v>
      </c>
      <c r="O316" t="s">
        <v>1996</v>
      </c>
      <c r="P316">
        <v>4000</v>
      </c>
      <c r="Q316" t="s">
        <v>380</v>
      </c>
      <c r="R316">
        <v>1928</v>
      </c>
      <c r="S316" t="s">
        <v>1997</v>
      </c>
      <c r="T316" t="s">
        <v>1679</v>
      </c>
      <c r="U316">
        <v>2000</v>
      </c>
      <c r="V316" t="s">
        <v>380</v>
      </c>
      <c r="W316">
        <v>1906</v>
      </c>
      <c r="X316" t="s">
        <v>125</v>
      </c>
      <c r="Y316">
        <v>-3.5</v>
      </c>
      <c r="Z316">
        <v>-1.5</v>
      </c>
      <c r="AA316">
        <v>-1.5</v>
      </c>
      <c r="AB316">
        <v>10</v>
      </c>
      <c r="AC316">
        <v>45</v>
      </c>
      <c r="AD316">
        <v>45</v>
      </c>
      <c r="AE316">
        <v>36</v>
      </c>
      <c r="AF316">
        <v>64</v>
      </c>
      <c r="AG316">
        <v>14</v>
      </c>
      <c r="AH316">
        <v>86</v>
      </c>
      <c r="AI316">
        <v>25</v>
      </c>
      <c r="AJ316">
        <v>75</v>
      </c>
      <c r="AK316">
        <v>52</v>
      </c>
      <c r="AL316">
        <v>48</v>
      </c>
      <c r="AM316">
        <v>0</v>
      </c>
      <c r="AN316">
        <v>100</v>
      </c>
      <c r="AO316">
        <v>20</v>
      </c>
      <c r="AP316">
        <v>80</v>
      </c>
      <c r="AQ316">
        <v>27</v>
      </c>
      <c r="AR316">
        <v>6</v>
      </c>
      <c r="AS316">
        <v>44</v>
      </c>
      <c r="AT316">
        <v>47</v>
      </c>
      <c r="AU316">
        <v>38</v>
      </c>
      <c r="AV316">
        <v>81</v>
      </c>
      <c r="AW316">
        <v>1</v>
      </c>
      <c r="AX316">
        <v>0.2</v>
      </c>
      <c r="AY316">
        <v>9</v>
      </c>
      <c r="AZ316">
        <v>1.8</v>
      </c>
      <c r="BA316">
        <v>11</v>
      </c>
      <c r="BB316">
        <v>11</v>
      </c>
      <c r="BC316">
        <v>3</v>
      </c>
      <c r="BD316">
        <v>3</v>
      </c>
      <c r="BE316">
        <v>5</v>
      </c>
      <c r="BF316">
        <v>1</v>
      </c>
      <c r="BG316">
        <v>3</v>
      </c>
      <c r="BH316">
        <v>7</v>
      </c>
      <c r="BI316">
        <v>14</v>
      </c>
      <c r="BJ316">
        <v>11</v>
      </c>
      <c r="BK316">
        <v>11</v>
      </c>
      <c r="BL316">
        <v>27</v>
      </c>
      <c r="BM316">
        <v>1.3</v>
      </c>
      <c r="BN316">
        <v>1</v>
      </c>
      <c r="BO316">
        <v>1</v>
      </c>
      <c r="BP316">
        <v>2.5</v>
      </c>
      <c r="BQ316">
        <v>1</v>
      </c>
      <c r="BR316">
        <v>1</v>
      </c>
      <c r="BS316">
        <v>1</v>
      </c>
      <c r="BT316">
        <v>0</v>
      </c>
      <c r="BU316">
        <v>0</v>
      </c>
      <c r="BV316">
        <v>0</v>
      </c>
      <c r="BW316">
        <v>0</v>
      </c>
      <c r="BX316">
        <v>1</v>
      </c>
      <c r="BY316">
        <v>6</v>
      </c>
      <c r="BZ316">
        <v>1.2</v>
      </c>
      <c r="CA316">
        <v>3</v>
      </c>
      <c r="CB316">
        <v>0.6</v>
      </c>
      <c r="CC316">
        <v>11</v>
      </c>
      <c r="CD316">
        <v>10</v>
      </c>
      <c r="CE316">
        <v>7</v>
      </c>
      <c r="CF316">
        <v>3</v>
      </c>
      <c r="CG316">
        <v>1</v>
      </c>
      <c r="CH316">
        <v>3</v>
      </c>
      <c r="CI316">
        <v>3</v>
      </c>
      <c r="CJ316">
        <v>4</v>
      </c>
      <c r="CK316">
        <v>22</v>
      </c>
      <c r="CL316">
        <v>8</v>
      </c>
      <c r="CM316">
        <v>11</v>
      </c>
      <c r="CN316">
        <v>9</v>
      </c>
      <c r="CO316">
        <v>2</v>
      </c>
      <c r="CP316">
        <v>0.8</v>
      </c>
      <c r="CQ316">
        <v>1</v>
      </c>
      <c r="CR316">
        <v>0.9</v>
      </c>
      <c r="CS316">
        <v>1</v>
      </c>
      <c r="CT316">
        <v>1</v>
      </c>
      <c r="CU316">
        <v>1</v>
      </c>
      <c r="CV316">
        <v>0</v>
      </c>
      <c r="CW316">
        <v>0</v>
      </c>
      <c r="CX316">
        <v>0</v>
      </c>
      <c r="CY316">
        <v>0</v>
      </c>
      <c r="CZ316">
        <v>1</v>
      </c>
    </row>
    <row r="317" spans="1:104" x14ac:dyDescent="0.25">
      <c r="A317" s="1" t="s">
        <v>1998</v>
      </c>
      <c r="B317">
        <v>150</v>
      </c>
      <c r="C317">
        <v>10001</v>
      </c>
      <c r="D317" s="2">
        <v>43905</v>
      </c>
      <c r="E317" s="3">
        <f t="shared" si="12"/>
        <v>2020</v>
      </c>
      <c r="F317" s="3">
        <f t="shared" si="13"/>
        <v>3</v>
      </c>
      <c r="G317" s="3">
        <f t="shared" si="14"/>
        <v>1</v>
      </c>
      <c r="H317" t="s">
        <v>1999</v>
      </c>
      <c r="I317">
        <v>2257</v>
      </c>
      <c r="J317" t="s">
        <v>2000</v>
      </c>
      <c r="K317" t="s">
        <v>264</v>
      </c>
      <c r="L317">
        <v>2020</v>
      </c>
      <c r="M317" t="s">
        <v>2001</v>
      </c>
      <c r="N317" t="s">
        <v>532</v>
      </c>
      <c r="O317" t="s">
        <v>533</v>
      </c>
      <c r="P317">
        <v>20801</v>
      </c>
      <c r="Q317" t="s">
        <v>264</v>
      </c>
      <c r="R317">
        <v>1913</v>
      </c>
      <c r="V317" t="s">
        <v>264</v>
      </c>
      <c r="X317" t="s">
        <v>125</v>
      </c>
      <c r="Y317">
        <v>-3.5</v>
      </c>
      <c r="Z317">
        <v>-1.5</v>
      </c>
      <c r="AA317">
        <v>-2.5</v>
      </c>
      <c r="AB317">
        <v>10</v>
      </c>
      <c r="AC317">
        <v>45</v>
      </c>
      <c r="AD317">
        <v>45</v>
      </c>
      <c r="AE317">
        <v>20</v>
      </c>
      <c r="AF317">
        <v>80</v>
      </c>
      <c r="AG317">
        <v>33</v>
      </c>
      <c r="AH317">
        <v>67</v>
      </c>
      <c r="AI317">
        <v>53</v>
      </c>
      <c r="AJ317">
        <v>47</v>
      </c>
      <c r="AK317">
        <v>0</v>
      </c>
      <c r="AL317">
        <v>100</v>
      </c>
      <c r="AM317">
        <v>0</v>
      </c>
      <c r="AN317">
        <v>0</v>
      </c>
      <c r="AO317">
        <v>0</v>
      </c>
      <c r="AP317">
        <v>0</v>
      </c>
      <c r="AQ317">
        <v>7</v>
      </c>
      <c r="AR317">
        <v>11</v>
      </c>
      <c r="AS317">
        <v>58</v>
      </c>
      <c r="AT317">
        <v>27</v>
      </c>
      <c r="AU317">
        <v>21</v>
      </c>
      <c r="AV317">
        <v>53</v>
      </c>
      <c r="AW317">
        <v>2</v>
      </c>
      <c r="AX317">
        <v>0.4</v>
      </c>
      <c r="AY317">
        <v>8</v>
      </c>
      <c r="AZ317">
        <v>1.6</v>
      </c>
      <c r="BA317">
        <v>3</v>
      </c>
      <c r="BB317">
        <v>3</v>
      </c>
      <c r="BC317">
        <v>0</v>
      </c>
      <c r="BD317">
        <v>0</v>
      </c>
      <c r="BE317">
        <v>0</v>
      </c>
      <c r="BF317">
        <v>1</v>
      </c>
      <c r="BG317">
        <v>3</v>
      </c>
      <c r="BH317">
        <v>2</v>
      </c>
      <c r="BI317">
        <v>0</v>
      </c>
      <c r="BJ317">
        <v>2</v>
      </c>
      <c r="BK317">
        <v>4</v>
      </c>
      <c r="BL317">
        <v>5</v>
      </c>
      <c r="BM317">
        <v>0</v>
      </c>
      <c r="BN317">
        <v>0.7</v>
      </c>
      <c r="BO317">
        <v>1.3</v>
      </c>
      <c r="BP317">
        <v>1.7</v>
      </c>
      <c r="BQ317">
        <v>1</v>
      </c>
      <c r="BR317">
        <v>0</v>
      </c>
      <c r="BS317">
        <v>1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4</v>
      </c>
      <c r="BZ317">
        <v>0.8</v>
      </c>
      <c r="CA317">
        <v>9</v>
      </c>
      <c r="CB317">
        <v>1.8</v>
      </c>
      <c r="CC317">
        <v>3</v>
      </c>
      <c r="CD317">
        <v>3</v>
      </c>
      <c r="CE317">
        <v>1</v>
      </c>
      <c r="CF317">
        <v>0</v>
      </c>
      <c r="CG317">
        <v>0</v>
      </c>
      <c r="CH317">
        <v>2</v>
      </c>
      <c r="CI317">
        <v>2</v>
      </c>
      <c r="CJ317">
        <v>1</v>
      </c>
      <c r="CK317">
        <v>3</v>
      </c>
      <c r="CL317">
        <v>3</v>
      </c>
      <c r="CM317">
        <v>6</v>
      </c>
      <c r="CN317">
        <v>5</v>
      </c>
      <c r="CO317">
        <v>1</v>
      </c>
      <c r="CP317">
        <v>1</v>
      </c>
      <c r="CQ317">
        <v>2</v>
      </c>
      <c r="CR317">
        <v>1.7</v>
      </c>
      <c r="CS317">
        <v>0</v>
      </c>
      <c r="CT317">
        <v>1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1</v>
      </c>
    </row>
    <row r="318" spans="1:104" x14ac:dyDescent="0.25">
      <c r="A318" s="1" t="s">
        <v>2002</v>
      </c>
      <c r="B318">
        <v>4508</v>
      </c>
      <c r="C318">
        <v>4507</v>
      </c>
      <c r="D318" s="2">
        <v>43779</v>
      </c>
      <c r="E318" s="3">
        <f t="shared" si="12"/>
        <v>2019</v>
      </c>
      <c r="F318" s="3">
        <f t="shared" si="13"/>
        <v>11</v>
      </c>
      <c r="G318" s="3">
        <f t="shared" si="14"/>
        <v>1</v>
      </c>
      <c r="H318" t="s">
        <v>2003</v>
      </c>
      <c r="I318">
        <v>637</v>
      </c>
      <c r="J318" t="s">
        <v>2004</v>
      </c>
      <c r="K318" t="s">
        <v>194</v>
      </c>
      <c r="L318">
        <v>2019</v>
      </c>
      <c r="M318" t="s">
        <v>122</v>
      </c>
      <c r="N318" t="s">
        <v>2005</v>
      </c>
      <c r="O318" t="s">
        <v>2006</v>
      </c>
      <c r="P318">
        <v>12500</v>
      </c>
      <c r="Q318" t="s">
        <v>194</v>
      </c>
      <c r="R318">
        <v>1936</v>
      </c>
      <c r="S318" t="s">
        <v>2007</v>
      </c>
      <c r="T318" t="s">
        <v>2008</v>
      </c>
      <c r="U318">
        <v>7980</v>
      </c>
      <c r="V318" t="s">
        <v>194</v>
      </c>
      <c r="W318">
        <v>1999</v>
      </c>
      <c r="X318" t="s">
        <v>125</v>
      </c>
      <c r="Z318">
        <v>-1.5</v>
      </c>
      <c r="AA318">
        <v>-2.5</v>
      </c>
      <c r="AB318">
        <v>10</v>
      </c>
      <c r="AC318">
        <v>45</v>
      </c>
      <c r="AD318">
        <v>45</v>
      </c>
      <c r="AE318">
        <v>38</v>
      </c>
      <c r="AF318">
        <v>63</v>
      </c>
      <c r="AG318">
        <v>22</v>
      </c>
      <c r="AH318">
        <v>78</v>
      </c>
      <c r="AI318">
        <v>62</v>
      </c>
      <c r="AJ318">
        <v>38</v>
      </c>
      <c r="AK318">
        <v>33</v>
      </c>
      <c r="AL318">
        <v>67</v>
      </c>
      <c r="AM318">
        <v>38</v>
      </c>
      <c r="AN318">
        <v>62</v>
      </c>
      <c r="AO318">
        <v>50</v>
      </c>
      <c r="AP318">
        <v>50</v>
      </c>
      <c r="AQ318">
        <v>20</v>
      </c>
      <c r="AR318">
        <v>25</v>
      </c>
      <c r="AS318">
        <v>38</v>
      </c>
      <c r="AT318">
        <v>33</v>
      </c>
      <c r="AU318">
        <v>88</v>
      </c>
      <c r="AV318">
        <v>0</v>
      </c>
      <c r="AW318">
        <v>2</v>
      </c>
      <c r="AX318">
        <v>0.4</v>
      </c>
      <c r="AY318">
        <v>5</v>
      </c>
      <c r="AZ318">
        <v>1</v>
      </c>
      <c r="BA318">
        <v>4</v>
      </c>
      <c r="BB318">
        <v>5</v>
      </c>
      <c r="BC318">
        <v>1</v>
      </c>
      <c r="BD318">
        <v>1</v>
      </c>
      <c r="BE318">
        <v>1</v>
      </c>
      <c r="BF318">
        <v>4</v>
      </c>
      <c r="BG318">
        <v>2</v>
      </c>
      <c r="BH318">
        <v>0</v>
      </c>
      <c r="BI318">
        <v>2</v>
      </c>
      <c r="BJ318">
        <v>3</v>
      </c>
      <c r="BK318">
        <v>4</v>
      </c>
      <c r="BL318">
        <v>2</v>
      </c>
      <c r="BM318">
        <v>0.5</v>
      </c>
      <c r="BN318">
        <v>0.6</v>
      </c>
      <c r="BO318">
        <v>1</v>
      </c>
      <c r="BP318">
        <v>0.4</v>
      </c>
      <c r="BQ318">
        <v>7</v>
      </c>
      <c r="BR318">
        <v>5</v>
      </c>
      <c r="BS318">
        <v>4</v>
      </c>
      <c r="BT318">
        <v>1</v>
      </c>
      <c r="BU318">
        <v>1</v>
      </c>
      <c r="BV318">
        <v>3</v>
      </c>
      <c r="BW318">
        <v>2</v>
      </c>
      <c r="BX318">
        <v>1</v>
      </c>
      <c r="BY318">
        <v>7</v>
      </c>
      <c r="BZ318">
        <v>1.4</v>
      </c>
      <c r="CA318">
        <v>8</v>
      </c>
      <c r="CB318">
        <v>1.6</v>
      </c>
      <c r="CC318">
        <v>5</v>
      </c>
      <c r="CD318">
        <v>4</v>
      </c>
      <c r="CE318">
        <v>1</v>
      </c>
      <c r="CF318">
        <v>1</v>
      </c>
      <c r="CG318">
        <v>3</v>
      </c>
      <c r="CH318">
        <v>2</v>
      </c>
      <c r="CI318">
        <v>1</v>
      </c>
      <c r="CJ318">
        <v>1</v>
      </c>
      <c r="CK318">
        <v>7</v>
      </c>
      <c r="CL318">
        <v>6</v>
      </c>
      <c r="CM318">
        <v>7</v>
      </c>
      <c r="CN318">
        <v>6</v>
      </c>
      <c r="CO318">
        <v>1.4</v>
      </c>
      <c r="CP318">
        <v>1.5</v>
      </c>
      <c r="CQ318">
        <v>1.4</v>
      </c>
      <c r="CR318">
        <v>1.5</v>
      </c>
      <c r="CS318">
        <v>5</v>
      </c>
      <c r="CT318">
        <v>7</v>
      </c>
      <c r="CU318">
        <v>1</v>
      </c>
      <c r="CV318">
        <v>2</v>
      </c>
      <c r="CW318">
        <v>3</v>
      </c>
      <c r="CX318">
        <v>1</v>
      </c>
      <c r="CY318">
        <v>1</v>
      </c>
      <c r="CZ318">
        <v>4</v>
      </c>
    </row>
    <row r="319" spans="1:104" x14ac:dyDescent="0.25">
      <c r="A319" s="1" t="s">
        <v>2009</v>
      </c>
      <c r="B319">
        <v>755</v>
      </c>
      <c r="C319">
        <v>155</v>
      </c>
      <c r="D319" s="2">
        <v>43689</v>
      </c>
      <c r="E319" s="3">
        <f t="shared" si="12"/>
        <v>2019</v>
      </c>
      <c r="F319" s="3">
        <f t="shared" si="13"/>
        <v>8</v>
      </c>
      <c r="G319" s="3">
        <f t="shared" si="14"/>
        <v>2</v>
      </c>
      <c r="H319" t="s">
        <v>2010</v>
      </c>
      <c r="I319">
        <v>1003</v>
      </c>
      <c r="J319" t="s">
        <v>2011</v>
      </c>
      <c r="K319" t="s">
        <v>264</v>
      </c>
      <c r="L319">
        <v>2019</v>
      </c>
      <c r="M319" t="s">
        <v>173</v>
      </c>
      <c r="N319" t="s">
        <v>2012</v>
      </c>
      <c r="O319" t="s">
        <v>2013</v>
      </c>
      <c r="P319">
        <v>46154</v>
      </c>
      <c r="Q319" t="s">
        <v>264</v>
      </c>
      <c r="R319">
        <v>1901</v>
      </c>
      <c r="S319" t="s">
        <v>1542</v>
      </c>
      <c r="T319" t="s">
        <v>1543</v>
      </c>
      <c r="U319">
        <v>75263</v>
      </c>
      <c r="V319" t="s">
        <v>264</v>
      </c>
      <c r="W319">
        <v>1923</v>
      </c>
      <c r="X319" t="s">
        <v>125</v>
      </c>
      <c r="Z319">
        <v>-2.5</v>
      </c>
      <c r="AA319">
        <v>-2.5</v>
      </c>
      <c r="AB319">
        <v>10</v>
      </c>
      <c r="AC319">
        <v>45</v>
      </c>
      <c r="AD319">
        <v>45</v>
      </c>
      <c r="AE319">
        <v>38</v>
      </c>
      <c r="AF319">
        <v>63</v>
      </c>
      <c r="AG319">
        <v>38</v>
      </c>
      <c r="AH319">
        <v>62</v>
      </c>
      <c r="AI319">
        <v>17</v>
      </c>
      <c r="AJ319">
        <v>83</v>
      </c>
      <c r="AK319">
        <v>53</v>
      </c>
      <c r="AL319">
        <v>47</v>
      </c>
      <c r="AM319">
        <v>62</v>
      </c>
      <c r="AN319">
        <v>38</v>
      </c>
      <c r="AO319">
        <v>67</v>
      </c>
      <c r="AP319">
        <v>33</v>
      </c>
      <c r="AQ319">
        <v>60</v>
      </c>
      <c r="AR319">
        <v>42</v>
      </c>
      <c r="AS319">
        <v>58</v>
      </c>
      <c r="AT319">
        <v>100</v>
      </c>
      <c r="AU319">
        <v>67</v>
      </c>
      <c r="AV319">
        <v>92</v>
      </c>
      <c r="AW319">
        <v>5</v>
      </c>
      <c r="AX319">
        <v>1</v>
      </c>
      <c r="AY319">
        <v>5</v>
      </c>
      <c r="AZ319">
        <v>1</v>
      </c>
      <c r="BA319">
        <v>7</v>
      </c>
      <c r="BB319">
        <v>8</v>
      </c>
      <c r="BC319">
        <v>4</v>
      </c>
      <c r="BD319">
        <v>3</v>
      </c>
      <c r="BE319">
        <v>2</v>
      </c>
      <c r="BF319">
        <v>1</v>
      </c>
      <c r="BG319">
        <v>1</v>
      </c>
      <c r="BH319">
        <v>4</v>
      </c>
      <c r="BI319">
        <v>13</v>
      </c>
      <c r="BJ319">
        <v>5</v>
      </c>
      <c r="BK319">
        <v>8</v>
      </c>
      <c r="BL319">
        <v>8</v>
      </c>
      <c r="BM319">
        <v>1.9</v>
      </c>
      <c r="BN319">
        <v>0.6</v>
      </c>
      <c r="BO319">
        <v>1.1000000000000001</v>
      </c>
      <c r="BP319">
        <v>1</v>
      </c>
      <c r="BQ319">
        <v>5</v>
      </c>
      <c r="BR319">
        <v>5</v>
      </c>
      <c r="BS319">
        <v>4</v>
      </c>
      <c r="BT319">
        <v>1</v>
      </c>
      <c r="BU319">
        <v>1</v>
      </c>
      <c r="BV319">
        <v>3</v>
      </c>
      <c r="BW319">
        <v>0</v>
      </c>
      <c r="BX319">
        <v>1</v>
      </c>
      <c r="BY319">
        <v>8</v>
      </c>
      <c r="BZ319">
        <v>1.6</v>
      </c>
      <c r="CA319">
        <v>1</v>
      </c>
      <c r="CB319">
        <v>0.2</v>
      </c>
      <c r="CC319">
        <v>8</v>
      </c>
      <c r="CD319">
        <v>7</v>
      </c>
      <c r="CE319">
        <v>5</v>
      </c>
      <c r="CF319">
        <v>4</v>
      </c>
      <c r="CG319">
        <v>2</v>
      </c>
      <c r="CH319">
        <v>1</v>
      </c>
      <c r="CI319">
        <v>1</v>
      </c>
      <c r="CJ319">
        <v>2</v>
      </c>
      <c r="CK319">
        <v>11</v>
      </c>
      <c r="CL319">
        <v>9</v>
      </c>
      <c r="CM319">
        <v>5</v>
      </c>
      <c r="CN319">
        <v>10</v>
      </c>
      <c r="CO319">
        <v>1.4</v>
      </c>
      <c r="CP319">
        <v>1.3</v>
      </c>
      <c r="CQ319">
        <v>0.6</v>
      </c>
      <c r="CR319">
        <v>1.4</v>
      </c>
      <c r="CS319">
        <v>5</v>
      </c>
      <c r="CT319">
        <v>5</v>
      </c>
      <c r="CU319">
        <v>1</v>
      </c>
      <c r="CV319">
        <v>0</v>
      </c>
      <c r="CW319">
        <v>3</v>
      </c>
      <c r="CX319">
        <v>1</v>
      </c>
      <c r="CY319">
        <v>1</v>
      </c>
      <c r="CZ319">
        <v>4</v>
      </c>
    </row>
    <row r="320" spans="1:104" x14ac:dyDescent="0.25">
      <c r="A320" s="1" t="s">
        <v>2014</v>
      </c>
      <c r="B320">
        <v>206</v>
      </c>
      <c r="C320">
        <v>210</v>
      </c>
      <c r="D320" s="2">
        <v>43681</v>
      </c>
      <c r="E320" s="3">
        <f t="shared" si="12"/>
        <v>2019</v>
      </c>
      <c r="F320" s="3">
        <f t="shared" si="13"/>
        <v>8</v>
      </c>
      <c r="G320" s="3">
        <f t="shared" si="14"/>
        <v>1</v>
      </c>
      <c r="H320" t="s">
        <v>1746</v>
      </c>
      <c r="I320">
        <v>566</v>
      </c>
      <c r="J320" t="s">
        <v>779</v>
      </c>
      <c r="K320" t="s">
        <v>286</v>
      </c>
      <c r="L320">
        <v>2019</v>
      </c>
      <c r="M320" t="s">
        <v>1170</v>
      </c>
      <c r="N320" t="s">
        <v>1746</v>
      </c>
      <c r="O320" t="s">
        <v>1747</v>
      </c>
      <c r="P320">
        <v>13500</v>
      </c>
      <c r="Q320" t="s">
        <v>286</v>
      </c>
      <c r="R320">
        <v>1903</v>
      </c>
      <c r="S320" t="s">
        <v>1221</v>
      </c>
      <c r="T320" t="s">
        <v>1222</v>
      </c>
      <c r="U320">
        <v>27224</v>
      </c>
      <c r="V320" t="s">
        <v>286</v>
      </c>
      <c r="W320">
        <v>1920</v>
      </c>
      <c r="X320" t="s">
        <v>109</v>
      </c>
      <c r="AB320">
        <v>50</v>
      </c>
      <c r="AC320">
        <v>50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71</v>
      </c>
      <c r="AN320">
        <v>29</v>
      </c>
      <c r="AO320">
        <v>62</v>
      </c>
      <c r="AP320">
        <v>38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10</v>
      </c>
      <c r="BR320">
        <v>10</v>
      </c>
      <c r="BS320">
        <v>5</v>
      </c>
      <c r="BT320">
        <v>5</v>
      </c>
      <c r="BU320">
        <v>0</v>
      </c>
      <c r="BV320">
        <v>3</v>
      </c>
      <c r="BW320">
        <v>5</v>
      </c>
      <c r="BX320">
        <v>2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10</v>
      </c>
      <c r="CT320">
        <v>10</v>
      </c>
      <c r="CU320">
        <v>2</v>
      </c>
      <c r="CV320">
        <v>5</v>
      </c>
      <c r="CW320">
        <v>3</v>
      </c>
      <c r="CX320">
        <v>0</v>
      </c>
      <c r="CY320">
        <v>5</v>
      </c>
      <c r="CZ320">
        <v>5</v>
      </c>
    </row>
    <row r="321" spans="1:104" x14ac:dyDescent="0.25">
      <c r="A321" s="1" t="s">
        <v>2015</v>
      </c>
      <c r="B321">
        <v>1343</v>
      </c>
      <c r="C321">
        <v>1365</v>
      </c>
      <c r="D321" s="2">
        <v>43869</v>
      </c>
      <c r="E321" s="3">
        <f t="shared" si="12"/>
        <v>2020</v>
      </c>
      <c r="F321" s="3">
        <f t="shared" si="13"/>
        <v>2</v>
      </c>
      <c r="G321" s="3">
        <f t="shared" si="14"/>
        <v>7</v>
      </c>
      <c r="H321" t="s">
        <v>2016</v>
      </c>
      <c r="I321">
        <v>582</v>
      </c>
      <c r="J321" t="s">
        <v>248</v>
      </c>
      <c r="K321" t="s">
        <v>241</v>
      </c>
      <c r="L321">
        <v>2019</v>
      </c>
      <c r="M321" t="s">
        <v>2017</v>
      </c>
      <c r="N321" t="s">
        <v>2016</v>
      </c>
      <c r="O321" t="s">
        <v>2018</v>
      </c>
      <c r="P321">
        <v>25136</v>
      </c>
      <c r="Q321" t="s">
        <v>241</v>
      </c>
      <c r="R321">
        <v>1903</v>
      </c>
      <c r="S321" t="s">
        <v>522</v>
      </c>
      <c r="T321" t="s">
        <v>523</v>
      </c>
      <c r="U321">
        <v>9546</v>
      </c>
      <c r="V321" t="s">
        <v>241</v>
      </c>
      <c r="W321">
        <v>1878</v>
      </c>
      <c r="X321" t="s">
        <v>125</v>
      </c>
      <c r="Z321">
        <v>-1.5</v>
      </c>
      <c r="AA321">
        <v>-2.5</v>
      </c>
      <c r="AB321">
        <v>10</v>
      </c>
      <c r="AC321">
        <v>45</v>
      </c>
      <c r="AD321">
        <v>45</v>
      </c>
      <c r="AE321">
        <v>38</v>
      </c>
      <c r="AF321">
        <v>63</v>
      </c>
      <c r="AG321">
        <v>27</v>
      </c>
      <c r="AH321">
        <v>73</v>
      </c>
      <c r="AI321">
        <v>47</v>
      </c>
      <c r="AJ321">
        <v>53</v>
      </c>
      <c r="AK321">
        <v>62</v>
      </c>
      <c r="AL321">
        <v>38</v>
      </c>
      <c r="AM321">
        <v>50</v>
      </c>
      <c r="AN321">
        <v>50</v>
      </c>
      <c r="AO321">
        <v>50</v>
      </c>
      <c r="AP321">
        <v>50</v>
      </c>
      <c r="AQ321">
        <v>20</v>
      </c>
      <c r="AR321">
        <v>18</v>
      </c>
      <c r="AS321">
        <v>47</v>
      </c>
      <c r="AT321">
        <v>33</v>
      </c>
      <c r="AU321">
        <v>47</v>
      </c>
      <c r="AV321">
        <v>53</v>
      </c>
      <c r="AW321">
        <v>3</v>
      </c>
      <c r="AX321">
        <v>0.6</v>
      </c>
      <c r="AY321">
        <v>9</v>
      </c>
      <c r="AZ321">
        <v>1.8</v>
      </c>
      <c r="BA321">
        <v>15</v>
      </c>
      <c r="BB321">
        <v>16</v>
      </c>
      <c r="BC321">
        <v>9</v>
      </c>
      <c r="BD321">
        <v>3</v>
      </c>
      <c r="BE321">
        <v>4</v>
      </c>
      <c r="BF321">
        <v>7</v>
      </c>
      <c r="BG321">
        <v>2</v>
      </c>
      <c r="BH321">
        <v>6</v>
      </c>
      <c r="BI321">
        <v>23</v>
      </c>
      <c r="BJ321">
        <v>13</v>
      </c>
      <c r="BK321">
        <v>11</v>
      </c>
      <c r="BL321">
        <v>20</v>
      </c>
      <c r="BM321">
        <v>1.5</v>
      </c>
      <c r="BN321">
        <v>0.8</v>
      </c>
      <c r="BO321">
        <v>0.7</v>
      </c>
      <c r="BP321">
        <v>1.3</v>
      </c>
      <c r="BQ321">
        <v>1</v>
      </c>
      <c r="BR321">
        <v>1</v>
      </c>
      <c r="BS321">
        <v>0</v>
      </c>
      <c r="BT321">
        <v>0</v>
      </c>
      <c r="BU321">
        <v>1</v>
      </c>
      <c r="BV321">
        <v>1</v>
      </c>
      <c r="BW321">
        <v>0</v>
      </c>
      <c r="BX321">
        <v>0</v>
      </c>
      <c r="BY321">
        <v>8</v>
      </c>
      <c r="BZ321">
        <v>1.6</v>
      </c>
      <c r="CA321">
        <v>8</v>
      </c>
      <c r="CB321">
        <v>1.6</v>
      </c>
      <c r="CC321">
        <v>15</v>
      </c>
      <c r="CD321">
        <v>14</v>
      </c>
      <c r="CE321">
        <v>4</v>
      </c>
      <c r="CF321">
        <v>4</v>
      </c>
      <c r="CG321">
        <v>5</v>
      </c>
      <c r="CH321">
        <v>5</v>
      </c>
      <c r="CI321">
        <v>6</v>
      </c>
      <c r="CJ321">
        <v>5</v>
      </c>
      <c r="CK321">
        <v>16</v>
      </c>
      <c r="CL321">
        <v>16</v>
      </c>
      <c r="CM321">
        <v>21</v>
      </c>
      <c r="CN321">
        <v>15</v>
      </c>
      <c r="CO321">
        <v>1.1000000000000001</v>
      </c>
      <c r="CP321">
        <v>1.1000000000000001</v>
      </c>
      <c r="CQ321">
        <v>1.4</v>
      </c>
      <c r="CR321">
        <v>1.1000000000000001</v>
      </c>
      <c r="CS321">
        <v>1</v>
      </c>
      <c r="CT321">
        <v>1</v>
      </c>
      <c r="CU321">
        <v>0</v>
      </c>
      <c r="CV321">
        <v>0</v>
      </c>
      <c r="CW321">
        <v>1</v>
      </c>
      <c r="CX321">
        <v>1</v>
      </c>
      <c r="CY321">
        <v>0</v>
      </c>
      <c r="CZ321">
        <v>0</v>
      </c>
    </row>
    <row r="322" spans="1:104" x14ac:dyDescent="0.25">
      <c r="A322" s="1" t="s">
        <v>2019</v>
      </c>
      <c r="B322">
        <v>7528</v>
      </c>
      <c r="C322">
        <v>3382</v>
      </c>
      <c r="D322" s="2">
        <v>43708</v>
      </c>
      <c r="E322" s="3">
        <f t="shared" si="12"/>
        <v>2019</v>
      </c>
      <c r="F322" s="3">
        <f t="shared" si="13"/>
        <v>8</v>
      </c>
      <c r="G322" s="3">
        <f t="shared" si="14"/>
        <v>7</v>
      </c>
      <c r="H322" t="s">
        <v>2020</v>
      </c>
      <c r="I322">
        <v>1130</v>
      </c>
      <c r="J322" t="s">
        <v>1365</v>
      </c>
      <c r="K322" t="s">
        <v>423</v>
      </c>
      <c r="L322">
        <v>2019</v>
      </c>
      <c r="M322" t="s">
        <v>2021</v>
      </c>
      <c r="Q322" t="s">
        <v>423</v>
      </c>
      <c r="R322">
        <v>1947</v>
      </c>
      <c r="V322" t="s">
        <v>423</v>
      </c>
      <c r="W322">
        <v>1922</v>
      </c>
      <c r="X322">
        <v>2</v>
      </c>
      <c r="Y322">
        <v>-3.5</v>
      </c>
      <c r="Z322">
        <v>-1.5</v>
      </c>
      <c r="AA322">
        <v>-3.5</v>
      </c>
      <c r="AB322">
        <v>10</v>
      </c>
      <c r="AC322">
        <v>45</v>
      </c>
      <c r="AD322">
        <v>45</v>
      </c>
      <c r="AE322">
        <v>22</v>
      </c>
      <c r="AF322">
        <v>78</v>
      </c>
      <c r="AG322">
        <v>11</v>
      </c>
      <c r="AH322">
        <v>89</v>
      </c>
      <c r="AI322">
        <v>33</v>
      </c>
      <c r="AJ322">
        <v>67</v>
      </c>
      <c r="AK322">
        <v>0</v>
      </c>
      <c r="AL322">
        <v>0</v>
      </c>
      <c r="AM322">
        <v>80</v>
      </c>
      <c r="AN322">
        <v>20</v>
      </c>
      <c r="AO322">
        <v>67</v>
      </c>
      <c r="AP322">
        <v>33</v>
      </c>
      <c r="AQ322">
        <v>22</v>
      </c>
      <c r="AR322">
        <v>5</v>
      </c>
      <c r="AS322">
        <v>90</v>
      </c>
      <c r="AT322">
        <v>78</v>
      </c>
      <c r="AU322">
        <v>40</v>
      </c>
      <c r="AV322">
        <v>95</v>
      </c>
      <c r="AW322">
        <v>1</v>
      </c>
      <c r="AX322">
        <v>0.3</v>
      </c>
      <c r="AY322">
        <v>2</v>
      </c>
      <c r="AZ322">
        <v>0.7</v>
      </c>
      <c r="BA322">
        <v>1</v>
      </c>
      <c r="BB322">
        <v>2</v>
      </c>
      <c r="BC322">
        <v>0</v>
      </c>
      <c r="BD322">
        <v>0</v>
      </c>
      <c r="BE322">
        <v>1</v>
      </c>
      <c r="BF322">
        <v>1</v>
      </c>
      <c r="BG322">
        <v>0</v>
      </c>
      <c r="BH322">
        <v>1</v>
      </c>
      <c r="BI322">
        <v>0</v>
      </c>
      <c r="BJ322">
        <v>1</v>
      </c>
      <c r="BK322">
        <v>0</v>
      </c>
      <c r="BL322">
        <v>2</v>
      </c>
      <c r="BM322">
        <v>0</v>
      </c>
      <c r="BN322">
        <v>0.5</v>
      </c>
      <c r="BO322">
        <v>0</v>
      </c>
      <c r="BP322">
        <v>1</v>
      </c>
      <c r="BQ322">
        <v>2</v>
      </c>
      <c r="BR322">
        <v>1</v>
      </c>
      <c r="BS322">
        <v>2</v>
      </c>
      <c r="BT322">
        <v>0</v>
      </c>
      <c r="BU322">
        <v>0</v>
      </c>
      <c r="BV322">
        <v>1</v>
      </c>
      <c r="BW322">
        <v>0</v>
      </c>
      <c r="BX322">
        <v>0</v>
      </c>
      <c r="BY322">
        <v>8</v>
      </c>
      <c r="BZ322">
        <v>2.7</v>
      </c>
      <c r="CA322">
        <v>1</v>
      </c>
      <c r="CB322">
        <v>0.3</v>
      </c>
      <c r="CC322">
        <v>1</v>
      </c>
      <c r="CD322">
        <v>2</v>
      </c>
      <c r="CE322">
        <v>1</v>
      </c>
      <c r="CF322">
        <v>1</v>
      </c>
      <c r="CG322">
        <v>0</v>
      </c>
      <c r="CH322">
        <v>1</v>
      </c>
      <c r="CI322">
        <v>0</v>
      </c>
      <c r="CJ322">
        <v>0</v>
      </c>
      <c r="CK322">
        <v>5</v>
      </c>
      <c r="CL322">
        <v>3</v>
      </c>
      <c r="CM322">
        <v>0</v>
      </c>
      <c r="CN322">
        <v>1</v>
      </c>
      <c r="CO322">
        <v>5</v>
      </c>
      <c r="CP322">
        <v>1.5</v>
      </c>
      <c r="CQ322">
        <v>0</v>
      </c>
      <c r="CR322">
        <v>0.5</v>
      </c>
      <c r="CS322">
        <v>1</v>
      </c>
      <c r="CT322">
        <v>2</v>
      </c>
      <c r="CU322">
        <v>0</v>
      </c>
      <c r="CV322">
        <v>0</v>
      </c>
      <c r="CW322">
        <v>1</v>
      </c>
      <c r="CX322">
        <v>0</v>
      </c>
      <c r="CY322">
        <v>0</v>
      </c>
      <c r="CZ322">
        <v>2</v>
      </c>
    </row>
    <row r="323" spans="1:104" x14ac:dyDescent="0.25">
      <c r="A323" s="1" t="s">
        <v>2022</v>
      </c>
      <c r="B323">
        <v>390</v>
      </c>
      <c r="C323">
        <v>387</v>
      </c>
      <c r="D323" s="2">
        <v>43771</v>
      </c>
      <c r="E323" s="3">
        <f t="shared" ref="E323:E386" si="15">YEAR(D323)</f>
        <v>2019</v>
      </c>
      <c r="F323" s="3">
        <f t="shared" ref="F323:F386" si="16">MONTH(D323)</f>
        <v>11</v>
      </c>
      <c r="G323" s="3">
        <f t="shared" ref="G323:G386" si="17">WEEKDAY(D323)</f>
        <v>7</v>
      </c>
      <c r="H323" t="s">
        <v>2023</v>
      </c>
      <c r="I323">
        <v>322</v>
      </c>
      <c r="J323" t="s">
        <v>216</v>
      </c>
      <c r="K323" t="s">
        <v>217</v>
      </c>
      <c r="L323">
        <v>2019</v>
      </c>
      <c r="M323" t="s">
        <v>339</v>
      </c>
      <c r="N323" t="s">
        <v>219</v>
      </c>
      <c r="O323" t="s">
        <v>220</v>
      </c>
      <c r="P323">
        <v>1625</v>
      </c>
      <c r="Q323" t="s">
        <v>217</v>
      </c>
      <c r="S323" t="s">
        <v>2024</v>
      </c>
      <c r="T323" t="s">
        <v>2025</v>
      </c>
      <c r="U323">
        <v>9000</v>
      </c>
      <c r="V323" t="s">
        <v>217</v>
      </c>
      <c r="W323">
        <v>1964</v>
      </c>
      <c r="X323" t="s">
        <v>109</v>
      </c>
      <c r="Y323">
        <v>-3.5</v>
      </c>
      <c r="Z323">
        <v>-2.5</v>
      </c>
      <c r="AA323">
        <v>-1.5</v>
      </c>
      <c r="AB323">
        <v>35</v>
      </c>
      <c r="AC323">
        <v>35</v>
      </c>
      <c r="AD323">
        <v>30</v>
      </c>
      <c r="AE323">
        <v>53</v>
      </c>
      <c r="AF323">
        <v>47</v>
      </c>
      <c r="AG323">
        <v>67</v>
      </c>
      <c r="AH323">
        <v>33</v>
      </c>
      <c r="AI323">
        <v>50</v>
      </c>
      <c r="AJ323">
        <v>50</v>
      </c>
      <c r="AK323">
        <v>51</v>
      </c>
      <c r="AL323">
        <v>49</v>
      </c>
      <c r="AM323">
        <v>40</v>
      </c>
      <c r="AN323">
        <v>60</v>
      </c>
      <c r="AO323">
        <v>45</v>
      </c>
      <c r="AP323">
        <v>55</v>
      </c>
      <c r="AQ323">
        <v>67</v>
      </c>
      <c r="AR323">
        <v>55</v>
      </c>
      <c r="AS323">
        <v>82</v>
      </c>
      <c r="AT323">
        <v>60</v>
      </c>
      <c r="AU323">
        <v>27</v>
      </c>
      <c r="AV323">
        <v>82</v>
      </c>
      <c r="AW323">
        <v>6</v>
      </c>
      <c r="AX323">
        <v>1.2</v>
      </c>
      <c r="AY323">
        <v>2</v>
      </c>
      <c r="AZ323">
        <v>0.4</v>
      </c>
      <c r="BA323">
        <v>13</v>
      </c>
      <c r="BB323">
        <v>13</v>
      </c>
      <c r="BC323">
        <v>6</v>
      </c>
      <c r="BD323">
        <v>5</v>
      </c>
      <c r="BE323">
        <v>3</v>
      </c>
      <c r="BF323">
        <v>4</v>
      </c>
      <c r="BG323">
        <v>4</v>
      </c>
      <c r="BH323">
        <v>4</v>
      </c>
      <c r="BI323">
        <v>14</v>
      </c>
      <c r="BJ323">
        <v>14</v>
      </c>
      <c r="BK323">
        <v>14</v>
      </c>
      <c r="BL323">
        <v>11</v>
      </c>
      <c r="BM323">
        <v>1.1000000000000001</v>
      </c>
      <c r="BN323">
        <v>1.1000000000000001</v>
      </c>
      <c r="BO323">
        <v>1.1000000000000001</v>
      </c>
      <c r="BP323">
        <v>0.8</v>
      </c>
      <c r="BQ323">
        <v>6</v>
      </c>
      <c r="BR323">
        <v>4</v>
      </c>
      <c r="BS323">
        <v>4</v>
      </c>
      <c r="BT323">
        <v>1</v>
      </c>
      <c r="BU323">
        <v>0</v>
      </c>
      <c r="BV323">
        <v>0</v>
      </c>
      <c r="BW323">
        <v>2</v>
      </c>
      <c r="BX323">
        <v>3</v>
      </c>
      <c r="BY323">
        <v>3</v>
      </c>
      <c r="BZ323">
        <v>0.6</v>
      </c>
      <c r="CA323">
        <v>2</v>
      </c>
      <c r="CB323">
        <v>0.4</v>
      </c>
      <c r="CC323">
        <v>13</v>
      </c>
      <c r="CD323">
        <v>13</v>
      </c>
      <c r="CE323">
        <v>3</v>
      </c>
      <c r="CF323">
        <v>6</v>
      </c>
      <c r="CG323">
        <v>4</v>
      </c>
      <c r="CH323">
        <v>1</v>
      </c>
      <c r="CI323">
        <v>6</v>
      </c>
      <c r="CJ323">
        <v>6</v>
      </c>
      <c r="CK323">
        <v>6</v>
      </c>
      <c r="CL323">
        <v>17</v>
      </c>
      <c r="CM323">
        <v>12</v>
      </c>
      <c r="CN323">
        <v>21</v>
      </c>
      <c r="CO323">
        <v>0.5</v>
      </c>
      <c r="CP323">
        <v>1.3</v>
      </c>
      <c r="CQ323">
        <v>0.9</v>
      </c>
      <c r="CR323">
        <v>1.6</v>
      </c>
      <c r="CS323">
        <v>4</v>
      </c>
      <c r="CT323">
        <v>6</v>
      </c>
      <c r="CU323">
        <v>3</v>
      </c>
      <c r="CV323">
        <v>2</v>
      </c>
      <c r="CW323">
        <v>0</v>
      </c>
      <c r="CX323">
        <v>0</v>
      </c>
      <c r="CY323">
        <v>1</v>
      </c>
      <c r="CZ323">
        <v>4</v>
      </c>
    </row>
    <row r="324" spans="1:104" x14ac:dyDescent="0.25">
      <c r="A324" s="1" t="s">
        <v>2026</v>
      </c>
      <c r="B324">
        <v>2415</v>
      </c>
      <c r="C324">
        <v>4714</v>
      </c>
      <c r="D324" s="2">
        <v>43684</v>
      </c>
      <c r="E324" s="3">
        <f t="shared" si="15"/>
        <v>2019</v>
      </c>
      <c r="F324" s="3">
        <f t="shared" si="16"/>
        <v>8</v>
      </c>
      <c r="G324" s="3">
        <f t="shared" si="17"/>
        <v>4</v>
      </c>
      <c r="H324" t="s">
        <v>2027</v>
      </c>
      <c r="I324">
        <v>761</v>
      </c>
      <c r="J324" t="s">
        <v>2028</v>
      </c>
      <c r="K324" t="s">
        <v>190</v>
      </c>
      <c r="L324">
        <v>2019</v>
      </c>
      <c r="M324" t="s">
        <v>405</v>
      </c>
      <c r="Q324" t="s">
        <v>190</v>
      </c>
      <c r="R324">
        <v>2015</v>
      </c>
      <c r="S324" t="s">
        <v>2029</v>
      </c>
      <c r="T324" t="s">
        <v>2030</v>
      </c>
      <c r="U324">
        <v>5000</v>
      </c>
      <c r="V324" t="s">
        <v>190</v>
      </c>
      <c r="W324">
        <v>1923</v>
      </c>
      <c r="X324" t="s">
        <v>109</v>
      </c>
      <c r="Y324">
        <v>-2.5</v>
      </c>
      <c r="Z324">
        <v>-1.5</v>
      </c>
      <c r="AB324">
        <v>50</v>
      </c>
      <c r="AC324">
        <v>50</v>
      </c>
      <c r="AD324">
        <v>0</v>
      </c>
      <c r="AE324">
        <v>100</v>
      </c>
      <c r="AF324">
        <v>0</v>
      </c>
      <c r="AG324">
        <v>100</v>
      </c>
      <c r="AH324">
        <v>0</v>
      </c>
      <c r="AI324">
        <v>100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100</v>
      </c>
      <c r="AR324">
        <v>8</v>
      </c>
      <c r="AS324">
        <v>100</v>
      </c>
      <c r="AT324">
        <v>0</v>
      </c>
      <c r="AU324">
        <v>0</v>
      </c>
      <c r="AV324">
        <v>92</v>
      </c>
      <c r="AW324">
        <v>1</v>
      </c>
      <c r="AX324">
        <v>1</v>
      </c>
      <c r="AY324">
        <v>0</v>
      </c>
      <c r="AZ324">
        <v>0</v>
      </c>
      <c r="BA324">
        <v>0</v>
      </c>
      <c r="BB324">
        <v>1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0</v>
      </c>
      <c r="BL324">
        <v>0</v>
      </c>
      <c r="BM324">
        <v>0</v>
      </c>
      <c r="BN324">
        <v>1</v>
      </c>
      <c r="BO324">
        <v>0</v>
      </c>
      <c r="BP324">
        <v>0</v>
      </c>
      <c r="BQ324">
        <v>1</v>
      </c>
      <c r="BR324">
        <v>1</v>
      </c>
      <c r="BS324">
        <v>1</v>
      </c>
      <c r="BT324">
        <v>0</v>
      </c>
      <c r="BU324">
        <v>0</v>
      </c>
      <c r="BV324">
        <v>0</v>
      </c>
      <c r="BW324">
        <v>0</v>
      </c>
      <c r="BX324">
        <v>1</v>
      </c>
      <c r="BY324">
        <v>0</v>
      </c>
      <c r="BZ324">
        <v>0</v>
      </c>
      <c r="CA324">
        <v>1</v>
      </c>
      <c r="CB324">
        <v>1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1</v>
      </c>
      <c r="CJ324">
        <v>0</v>
      </c>
      <c r="CK324">
        <v>0</v>
      </c>
      <c r="CL324">
        <v>0</v>
      </c>
      <c r="CM324">
        <v>1</v>
      </c>
      <c r="CN324">
        <v>0</v>
      </c>
      <c r="CO324">
        <v>0</v>
      </c>
      <c r="CP324">
        <v>0</v>
      </c>
      <c r="CQ324">
        <v>1</v>
      </c>
      <c r="CR324">
        <v>0</v>
      </c>
      <c r="CS324">
        <v>1</v>
      </c>
      <c r="CT324">
        <v>1</v>
      </c>
      <c r="CU324">
        <v>1</v>
      </c>
      <c r="CV324">
        <v>0</v>
      </c>
      <c r="CW324">
        <v>0</v>
      </c>
      <c r="CX324">
        <v>0</v>
      </c>
      <c r="CY324">
        <v>0</v>
      </c>
      <c r="CZ324">
        <v>1</v>
      </c>
    </row>
    <row r="325" spans="1:104" x14ac:dyDescent="0.25">
      <c r="A325" s="1" t="s">
        <v>2031</v>
      </c>
      <c r="B325">
        <v>1613</v>
      </c>
      <c r="C325">
        <v>2242</v>
      </c>
      <c r="D325" s="2">
        <v>43687</v>
      </c>
      <c r="E325" s="3">
        <f t="shared" si="15"/>
        <v>2019</v>
      </c>
      <c r="F325" s="3">
        <f t="shared" si="16"/>
        <v>8</v>
      </c>
      <c r="G325" s="3">
        <f t="shared" si="17"/>
        <v>7</v>
      </c>
      <c r="H325" t="s">
        <v>2032</v>
      </c>
      <c r="I325">
        <v>294</v>
      </c>
      <c r="J325" t="s">
        <v>611</v>
      </c>
      <c r="K325" t="s">
        <v>612</v>
      </c>
      <c r="L325">
        <v>2019</v>
      </c>
      <c r="M325" t="s">
        <v>787</v>
      </c>
      <c r="N325" t="s">
        <v>2032</v>
      </c>
      <c r="O325" t="s">
        <v>2033</v>
      </c>
      <c r="P325">
        <v>24650</v>
      </c>
      <c r="Q325" t="s">
        <v>612</v>
      </c>
      <c r="R325">
        <v>1996</v>
      </c>
      <c r="S325" t="s">
        <v>2034</v>
      </c>
      <c r="T325" t="s">
        <v>2035</v>
      </c>
      <c r="U325">
        <v>40000</v>
      </c>
      <c r="V325" t="s">
        <v>612</v>
      </c>
      <c r="X325" t="s">
        <v>109</v>
      </c>
      <c r="Z325">
        <v>-2.5</v>
      </c>
      <c r="AA325">
        <v>-1.5</v>
      </c>
      <c r="AB325">
        <v>45</v>
      </c>
      <c r="AC325">
        <v>45</v>
      </c>
      <c r="AD325">
        <v>10</v>
      </c>
      <c r="AE325">
        <v>73</v>
      </c>
      <c r="AF325">
        <v>27</v>
      </c>
      <c r="AG325">
        <v>62</v>
      </c>
      <c r="AH325">
        <v>38</v>
      </c>
      <c r="AI325">
        <v>61</v>
      </c>
      <c r="AJ325">
        <v>39</v>
      </c>
      <c r="AK325">
        <v>63</v>
      </c>
      <c r="AL325">
        <v>37</v>
      </c>
      <c r="AM325">
        <v>0</v>
      </c>
      <c r="AN325">
        <v>100</v>
      </c>
      <c r="AO325">
        <v>0</v>
      </c>
      <c r="AP325">
        <v>100</v>
      </c>
      <c r="AQ325">
        <v>53</v>
      </c>
      <c r="AR325">
        <v>35</v>
      </c>
      <c r="AS325">
        <v>70</v>
      </c>
      <c r="AT325">
        <v>20</v>
      </c>
      <c r="AU325">
        <v>22</v>
      </c>
      <c r="AV325">
        <v>52</v>
      </c>
      <c r="AW325">
        <v>8</v>
      </c>
      <c r="AX325">
        <v>1.6</v>
      </c>
      <c r="AY325">
        <v>7</v>
      </c>
      <c r="AZ325">
        <v>1.4</v>
      </c>
      <c r="BA325">
        <v>13</v>
      </c>
      <c r="BB325">
        <v>12</v>
      </c>
      <c r="BC325">
        <v>5</v>
      </c>
      <c r="BD325">
        <v>2</v>
      </c>
      <c r="BE325">
        <v>2</v>
      </c>
      <c r="BF325">
        <v>2</v>
      </c>
      <c r="BG325">
        <v>6</v>
      </c>
      <c r="BH325">
        <v>8</v>
      </c>
      <c r="BI325">
        <v>14</v>
      </c>
      <c r="BJ325">
        <v>11</v>
      </c>
      <c r="BK325">
        <v>17</v>
      </c>
      <c r="BL325">
        <v>20</v>
      </c>
      <c r="BM325">
        <v>1.1000000000000001</v>
      </c>
      <c r="BN325">
        <v>0.9</v>
      </c>
      <c r="BO325">
        <v>1.3</v>
      </c>
      <c r="BP325">
        <v>1.7</v>
      </c>
      <c r="BQ325">
        <v>1</v>
      </c>
      <c r="BR325">
        <v>3</v>
      </c>
      <c r="BS325">
        <v>0</v>
      </c>
      <c r="BT325">
        <v>2</v>
      </c>
      <c r="BU325">
        <v>1</v>
      </c>
      <c r="BV325">
        <v>0</v>
      </c>
      <c r="BW325">
        <v>0</v>
      </c>
      <c r="BX325">
        <v>1</v>
      </c>
      <c r="BY325">
        <v>5</v>
      </c>
      <c r="BZ325">
        <v>1</v>
      </c>
      <c r="CA325">
        <v>11</v>
      </c>
      <c r="CB325">
        <v>2.2000000000000002</v>
      </c>
      <c r="CC325">
        <v>11</v>
      </c>
      <c r="CD325">
        <v>13</v>
      </c>
      <c r="CE325">
        <v>3</v>
      </c>
      <c r="CF325">
        <v>2</v>
      </c>
      <c r="CG325">
        <v>1</v>
      </c>
      <c r="CH325">
        <v>1</v>
      </c>
      <c r="CI325">
        <v>7</v>
      </c>
      <c r="CJ325">
        <v>10</v>
      </c>
      <c r="CK325">
        <v>11</v>
      </c>
      <c r="CL325">
        <v>12</v>
      </c>
      <c r="CM325">
        <v>21</v>
      </c>
      <c r="CN325">
        <v>34</v>
      </c>
      <c r="CO325">
        <v>1</v>
      </c>
      <c r="CP325">
        <v>0.9</v>
      </c>
      <c r="CQ325">
        <v>1.9</v>
      </c>
      <c r="CR325">
        <v>2.6</v>
      </c>
      <c r="CS325">
        <v>3</v>
      </c>
      <c r="CT325">
        <v>1</v>
      </c>
      <c r="CU325">
        <v>1</v>
      </c>
      <c r="CV325">
        <v>0</v>
      </c>
      <c r="CW325">
        <v>0</v>
      </c>
      <c r="CX325">
        <v>1</v>
      </c>
      <c r="CY325">
        <v>2</v>
      </c>
      <c r="CZ325">
        <v>0</v>
      </c>
    </row>
    <row r="326" spans="1:104" x14ac:dyDescent="0.25">
      <c r="A326" s="1" t="s">
        <v>2036</v>
      </c>
      <c r="B326">
        <v>7683</v>
      </c>
      <c r="C326">
        <v>7227</v>
      </c>
      <c r="D326" s="2">
        <v>43757</v>
      </c>
      <c r="E326" s="3">
        <f t="shared" si="15"/>
        <v>2019</v>
      </c>
      <c r="F326" s="3">
        <f t="shared" si="16"/>
        <v>10</v>
      </c>
      <c r="G326" s="3">
        <f t="shared" si="17"/>
        <v>7</v>
      </c>
      <c r="H326" t="s">
        <v>2037</v>
      </c>
      <c r="I326">
        <v>1173</v>
      </c>
      <c r="J326" t="s">
        <v>2038</v>
      </c>
      <c r="K326" t="s">
        <v>241</v>
      </c>
      <c r="L326">
        <v>2019</v>
      </c>
      <c r="M326" t="s">
        <v>2039</v>
      </c>
      <c r="N326" t="s">
        <v>2040</v>
      </c>
      <c r="O326" t="s">
        <v>2041</v>
      </c>
      <c r="P326">
        <v>1118</v>
      </c>
      <c r="Q326" t="s">
        <v>241</v>
      </c>
      <c r="S326" t="s">
        <v>2042</v>
      </c>
      <c r="T326" t="s">
        <v>2043</v>
      </c>
      <c r="U326">
        <v>2374</v>
      </c>
      <c r="V326" t="s">
        <v>241</v>
      </c>
      <c r="X326" t="s">
        <v>109</v>
      </c>
      <c r="Z326">
        <v>-2.5</v>
      </c>
      <c r="AA326">
        <v>-2.5</v>
      </c>
      <c r="AB326">
        <v>45</v>
      </c>
      <c r="AC326">
        <v>45</v>
      </c>
      <c r="AD326">
        <v>10</v>
      </c>
      <c r="AE326">
        <v>64</v>
      </c>
      <c r="AF326">
        <v>36</v>
      </c>
      <c r="AG326">
        <v>56</v>
      </c>
      <c r="AH326">
        <v>44</v>
      </c>
      <c r="AI326">
        <v>43</v>
      </c>
      <c r="AJ326">
        <v>57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47</v>
      </c>
      <c r="AR326">
        <v>56</v>
      </c>
      <c r="AS326">
        <v>50</v>
      </c>
      <c r="AT326">
        <v>27</v>
      </c>
      <c r="AU326">
        <v>44</v>
      </c>
      <c r="AV326">
        <v>63</v>
      </c>
      <c r="AW326">
        <v>9</v>
      </c>
      <c r="AX326">
        <v>1.8</v>
      </c>
      <c r="AY326">
        <v>8</v>
      </c>
      <c r="AZ326">
        <v>1.6</v>
      </c>
      <c r="BA326">
        <v>4</v>
      </c>
      <c r="BB326">
        <v>5</v>
      </c>
      <c r="BC326">
        <v>1</v>
      </c>
      <c r="BD326">
        <v>1</v>
      </c>
      <c r="BE326">
        <v>0</v>
      </c>
      <c r="BF326">
        <v>2</v>
      </c>
      <c r="BG326">
        <v>3</v>
      </c>
      <c r="BH326">
        <v>2</v>
      </c>
      <c r="BI326">
        <v>5</v>
      </c>
      <c r="BJ326">
        <v>6</v>
      </c>
      <c r="BK326">
        <v>8</v>
      </c>
      <c r="BL326">
        <v>10</v>
      </c>
      <c r="BM326">
        <v>1.3</v>
      </c>
      <c r="BN326">
        <v>1.2</v>
      </c>
      <c r="BO326">
        <v>2</v>
      </c>
      <c r="BP326">
        <v>2</v>
      </c>
      <c r="BQ326">
        <v>1</v>
      </c>
      <c r="BR326">
        <v>0</v>
      </c>
      <c r="BS326">
        <v>0</v>
      </c>
      <c r="BT326">
        <v>0</v>
      </c>
      <c r="BU326">
        <v>1</v>
      </c>
      <c r="BV326">
        <v>0</v>
      </c>
      <c r="BW326">
        <v>0</v>
      </c>
      <c r="BX326">
        <v>0</v>
      </c>
      <c r="BY326">
        <v>7</v>
      </c>
      <c r="BZ326">
        <v>1.4</v>
      </c>
      <c r="CA326">
        <v>6</v>
      </c>
      <c r="CB326">
        <v>1.2</v>
      </c>
      <c r="CC326">
        <v>5</v>
      </c>
      <c r="CD326">
        <v>5</v>
      </c>
      <c r="CE326">
        <v>1</v>
      </c>
      <c r="CF326">
        <v>1</v>
      </c>
      <c r="CG326">
        <v>2</v>
      </c>
      <c r="CH326">
        <v>1</v>
      </c>
      <c r="CI326">
        <v>2</v>
      </c>
      <c r="CJ326">
        <v>3</v>
      </c>
      <c r="CK326">
        <v>9</v>
      </c>
      <c r="CL326">
        <v>3</v>
      </c>
      <c r="CM326">
        <v>6</v>
      </c>
      <c r="CN326">
        <v>6</v>
      </c>
      <c r="CO326">
        <v>1.8</v>
      </c>
      <c r="CP326">
        <v>0.6</v>
      </c>
      <c r="CQ326">
        <v>1.2</v>
      </c>
      <c r="CR326">
        <v>1.2</v>
      </c>
      <c r="CS326">
        <v>0</v>
      </c>
      <c r="CT326">
        <v>1</v>
      </c>
      <c r="CU326">
        <v>0</v>
      </c>
      <c r="CV326">
        <v>0</v>
      </c>
      <c r="CW326">
        <v>0</v>
      </c>
      <c r="CX326">
        <v>1</v>
      </c>
      <c r="CY326">
        <v>0</v>
      </c>
      <c r="CZ326">
        <v>0</v>
      </c>
    </row>
    <row r="327" spans="1:104" x14ac:dyDescent="0.25">
      <c r="A327" s="1" t="s">
        <v>2044</v>
      </c>
      <c r="B327">
        <v>9559</v>
      </c>
      <c r="C327">
        <v>9561</v>
      </c>
      <c r="D327" s="2">
        <v>43765</v>
      </c>
      <c r="E327" s="3">
        <f t="shared" si="15"/>
        <v>2019</v>
      </c>
      <c r="F327" s="3">
        <f t="shared" si="16"/>
        <v>10</v>
      </c>
      <c r="G327" s="3">
        <f t="shared" si="17"/>
        <v>1</v>
      </c>
      <c r="H327" t="s">
        <v>2045</v>
      </c>
      <c r="I327">
        <v>1261</v>
      </c>
      <c r="J327" t="s">
        <v>1108</v>
      </c>
      <c r="K327" t="s">
        <v>338</v>
      </c>
      <c r="L327">
        <v>2019</v>
      </c>
      <c r="M327" t="s">
        <v>168</v>
      </c>
      <c r="N327" t="s">
        <v>2046</v>
      </c>
      <c r="O327" t="s">
        <v>2047</v>
      </c>
      <c r="P327">
        <v>13500</v>
      </c>
      <c r="Q327" t="s">
        <v>338</v>
      </c>
      <c r="R327">
        <v>1967</v>
      </c>
      <c r="S327" t="s">
        <v>2048</v>
      </c>
      <c r="T327" t="s">
        <v>2049</v>
      </c>
      <c r="U327">
        <v>4000</v>
      </c>
      <c r="V327" t="s">
        <v>338</v>
      </c>
      <c r="W327">
        <v>1912</v>
      </c>
      <c r="X327" t="s">
        <v>109</v>
      </c>
      <c r="Z327">
        <v>-2.5</v>
      </c>
      <c r="AA327">
        <v>-2.5</v>
      </c>
      <c r="AB327">
        <v>45</v>
      </c>
      <c r="AC327">
        <v>45</v>
      </c>
      <c r="AD327">
        <v>10</v>
      </c>
      <c r="AE327">
        <v>56</v>
      </c>
      <c r="AF327">
        <v>44</v>
      </c>
      <c r="AG327">
        <v>57</v>
      </c>
      <c r="AH327">
        <v>43</v>
      </c>
      <c r="AI327">
        <v>47</v>
      </c>
      <c r="AJ327">
        <v>53</v>
      </c>
      <c r="AK327">
        <v>62</v>
      </c>
      <c r="AL327">
        <v>38</v>
      </c>
      <c r="AM327">
        <v>0</v>
      </c>
      <c r="AN327">
        <v>0</v>
      </c>
      <c r="AO327">
        <v>0</v>
      </c>
      <c r="AP327">
        <v>0</v>
      </c>
      <c r="AQ327">
        <v>33</v>
      </c>
      <c r="AR327">
        <v>62</v>
      </c>
      <c r="AS327">
        <v>23</v>
      </c>
      <c r="AT327">
        <v>27</v>
      </c>
      <c r="AU327">
        <v>46</v>
      </c>
      <c r="AV327">
        <v>31</v>
      </c>
      <c r="AW327">
        <v>8</v>
      </c>
      <c r="AX327">
        <v>1.6</v>
      </c>
      <c r="AY327">
        <v>10</v>
      </c>
      <c r="AZ327">
        <v>2</v>
      </c>
      <c r="BA327">
        <v>4</v>
      </c>
      <c r="BB327">
        <v>4</v>
      </c>
      <c r="BC327">
        <v>1</v>
      </c>
      <c r="BD327">
        <v>1</v>
      </c>
      <c r="BE327">
        <v>1</v>
      </c>
      <c r="BF327">
        <v>1</v>
      </c>
      <c r="BG327">
        <v>2</v>
      </c>
      <c r="BH327">
        <v>2</v>
      </c>
      <c r="BI327">
        <v>6</v>
      </c>
      <c r="BJ327">
        <v>3</v>
      </c>
      <c r="BK327">
        <v>8</v>
      </c>
      <c r="BL327">
        <v>4</v>
      </c>
      <c r="BM327">
        <v>1.5</v>
      </c>
      <c r="BN327">
        <v>0.8</v>
      </c>
      <c r="BO327">
        <v>2</v>
      </c>
      <c r="BP327">
        <v>1</v>
      </c>
      <c r="BQ327">
        <v>1</v>
      </c>
      <c r="BR327">
        <v>1</v>
      </c>
      <c r="BS327">
        <v>1</v>
      </c>
      <c r="BT327">
        <v>0</v>
      </c>
      <c r="BU327">
        <v>0</v>
      </c>
      <c r="BV327">
        <v>1</v>
      </c>
      <c r="BW327">
        <v>0</v>
      </c>
      <c r="BX327">
        <v>0</v>
      </c>
      <c r="BY327">
        <v>6</v>
      </c>
      <c r="BZ327">
        <v>1.2</v>
      </c>
      <c r="CA327">
        <v>9</v>
      </c>
      <c r="CB327">
        <v>1.8</v>
      </c>
      <c r="CC327">
        <v>4</v>
      </c>
      <c r="CD327">
        <v>4</v>
      </c>
      <c r="CE327">
        <v>1</v>
      </c>
      <c r="CF327">
        <v>0</v>
      </c>
      <c r="CG327">
        <v>0</v>
      </c>
      <c r="CH327">
        <v>1</v>
      </c>
      <c r="CI327">
        <v>3</v>
      </c>
      <c r="CJ327">
        <v>3</v>
      </c>
      <c r="CK327">
        <v>6</v>
      </c>
      <c r="CL327">
        <v>3</v>
      </c>
      <c r="CM327">
        <v>10</v>
      </c>
      <c r="CN327">
        <v>9</v>
      </c>
      <c r="CO327">
        <v>1.5</v>
      </c>
      <c r="CP327">
        <v>0.8</v>
      </c>
      <c r="CQ327">
        <v>2.5</v>
      </c>
      <c r="CR327">
        <v>2.2999999999999998</v>
      </c>
      <c r="CS327">
        <v>1</v>
      </c>
      <c r="CT327">
        <v>1</v>
      </c>
      <c r="CU327">
        <v>0</v>
      </c>
      <c r="CV327">
        <v>0</v>
      </c>
      <c r="CW327">
        <v>1</v>
      </c>
      <c r="CX327">
        <v>0</v>
      </c>
      <c r="CY327">
        <v>0</v>
      </c>
      <c r="CZ327">
        <v>1</v>
      </c>
    </row>
    <row r="328" spans="1:104" x14ac:dyDescent="0.25">
      <c r="A328" s="1" t="s">
        <v>2050</v>
      </c>
      <c r="B328">
        <v>4213</v>
      </c>
      <c r="C328">
        <v>4215</v>
      </c>
      <c r="D328" s="2">
        <v>44003</v>
      </c>
      <c r="E328" s="3">
        <f t="shared" si="15"/>
        <v>2020</v>
      </c>
      <c r="F328" s="3">
        <f t="shared" si="16"/>
        <v>6</v>
      </c>
      <c r="G328" s="3">
        <f t="shared" si="17"/>
        <v>1</v>
      </c>
      <c r="H328" t="s">
        <v>2051</v>
      </c>
      <c r="I328">
        <v>1370</v>
      </c>
      <c r="J328" t="s">
        <v>761</v>
      </c>
      <c r="K328" t="s">
        <v>900</v>
      </c>
      <c r="L328">
        <v>2020</v>
      </c>
      <c r="M328" t="s">
        <v>591</v>
      </c>
      <c r="N328" t="s">
        <v>2051</v>
      </c>
      <c r="O328" t="s">
        <v>2052</v>
      </c>
      <c r="P328">
        <v>11000</v>
      </c>
      <c r="Q328" t="s">
        <v>900</v>
      </c>
      <c r="R328">
        <v>1991</v>
      </c>
      <c r="S328" t="s">
        <v>2053</v>
      </c>
      <c r="T328" t="s">
        <v>2054</v>
      </c>
      <c r="U328">
        <v>21000</v>
      </c>
      <c r="V328" t="s">
        <v>900</v>
      </c>
      <c r="W328">
        <v>1978</v>
      </c>
      <c r="X328" t="s">
        <v>125</v>
      </c>
      <c r="Z328">
        <v>-2.5</v>
      </c>
      <c r="AA328">
        <v>-3.5</v>
      </c>
      <c r="AB328">
        <v>10</v>
      </c>
      <c r="AC328">
        <v>45</v>
      </c>
      <c r="AD328">
        <v>45</v>
      </c>
      <c r="AE328">
        <v>33</v>
      </c>
      <c r="AF328">
        <v>67</v>
      </c>
      <c r="AG328">
        <v>40</v>
      </c>
      <c r="AH328">
        <v>60</v>
      </c>
      <c r="AI328">
        <v>56</v>
      </c>
      <c r="AJ328">
        <v>44</v>
      </c>
      <c r="AK328">
        <v>0</v>
      </c>
      <c r="AL328">
        <v>0</v>
      </c>
      <c r="AM328">
        <v>40</v>
      </c>
      <c r="AN328">
        <v>60</v>
      </c>
      <c r="AO328">
        <v>38</v>
      </c>
      <c r="AP328">
        <v>63</v>
      </c>
      <c r="AQ328">
        <v>42</v>
      </c>
      <c r="AR328">
        <v>40</v>
      </c>
      <c r="AS328">
        <v>73</v>
      </c>
      <c r="AT328">
        <v>83</v>
      </c>
      <c r="AU328">
        <v>60</v>
      </c>
      <c r="AV328">
        <v>67</v>
      </c>
      <c r="AW328">
        <v>6</v>
      </c>
      <c r="AX328">
        <v>1.5</v>
      </c>
      <c r="AY328">
        <v>4</v>
      </c>
      <c r="AZ328">
        <v>1</v>
      </c>
      <c r="BA328">
        <v>2</v>
      </c>
      <c r="BB328">
        <v>2</v>
      </c>
      <c r="BC328">
        <v>1</v>
      </c>
      <c r="BD328">
        <v>0</v>
      </c>
      <c r="BE328">
        <v>1</v>
      </c>
      <c r="BF328">
        <v>1</v>
      </c>
      <c r="BG328">
        <v>0</v>
      </c>
      <c r="BH328">
        <v>1</v>
      </c>
      <c r="BI328">
        <v>4</v>
      </c>
      <c r="BJ328">
        <v>2</v>
      </c>
      <c r="BK328">
        <v>1</v>
      </c>
      <c r="BL328">
        <v>3</v>
      </c>
      <c r="BM328">
        <v>2</v>
      </c>
      <c r="BN328">
        <v>1</v>
      </c>
      <c r="BO328">
        <v>0.5</v>
      </c>
      <c r="BP328">
        <v>1.5</v>
      </c>
      <c r="BQ328">
        <v>6</v>
      </c>
      <c r="BR328">
        <v>5</v>
      </c>
      <c r="BS328">
        <v>2</v>
      </c>
      <c r="BT328">
        <v>0</v>
      </c>
      <c r="BU328">
        <v>3</v>
      </c>
      <c r="BV328">
        <v>0</v>
      </c>
      <c r="BW328">
        <v>1</v>
      </c>
      <c r="BX328">
        <v>5</v>
      </c>
      <c r="BY328">
        <v>9</v>
      </c>
      <c r="BZ328">
        <v>2.2999999999999998</v>
      </c>
      <c r="CA328">
        <v>5</v>
      </c>
      <c r="CB328">
        <v>1.3</v>
      </c>
      <c r="CC328">
        <v>2</v>
      </c>
      <c r="CD328">
        <v>2</v>
      </c>
      <c r="CE328">
        <v>1</v>
      </c>
      <c r="CF328">
        <v>2</v>
      </c>
      <c r="CG328">
        <v>1</v>
      </c>
      <c r="CH328">
        <v>0</v>
      </c>
      <c r="CI328">
        <v>0</v>
      </c>
      <c r="CJ328">
        <v>0</v>
      </c>
      <c r="CK328">
        <v>4</v>
      </c>
      <c r="CL328">
        <v>5</v>
      </c>
      <c r="CM328">
        <v>3</v>
      </c>
      <c r="CN328">
        <v>2</v>
      </c>
      <c r="CO328">
        <v>2</v>
      </c>
      <c r="CP328">
        <v>2.5</v>
      </c>
      <c r="CQ328">
        <v>1.5</v>
      </c>
      <c r="CR328">
        <v>1</v>
      </c>
      <c r="CS328">
        <v>5</v>
      </c>
      <c r="CT328">
        <v>6</v>
      </c>
      <c r="CU328">
        <v>5</v>
      </c>
      <c r="CV328">
        <v>1</v>
      </c>
      <c r="CW328">
        <v>0</v>
      </c>
      <c r="CX328">
        <v>3</v>
      </c>
      <c r="CY328">
        <v>0</v>
      </c>
      <c r="CZ328">
        <v>2</v>
      </c>
    </row>
    <row r="329" spans="1:104" x14ac:dyDescent="0.25">
      <c r="A329" s="1" t="s">
        <v>2055</v>
      </c>
      <c r="B329">
        <v>408</v>
      </c>
      <c r="C329">
        <v>398</v>
      </c>
      <c r="D329" s="2">
        <v>43779</v>
      </c>
      <c r="E329" s="3">
        <f t="shared" si="15"/>
        <v>2019</v>
      </c>
      <c r="F329" s="3">
        <f t="shared" si="16"/>
        <v>11</v>
      </c>
      <c r="G329" s="3">
        <f t="shared" si="17"/>
        <v>1</v>
      </c>
      <c r="H329" t="s">
        <v>1201</v>
      </c>
      <c r="I329">
        <v>515</v>
      </c>
      <c r="J329" t="s">
        <v>112</v>
      </c>
      <c r="K329" t="s">
        <v>113</v>
      </c>
      <c r="L329">
        <v>2019</v>
      </c>
      <c r="M329" t="s">
        <v>173</v>
      </c>
      <c r="N329" t="s">
        <v>1201</v>
      </c>
      <c r="O329" t="s">
        <v>1202</v>
      </c>
      <c r="P329">
        <v>6600</v>
      </c>
      <c r="Q329" t="s">
        <v>113</v>
      </c>
      <c r="R329">
        <v>1913</v>
      </c>
      <c r="S329" t="s">
        <v>2056</v>
      </c>
      <c r="T329" t="s">
        <v>2057</v>
      </c>
      <c r="U329">
        <v>10300</v>
      </c>
      <c r="V329" t="s">
        <v>113</v>
      </c>
      <c r="W329">
        <v>2003</v>
      </c>
      <c r="X329" t="s">
        <v>125</v>
      </c>
      <c r="Z329">
        <v>-1.5</v>
      </c>
      <c r="AA329">
        <v>-2.5</v>
      </c>
      <c r="AB329">
        <v>10</v>
      </c>
      <c r="AC329">
        <v>45</v>
      </c>
      <c r="AD329">
        <v>45</v>
      </c>
      <c r="AE329">
        <v>20</v>
      </c>
      <c r="AF329">
        <v>80</v>
      </c>
      <c r="AG329">
        <v>30</v>
      </c>
      <c r="AH329">
        <v>70</v>
      </c>
      <c r="AI329">
        <v>53</v>
      </c>
      <c r="AJ329">
        <v>47</v>
      </c>
      <c r="AK329">
        <v>0</v>
      </c>
      <c r="AL329">
        <v>0</v>
      </c>
      <c r="AM329">
        <v>29</v>
      </c>
      <c r="AN329">
        <v>71</v>
      </c>
      <c r="AO329">
        <v>44</v>
      </c>
      <c r="AP329">
        <v>56</v>
      </c>
      <c r="AQ329">
        <v>7</v>
      </c>
      <c r="AR329">
        <v>21</v>
      </c>
      <c r="AS329">
        <v>43</v>
      </c>
      <c r="AT329">
        <v>27</v>
      </c>
      <c r="AU329">
        <v>50</v>
      </c>
      <c r="AV329">
        <v>36</v>
      </c>
      <c r="AW329">
        <v>3</v>
      </c>
      <c r="AX329">
        <v>0.6</v>
      </c>
      <c r="AY329">
        <v>8</v>
      </c>
      <c r="AZ329">
        <v>1.6</v>
      </c>
      <c r="BA329">
        <v>8</v>
      </c>
      <c r="BB329">
        <v>7</v>
      </c>
      <c r="BC329">
        <v>1</v>
      </c>
      <c r="BD329">
        <v>1</v>
      </c>
      <c r="BE329">
        <v>5</v>
      </c>
      <c r="BF329">
        <v>2</v>
      </c>
      <c r="BG329">
        <v>2</v>
      </c>
      <c r="BH329">
        <v>4</v>
      </c>
      <c r="BI329">
        <v>7</v>
      </c>
      <c r="BJ329">
        <v>8</v>
      </c>
      <c r="BK329">
        <v>10</v>
      </c>
      <c r="BL329">
        <v>11</v>
      </c>
      <c r="BM329">
        <v>0.9</v>
      </c>
      <c r="BN329">
        <v>1.1000000000000001</v>
      </c>
      <c r="BO329">
        <v>1.3</v>
      </c>
      <c r="BP329">
        <v>1.6</v>
      </c>
      <c r="BQ329">
        <v>9</v>
      </c>
      <c r="BR329">
        <v>5</v>
      </c>
      <c r="BS329">
        <v>3</v>
      </c>
      <c r="BT329">
        <v>0</v>
      </c>
      <c r="BU329">
        <v>3</v>
      </c>
      <c r="BV329">
        <v>0</v>
      </c>
      <c r="BW329">
        <v>3</v>
      </c>
      <c r="BX329">
        <v>5</v>
      </c>
      <c r="BY329">
        <v>7</v>
      </c>
      <c r="BZ329">
        <v>1.4</v>
      </c>
      <c r="CA329">
        <v>9</v>
      </c>
      <c r="CB329">
        <v>1.8</v>
      </c>
      <c r="CC329">
        <v>7</v>
      </c>
      <c r="CD329">
        <v>8</v>
      </c>
      <c r="CE329">
        <v>4</v>
      </c>
      <c r="CF329">
        <v>2</v>
      </c>
      <c r="CG329">
        <v>2</v>
      </c>
      <c r="CH329">
        <v>0</v>
      </c>
      <c r="CI329">
        <v>1</v>
      </c>
      <c r="CJ329">
        <v>6</v>
      </c>
      <c r="CK329">
        <v>11</v>
      </c>
      <c r="CL329">
        <v>14</v>
      </c>
      <c r="CM329">
        <v>6</v>
      </c>
      <c r="CN329">
        <v>19</v>
      </c>
      <c r="CO329">
        <v>1.6</v>
      </c>
      <c r="CP329">
        <v>1.8</v>
      </c>
      <c r="CQ329">
        <v>0.9</v>
      </c>
      <c r="CR329">
        <v>2.4</v>
      </c>
      <c r="CS329">
        <v>5</v>
      </c>
      <c r="CT329">
        <v>9</v>
      </c>
      <c r="CU329">
        <v>5</v>
      </c>
      <c r="CV329">
        <v>3</v>
      </c>
      <c r="CW329">
        <v>0</v>
      </c>
      <c r="CX329">
        <v>3</v>
      </c>
      <c r="CY329">
        <v>0</v>
      </c>
      <c r="CZ329">
        <v>3</v>
      </c>
    </row>
    <row r="330" spans="1:104" x14ac:dyDescent="0.25">
      <c r="A330" s="1" t="s">
        <v>2058</v>
      </c>
      <c r="B330">
        <v>10078</v>
      </c>
      <c r="C330">
        <v>4383</v>
      </c>
      <c r="D330" s="2">
        <v>44073</v>
      </c>
      <c r="E330" s="3">
        <f t="shared" si="15"/>
        <v>2020</v>
      </c>
      <c r="F330" s="3">
        <f t="shared" si="16"/>
        <v>8</v>
      </c>
      <c r="G330" s="3">
        <f t="shared" si="17"/>
        <v>1</v>
      </c>
      <c r="H330" t="s">
        <v>2059</v>
      </c>
      <c r="I330">
        <v>1366</v>
      </c>
      <c r="J330" t="s">
        <v>2060</v>
      </c>
      <c r="K330" t="s">
        <v>2061</v>
      </c>
      <c r="L330">
        <v>2020</v>
      </c>
      <c r="M330" t="s">
        <v>306</v>
      </c>
      <c r="N330" t="s">
        <v>2062</v>
      </c>
      <c r="O330" t="s">
        <v>2063</v>
      </c>
      <c r="P330">
        <v>1000</v>
      </c>
      <c r="Q330" t="s">
        <v>2061</v>
      </c>
      <c r="R330">
        <v>1943</v>
      </c>
      <c r="S330" t="s">
        <v>2064</v>
      </c>
      <c r="T330" t="s">
        <v>2065</v>
      </c>
      <c r="U330">
        <v>10000</v>
      </c>
      <c r="V330" t="s">
        <v>2061</v>
      </c>
      <c r="W330">
        <v>1942</v>
      </c>
      <c r="X330" t="s">
        <v>125</v>
      </c>
      <c r="Y330">
        <v>-3.5</v>
      </c>
      <c r="Z330">
        <v>-1.5</v>
      </c>
      <c r="AA330">
        <v>-1.5</v>
      </c>
      <c r="AB330">
        <v>10</v>
      </c>
      <c r="AC330">
        <v>45</v>
      </c>
      <c r="AD330">
        <v>45</v>
      </c>
      <c r="AE330">
        <v>20</v>
      </c>
      <c r="AF330">
        <v>80</v>
      </c>
      <c r="AG330">
        <v>43</v>
      </c>
      <c r="AH330">
        <v>57</v>
      </c>
      <c r="AI330">
        <v>46</v>
      </c>
      <c r="AJ330">
        <v>54</v>
      </c>
      <c r="AK330">
        <v>100</v>
      </c>
      <c r="AL330">
        <v>0</v>
      </c>
      <c r="AM330">
        <v>0</v>
      </c>
      <c r="AN330">
        <v>100</v>
      </c>
      <c r="AO330">
        <v>0</v>
      </c>
      <c r="AP330">
        <v>100</v>
      </c>
      <c r="AQ330">
        <v>8</v>
      </c>
      <c r="AR330">
        <v>20</v>
      </c>
      <c r="AS330">
        <v>53</v>
      </c>
      <c r="AT330">
        <v>27</v>
      </c>
      <c r="AU330">
        <v>27</v>
      </c>
      <c r="AV330">
        <v>60</v>
      </c>
      <c r="AW330">
        <v>3</v>
      </c>
      <c r="AX330">
        <v>0.8</v>
      </c>
      <c r="AY330">
        <v>7</v>
      </c>
      <c r="AZ330">
        <v>1.8</v>
      </c>
      <c r="BA330">
        <v>2</v>
      </c>
      <c r="BB330">
        <v>2</v>
      </c>
      <c r="BC330">
        <v>0</v>
      </c>
      <c r="BD330">
        <v>0</v>
      </c>
      <c r="BE330">
        <v>1</v>
      </c>
      <c r="BF330">
        <v>0</v>
      </c>
      <c r="BG330">
        <v>1</v>
      </c>
      <c r="BH330">
        <v>2</v>
      </c>
      <c r="BI330">
        <v>2</v>
      </c>
      <c r="BJ330">
        <v>1</v>
      </c>
      <c r="BK330">
        <v>3</v>
      </c>
      <c r="BL330">
        <v>4</v>
      </c>
      <c r="BM330">
        <v>1</v>
      </c>
      <c r="BN330">
        <v>0.5</v>
      </c>
      <c r="BO330">
        <v>1.5</v>
      </c>
      <c r="BP330">
        <v>2</v>
      </c>
      <c r="BQ330">
        <v>0</v>
      </c>
      <c r="BR330">
        <v>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1</v>
      </c>
      <c r="BY330">
        <v>4</v>
      </c>
      <c r="BZ330">
        <v>0.8</v>
      </c>
      <c r="CA330">
        <v>6</v>
      </c>
      <c r="CB330">
        <v>1.2</v>
      </c>
      <c r="CC330">
        <v>3</v>
      </c>
      <c r="CD330">
        <v>2</v>
      </c>
      <c r="CE330">
        <v>1</v>
      </c>
      <c r="CF330">
        <v>0</v>
      </c>
      <c r="CG330">
        <v>0</v>
      </c>
      <c r="CH330">
        <v>1</v>
      </c>
      <c r="CI330">
        <v>2</v>
      </c>
      <c r="CJ330">
        <v>1</v>
      </c>
      <c r="CK330">
        <v>4</v>
      </c>
      <c r="CL330">
        <v>0</v>
      </c>
      <c r="CM330">
        <v>5</v>
      </c>
      <c r="CN330">
        <v>1</v>
      </c>
      <c r="CO330">
        <v>1.3</v>
      </c>
      <c r="CP330">
        <v>0</v>
      </c>
      <c r="CQ330">
        <v>1.7</v>
      </c>
      <c r="CR330">
        <v>0.5</v>
      </c>
      <c r="CS330">
        <v>1</v>
      </c>
      <c r="CT330">
        <v>0</v>
      </c>
      <c r="CU330">
        <v>1</v>
      </c>
      <c r="CV330">
        <v>0</v>
      </c>
      <c r="CW330">
        <v>0</v>
      </c>
      <c r="CX330">
        <v>0</v>
      </c>
      <c r="CY330">
        <v>0</v>
      </c>
      <c r="CZ330">
        <v>0</v>
      </c>
    </row>
    <row r="331" spans="1:104" x14ac:dyDescent="0.25">
      <c r="A331" s="1" t="s">
        <v>2066</v>
      </c>
      <c r="B331">
        <v>12185</v>
      </c>
      <c r="C331">
        <v>12181</v>
      </c>
      <c r="D331" s="2">
        <v>43750</v>
      </c>
      <c r="E331" s="3">
        <f t="shared" si="15"/>
        <v>2019</v>
      </c>
      <c r="F331" s="3">
        <f t="shared" si="16"/>
        <v>10</v>
      </c>
      <c r="G331" s="3">
        <f t="shared" si="17"/>
        <v>7</v>
      </c>
      <c r="H331" t="s">
        <v>1900</v>
      </c>
      <c r="I331">
        <v>2108</v>
      </c>
      <c r="J331" t="s">
        <v>1901</v>
      </c>
      <c r="K331" t="s">
        <v>1902</v>
      </c>
      <c r="L331">
        <v>2019</v>
      </c>
      <c r="M331" t="s">
        <v>122</v>
      </c>
      <c r="N331" t="s">
        <v>2067</v>
      </c>
      <c r="O331" t="s">
        <v>2068</v>
      </c>
      <c r="P331">
        <v>5000</v>
      </c>
      <c r="Q331" t="s">
        <v>1902</v>
      </c>
      <c r="V331" t="s">
        <v>1902</v>
      </c>
      <c r="X331" t="s">
        <v>125</v>
      </c>
      <c r="Z331">
        <v>-1.5</v>
      </c>
      <c r="AA331">
        <v>-2.5</v>
      </c>
      <c r="AB331">
        <v>10</v>
      </c>
      <c r="AC331">
        <v>45</v>
      </c>
      <c r="AD331">
        <v>45</v>
      </c>
      <c r="AE331">
        <v>30</v>
      </c>
      <c r="AF331">
        <v>70</v>
      </c>
      <c r="AG331">
        <v>36</v>
      </c>
      <c r="AH331">
        <v>64</v>
      </c>
      <c r="AI331">
        <v>48</v>
      </c>
      <c r="AJ331">
        <v>52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20</v>
      </c>
      <c r="AR331">
        <v>36</v>
      </c>
      <c r="AS331">
        <v>0</v>
      </c>
      <c r="AT331">
        <v>47</v>
      </c>
      <c r="AU331">
        <v>64</v>
      </c>
      <c r="AV331">
        <v>9</v>
      </c>
      <c r="AW331">
        <v>4</v>
      </c>
      <c r="AX331">
        <v>0.8</v>
      </c>
      <c r="AY331">
        <v>11</v>
      </c>
      <c r="AZ331">
        <v>2.2000000000000002</v>
      </c>
      <c r="BA331">
        <v>4</v>
      </c>
      <c r="BB331">
        <v>5</v>
      </c>
      <c r="BC331">
        <v>1</v>
      </c>
      <c r="BD331">
        <v>0</v>
      </c>
      <c r="BE331">
        <v>0</v>
      </c>
      <c r="BF331">
        <v>0</v>
      </c>
      <c r="BG331">
        <v>3</v>
      </c>
      <c r="BH331">
        <v>5</v>
      </c>
      <c r="BI331">
        <v>3</v>
      </c>
      <c r="BJ331">
        <v>3</v>
      </c>
      <c r="BK331">
        <v>5</v>
      </c>
      <c r="BL331">
        <v>18</v>
      </c>
      <c r="BM331">
        <v>0.8</v>
      </c>
      <c r="BN331">
        <v>0.6</v>
      </c>
      <c r="BO331">
        <v>1.3</v>
      </c>
      <c r="BP331">
        <v>3.6</v>
      </c>
      <c r="BQ331">
        <v>1</v>
      </c>
      <c r="BR331">
        <v>1</v>
      </c>
      <c r="BS331">
        <v>0</v>
      </c>
      <c r="BT331">
        <v>0</v>
      </c>
      <c r="BU331">
        <v>1</v>
      </c>
      <c r="BV331">
        <v>0</v>
      </c>
      <c r="BW331">
        <v>0</v>
      </c>
      <c r="BX331">
        <v>1</v>
      </c>
      <c r="BY331">
        <v>7</v>
      </c>
      <c r="BZ331">
        <v>1.4</v>
      </c>
      <c r="CA331">
        <v>10</v>
      </c>
      <c r="CB331">
        <v>2</v>
      </c>
      <c r="CC331">
        <v>2</v>
      </c>
      <c r="CD331">
        <v>5</v>
      </c>
      <c r="CE331">
        <v>1</v>
      </c>
      <c r="CF331">
        <v>1</v>
      </c>
      <c r="CG331">
        <v>0</v>
      </c>
      <c r="CH331">
        <v>2</v>
      </c>
      <c r="CI331">
        <v>1</v>
      </c>
      <c r="CJ331">
        <v>2</v>
      </c>
      <c r="CK331">
        <v>2</v>
      </c>
      <c r="CL331">
        <v>6</v>
      </c>
      <c r="CM331">
        <v>5</v>
      </c>
      <c r="CN331">
        <v>8</v>
      </c>
      <c r="CO331">
        <v>1</v>
      </c>
      <c r="CP331">
        <v>1.2</v>
      </c>
      <c r="CQ331">
        <v>2.5</v>
      </c>
      <c r="CR331">
        <v>1.6</v>
      </c>
      <c r="CS331">
        <v>1</v>
      </c>
      <c r="CT331">
        <v>1</v>
      </c>
      <c r="CU331">
        <v>1</v>
      </c>
      <c r="CV331">
        <v>0</v>
      </c>
      <c r="CW331">
        <v>0</v>
      </c>
      <c r="CX331">
        <v>1</v>
      </c>
      <c r="CY331">
        <v>0</v>
      </c>
      <c r="CZ331">
        <v>0</v>
      </c>
    </row>
    <row r="332" spans="1:104" x14ac:dyDescent="0.25">
      <c r="A332" s="1" t="s">
        <v>2069</v>
      </c>
      <c r="B332">
        <v>4160</v>
      </c>
      <c r="C332">
        <v>4149</v>
      </c>
      <c r="D332" s="2">
        <v>43757</v>
      </c>
      <c r="E332" s="3">
        <f t="shared" si="15"/>
        <v>2019</v>
      </c>
      <c r="F332" s="3">
        <f t="shared" si="16"/>
        <v>10</v>
      </c>
      <c r="G332" s="3">
        <f t="shared" si="17"/>
        <v>7</v>
      </c>
      <c r="H332" t="s">
        <v>2070</v>
      </c>
      <c r="I332">
        <v>543</v>
      </c>
      <c r="J332" t="s">
        <v>2071</v>
      </c>
      <c r="K332" t="s">
        <v>820</v>
      </c>
      <c r="L332">
        <v>2019</v>
      </c>
      <c r="M332" t="s">
        <v>975</v>
      </c>
      <c r="N332" t="s">
        <v>2072</v>
      </c>
      <c r="O332" t="s">
        <v>2073</v>
      </c>
      <c r="P332">
        <v>1000</v>
      </c>
      <c r="Q332" t="s">
        <v>820</v>
      </c>
      <c r="R332">
        <v>2005</v>
      </c>
      <c r="S332" t="s">
        <v>2074</v>
      </c>
      <c r="T332" t="s">
        <v>2075</v>
      </c>
      <c r="U332">
        <v>4070</v>
      </c>
      <c r="V332" t="s">
        <v>820</v>
      </c>
      <c r="W332">
        <v>2009</v>
      </c>
      <c r="X332">
        <v>1</v>
      </c>
      <c r="Y332">
        <v>1.5</v>
      </c>
      <c r="Z332">
        <v>-4.5</v>
      </c>
      <c r="AA332">
        <v>-1.5</v>
      </c>
      <c r="AB332">
        <v>45</v>
      </c>
      <c r="AC332">
        <v>45</v>
      </c>
      <c r="AD332">
        <v>10</v>
      </c>
      <c r="AE332">
        <v>79</v>
      </c>
      <c r="AF332">
        <v>21</v>
      </c>
      <c r="AG332">
        <v>79</v>
      </c>
      <c r="AH332">
        <v>21</v>
      </c>
      <c r="AI332">
        <v>57</v>
      </c>
      <c r="AJ332">
        <v>43</v>
      </c>
      <c r="AK332">
        <v>0</v>
      </c>
      <c r="AL332">
        <v>0</v>
      </c>
      <c r="AM332">
        <v>100</v>
      </c>
      <c r="AN332">
        <v>0</v>
      </c>
      <c r="AO332">
        <v>80</v>
      </c>
      <c r="AP332">
        <v>20</v>
      </c>
      <c r="AQ332">
        <v>73</v>
      </c>
      <c r="AR332">
        <v>100</v>
      </c>
      <c r="AS332">
        <v>68</v>
      </c>
      <c r="AT332">
        <v>20</v>
      </c>
      <c r="AU332">
        <v>26</v>
      </c>
      <c r="AV332">
        <v>58</v>
      </c>
      <c r="AW332">
        <v>19</v>
      </c>
      <c r="AX332">
        <v>3.8</v>
      </c>
      <c r="AY332">
        <v>6</v>
      </c>
      <c r="AZ332">
        <v>1.2</v>
      </c>
      <c r="BA332">
        <v>14</v>
      </c>
      <c r="BB332">
        <v>15</v>
      </c>
      <c r="BC332">
        <v>9</v>
      </c>
      <c r="BD332">
        <v>6</v>
      </c>
      <c r="BE332">
        <v>2</v>
      </c>
      <c r="BF332">
        <v>5</v>
      </c>
      <c r="BG332">
        <v>3</v>
      </c>
      <c r="BH332">
        <v>4</v>
      </c>
      <c r="BI332">
        <v>33</v>
      </c>
      <c r="BJ332">
        <v>17</v>
      </c>
      <c r="BK332">
        <v>13</v>
      </c>
      <c r="BL332">
        <v>17</v>
      </c>
      <c r="BM332">
        <v>2.4</v>
      </c>
      <c r="BN332">
        <v>1.1000000000000001</v>
      </c>
      <c r="BO332">
        <v>0.9</v>
      </c>
      <c r="BP332">
        <v>1.1000000000000001</v>
      </c>
      <c r="BQ332">
        <v>7</v>
      </c>
      <c r="BR332">
        <v>7</v>
      </c>
      <c r="BS332">
        <v>5</v>
      </c>
      <c r="BT332">
        <v>5</v>
      </c>
      <c r="BU332">
        <v>2</v>
      </c>
      <c r="BV332">
        <v>0</v>
      </c>
      <c r="BW332">
        <v>0</v>
      </c>
      <c r="BX332">
        <v>2</v>
      </c>
      <c r="BY332">
        <v>5</v>
      </c>
      <c r="BZ332">
        <v>1</v>
      </c>
      <c r="CA332">
        <v>8</v>
      </c>
      <c r="CB332">
        <v>1.6</v>
      </c>
      <c r="CC332">
        <v>14</v>
      </c>
      <c r="CD332">
        <v>14</v>
      </c>
      <c r="CE332">
        <v>4</v>
      </c>
      <c r="CF332">
        <v>3</v>
      </c>
      <c r="CG332">
        <v>3</v>
      </c>
      <c r="CH332">
        <v>3</v>
      </c>
      <c r="CI332">
        <v>7</v>
      </c>
      <c r="CJ332">
        <v>8</v>
      </c>
      <c r="CK332">
        <v>12</v>
      </c>
      <c r="CL332">
        <v>12</v>
      </c>
      <c r="CM332">
        <v>18</v>
      </c>
      <c r="CN332">
        <v>26</v>
      </c>
      <c r="CO332">
        <v>0.9</v>
      </c>
      <c r="CP332">
        <v>0.9</v>
      </c>
      <c r="CQ332">
        <v>1.3</v>
      </c>
      <c r="CR332">
        <v>1.9</v>
      </c>
      <c r="CS332">
        <v>7</v>
      </c>
      <c r="CT332">
        <v>7</v>
      </c>
      <c r="CU332">
        <v>2</v>
      </c>
      <c r="CV332">
        <v>0</v>
      </c>
      <c r="CW332">
        <v>0</v>
      </c>
      <c r="CX332">
        <v>2</v>
      </c>
      <c r="CY332">
        <v>5</v>
      </c>
      <c r="CZ332">
        <v>5</v>
      </c>
    </row>
    <row r="333" spans="1:104" x14ac:dyDescent="0.25">
      <c r="A333" s="1" t="s">
        <v>2076</v>
      </c>
      <c r="B333">
        <v>1556</v>
      </c>
      <c r="C333">
        <v>1536</v>
      </c>
      <c r="D333" s="2">
        <v>43783</v>
      </c>
      <c r="E333" s="3">
        <f t="shared" si="15"/>
        <v>2019</v>
      </c>
      <c r="F333" s="3">
        <f t="shared" si="16"/>
        <v>11</v>
      </c>
      <c r="G333" s="3">
        <f t="shared" si="17"/>
        <v>5</v>
      </c>
      <c r="H333" t="s">
        <v>2077</v>
      </c>
      <c r="I333">
        <v>1065</v>
      </c>
      <c r="J333" t="s">
        <v>633</v>
      </c>
      <c r="K333" t="s">
        <v>129</v>
      </c>
      <c r="L333">
        <v>2022</v>
      </c>
      <c r="M333" t="s">
        <v>2078</v>
      </c>
      <c r="N333" t="s">
        <v>2079</v>
      </c>
      <c r="O333" t="s">
        <v>2080</v>
      </c>
      <c r="P333">
        <v>32000</v>
      </c>
      <c r="Q333" t="s">
        <v>2081</v>
      </c>
      <c r="R333">
        <v>1947</v>
      </c>
      <c r="S333" t="s">
        <v>2082</v>
      </c>
      <c r="T333" t="s">
        <v>2083</v>
      </c>
      <c r="U333">
        <v>21400</v>
      </c>
      <c r="V333" t="s">
        <v>768</v>
      </c>
      <c r="W333">
        <v>1936</v>
      </c>
      <c r="X333" t="s">
        <v>125</v>
      </c>
      <c r="AA333">
        <v>-1.5</v>
      </c>
      <c r="AB333">
        <v>0</v>
      </c>
      <c r="AC333">
        <v>50</v>
      </c>
      <c r="AD333">
        <v>50</v>
      </c>
      <c r="AE333">
        <v>0</v>
      </c>
      <c r="AF333">
        <v>100</v>
      </c>
      <c r="AG333">
        <v>0</v>
      </c>
      <c r="AH333">
        <v>100</v>
      </c>
      <c r="AI333">
        <v>23</v>
      </c>
      <c r="AJ333">
        <v>77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23</v>
      </c>
      <c r="AT333">
        <v>67</v>
      </c>
      <c r="AU333">
        <v>15</v>
      </c>
      <c r="AV333">
        <v>77</v>
      </c>
      <c r="AW333">
        <v>0</v>
      </c>
      <c r="AX333">
        <v>0</v>
      </c>
      <c r="AY333">
        <v>10</v>
      </c>
      <c r="AZ333">
        <v>3.3</v>
      </c>
      <c r="BA333">
        <v>1</v>
      </c>
      <c r="BB333">
        <v>2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2</v>
      </c>
      <c r="BI333">
        <v>0</v>
      </c>
      <c r="BJ333">
        <v>0</v>
      </c>
      <c r="BK333">
        <v>2</v>
      </c>
      <c r="BL333">
        <v>8</v>
      </c>
      <c r="BM333">
        <v>0</v>
      </c>
      <c r="BN333">
        <v>0</v>
      </c>
      <c r="BO333">
        <v>2</v>
      </c>
      <c r="BP333">
        <v>4</v>
      </c>
      <c r="BQ333">
        <v>1</v>
      </c>
      <c r="BR333">
        <v>0</v>
      </c>
      <c r="BS333">
        <v>1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2</v>
      </c>
      <c r="BZ333">
        <v>0.7</v>
      </c>
      <c r="CA333">
        <v>3</v>
      </c>
      <c r="CB333">
        <v>1</v>
      </c>
      <c r="CC333">
        <v>2</v>
      </c>
      <c r="CD333">
        <v>1</v>
      </c>
      <c r="CE333">
        <v>1</v>
      </c>
      <c r="CF333">
        <v>1</v>
      </c>
      <c r="CG333">
        <v>0</v>
      </c>
      <c r="CH333">
        <v>0</v>
      </c>
      <c r="CI333">
        <v>1</v>
      </c>
      <c r="CJ333">
        <v>0</v>
      </c>
      <c r="CK333">
        <v>1</v>
      </c>
      <c r="CL333">
        <v>1</v>
      </c>
      <c r="CM333">
        <v>3</v>
      </c>
      <c r="CN333">
        <v>0</v>
      </c>
      <c r="CO333">
        <v>0.5</v>
      </c>
      <c r="CP333">
        <v>1</v>
      </c>
      <c r="CQ333">
        <v>1.5</v>
      </c>
      <c r="CR333">
        <v>0</v>
      </c>
      <c r="CS333">
        <v>0</v>
      </c>
      <c r="CT333">
        <v>1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1</v>
      </c>
    </row>
    <row r="334" spans="1:104" x14ac:dyDescent="0.25">
      <c r="A334" s="1" t="s">
        <v>2084</v>
      </c>
      <c r="B334">
        <v>632</v>
      </c>
      <c r="C334">
        <v>559</v>
      </c>
      <c r="D334" s="2">
        <v>43723</v>
      </c>
      <c r="E334" s="3">
        <f t="shared" si="15"/>
        <v>2019</v>
      </c>
      <c r="F334" s="3">
        <f t="shared" si="16"/>
        <v>9</v>
      </c>
      <c r="G334" s="3">
        <f t="shared" si="17"/>
        <v>1</v>
      </c>
      <c r="H334" t="s">
        <v>2085</v>
      </c>
      <c r="I334">
        <v>589</v>
      </c>
      <c r="J334" t="s">
        <v>2086</v>
      </c>
      <c r="K334" t="s">
        <v>1707</v>
      </c>
      <c r="L334">
        <v>2019</v>
      </c>
      <c r="M334" t="s">
        <v>168</v>
      </c>
      <c r="N334" t="s">
        <v>2085</v>
      </c>
      <c r="O334" t="s">
        <v>2087</v>
      </c>
      <c r="P334">
        <v>30983</v>
      </c>
      <c r="Q334" t="s">
        <v>1707</v>
      </c>
      <c r="R334">
        <v>2013</v>
      </c>
      <c r="S334" t="s">
        <v>2088</v>
      </c>
      <c r="T334" t="s">
        <v>2089</v>
      </c>
      <c r="U334">
        <v>55611</v>
      </c>
      <c r="V334" t="s">
        <v>1707</v>
      </c>
      <c r="W334">
        <v>1947</v>
      </c>
      <c r="X334" t="s">
        <v>109</v>
      </c>
      <c r="Z334">
        <v>-2.5</v>
      </c>
      <c r="AA334">
        <v>-1.5</v>
      </c>
      <c r="AB334">
        <v>45</v>
      </c>
      <c r="AC334">
        <v>45</v>
      </c>
      <c r="AD334">
        <v>10</v>
      </c>
      <c r="AE334">
        <v>70</v>
      </c>
      <c r="AF334">
        <v>30</v>
      </c>
      <c r="AG334">
        <v>50</v>
      </c>
      <c r="AH334">
        <v>50</v>
      </c>
      <c r="AI334">
        <v>71</v>
      </c>
      <c r="AJ334">
        <v>29</v>
      </c>
      <c r="AK334">
        <v>88</v>
      </c>
      <c r="AL334">
        <v>12</v>
      </c>
      <c r="AM334">
        <v>20</v>
      </c>
      <c r="AN334">
        <v>80</v>
      </c>
      <c r="AO334">
        <v>38</v>
      </c>
      <c r="AP334">
        <v>63</v>
      </c>
      <c r="AQ334">
        <v>47</v>
      </c>
      <c r="AR334">
        <v>56</v>
      </c>
      <c r="AS334">
        <v>44</v>
      </c>
      <c r="AT334">
        <v>20</v>
      </c>
      <c r="AU334">
        <v>56</v>
      </c>
      <c r="AV334">
        <v>0</v>
      </c>
      <c r="AW334">
        <v>5</v>
      </c>
      <c r="AX334">
        <v>1</v>
      </c>
      <c r="AY334">
        <v>5</v>
      </c>
      <c r="AZ334">
        <v>1</v>
      </c>
      <c r="BA334">
        <v>4</v>
      </c>
      <c r="BB334">
        <v>4</v>
      </c>
      <c r="BC334">
        <v>3</v>
      </c>
      <c r="BD334">
        <v>2</v>
      </c>
      <c r="BE334">
        <v>0</v>
      </c>
      <c r="BF334">
        <v>1</v>
      </c>
      <c r="BG334">
        <v>1</v>
      </c>
      <c r="BH334">
        <v>1</v>
      </c>
      <c r="BI334">
        <v>5</v>
      </c>
      <c r="BJ334">
        <v>6</v>
      </c>
      <c r="BK334">
        <v>3</v>
      </c>
      <c r="BL334">
        <v>4</v>
      </c>
      <c r="BM334">
        <v>1.3</v>
      </c>
      <c r="BN334">
        <v>1.5</v>
      </c>
      <c r="BO334">
        <v>0.8</v>
      </c>
      <c r="BP334">
        <v>1</v>
      </c>
      <c r="BQ334">
        <v>8</v>
      </c>
      <c r="BR334">
        <v>8</v>
      </c>
      <c r="BS334">
        <v>2</v>
      </c>
      <c r="BT334">
        <v>0</v>
      </c>
      <c r="BU334">
        <v>0</v>
      </c>
      <c r="BV334">
        <v>1</v>
      </c>
      <c r="BW334">
        <v>6</v>
      </c>
      <c r="BX334">
        <v>7</v>
      </c>
      <c r="BY334">
        <v>5</v>
      </c>
      <c r="BZ334">
        <v>1</v>
      </c>
      <c r="CA334">
        <v>12</v>
      </c>
      <c r="CB334">
        <v>2.4</v>
      </c>
      <c r="CC334">
        <v>5</v>
      </c>
      <c r="CD334">
        <v>3</v>
      </c>
      <c r="CE334">
        <v>2</v>
      </c>
      <c r="CF334">
        <v>0</v>
      </c>
      <c r="CG334">
        <v>0</v>
      </c>
      <c r="CH334">
        <v>1</v>
      </c>
      <c r="CI334">
        <v>3</v>
      </c>
      <c r="CJ334">
        <v>2</v>
      </c>
      <c r="CK334">
        <v>8</v>
      </c>
      <c r="CL334">
        <v>1</v>
      </c>
      <c r="CM334">
        <v>11</v>
      </c>
      <c r="CN334">
        <v>6</v>
      </c>
      <c r="CO334">
        <v>1.6</v>
      </c>
      <c r="CP334">
        <v>0.3</v>
      </c>
      <c r="CQ334">
        <v>2.2000000000000002</v>
      </c>
      <c r="CR334">
        <v>2</v>
      </c>
      <c r="CS334">
        <v>8</v>
      </c>
      <c r="CT334">
        <v>8</v>
      </c>
      <c r="CU334">
        <v>7</v>
      </c>
      <c r="CV334">
        <v>6</v>
      </c>
      <c r="CW334">
        <v>1</v>
      </c>
      <c r="CX334">
        <v>0</v>
      </c>
      <c r="CY334">
        <v>0</v>
      </c>
      <c r="CZ334">
        <v>2</v>
      </c>
    </row>
    <row r="335" spans="1:104" x14ac:dyDescent="0.25">
      <c r="A335" s="1" t="s">
        <v>2090</v>
      </c>
      <c r="B335">
        <v>1080</v>
      </c>
      <c r="C335">
        <v>1088</v>
      </c>
      <c r="D335" s="2">
        <v>43743</v>
      </c>
      <c r="E335" s="3">
        <f t="shared" si="15"/>
        <v>2019</v>
      </c>
      <c r="F335" s="3">
        <f t="shared" si="16"/>
        <v>10</v>
      </c>
      <c r="G335" s="3">
        <f t="shared" si="17"/>
        <v>7</v>
      </c>
      <c r="H335" t="s">
        <v>2091</v>
      </c>
      <c r="I335">
        <v>511</v>
      </c>
      <c r="J335" t="s">
        <v>320</v>
      </c>
      <c r="K335" t="s">
        <v>279</v>
      </c>
      <c r="L335">
        <v>2019</v>
      </c>
      <c r="M335" t="s">
        <v>272</v>
      </c>
      <c r="N335" t="s">
        <v>2091</v>
      </c>
      <c r="O335" t="s">
        <v>2092</v>
      </c>
      <c r="P335">
        <v>7520</v>
      </c>
      <c r="Q335" t="s">
        <v>279</v>
      </c>
      <c r="S335" t="s">
        <v>2093</v>
      </c>
      <c r="T335" t="s">
        <v>471</v>
      </c>
      <c r="U335">
        <v>26700</v>
      </c>
      <c r="V335" t="s">
        <v>279</v>
      </c>
      <c r="W335">
        <v>1923</v>
      </c>
      <c r="X335" t="s">
        <v>109</v>
      </c>
      <c r="Z335">
        <v>-2.5</v>
      </c>
      <c r="AA335">
        <v>-1.5</v>
      </c>
      <c r="AB335">
        <v>45</v>
      </c>
      <c r="AC335">
        <v>45</v>
      </c>
      <c r="AD335">
        <v>10</v>
      </c>
      <c r="AE335">
        <v>64</v>
      </c>
      <c r="AF335">
        <v>36</v>
      </c>
      <c r="AG335">
        <v>69</v>
      </c>
      <c r="AH335">
        <v>31</v>
      </c>
      <c r="AI335">
        <v>43</v>
      </c>
      <c r="AJ335">
        <v>57</v>
      </c>
      <c r="AK335">
        <v>46</v>
      </c>
      <c r="AL335">
        <v>54</v>
      </c>
      <c r="AM335">
        <v>50</v>
      </c>
      <c r="AN335">
        <v>50</v>
      </c>
      <c r="AO335">
        <v>33</v>
      </c>
      <c r="AP335">
        <v>67</v>
      </c>
      <c r="AQ335">
        <v>60</v>
      </c>
      <c r="AR335">
        <v>100</v>
      </c>
      <c r="AS335">
        <v>0</v>
      </c>
      <c r="AT335">
        <v>33</v>
      </c>
      <c r="AU335">
        <v>50</v>
      </c>
      <c r="AV335">
        <v>25</v>
      </c>
      <c r="AW335">
        <v>9</v>
      </c>
      <c r="AX335">
        <v>1.8</v>
      </c>
      <c r="AY335">
        <v>8</v>
      </c>
      <c r="AZ335">
        <v>1.6</v>
      </c>
      <c r="BA335">
        <v>5</v>
      </c>
      <c r="BB335">
        <v>6</v>
      </c>
      <c r="BC335">
        <v>1</v>
      </c>
      <c r="BD335">
        <v>2</v>
      </c>
      <c r="BE335">
        <v>2</v>
      </c>
      <c r="BF335">
        <v>0</v>
      </c>
      <c r="BG335">
        <v>2</v>
      </c>
      <c r="BH335">
        <v>4</v>
      </c>
      <c r="BI335">
        <v>7</v>
      </c>
      <c r="BJ335">
        <v>8</v>
      </c>
      <c r="BK335">
        <v>9</v>
      </c>
      <c r="BL335">
        <v>10</v>
      </c>
      <c r="BM335">
        <v>1.4</v>
      </c>
      <c r="BN335">
        <v>1.3</v>
      </c>
      <c r="BO335">
        <v>1.8</v>
      </c>
      <c r="BP335">
        <v>1.7</v>
      </c>
      <c r="BQ335">
        <v>2</v>
      </c>
      <c r="BR335">
        <v>2</v>
      </c>
      <c r="BS335">
        <v>2</v>
      </c>
      <c r="BT335">
        <v>1</v>
      </c>
      <c r="BU335">
        <v>0</v>
      </c>
      <c r="BV335">
        <v>0</v>
      </c>
      <c r="BW335">
        <v>0</v>
      </c>
      <c r="BX335">
        <v>1</v>
      </c>
      <c r="BY335">
        <v>4</v>
      </c>
      <c r="BZ335">
        <v>0.8</v>
      </c>
      <c r="CA335">
        <v>6</v>
      </c>
      <c r="CB335">
        <v>1.2</v>
      </c>
      <c r="CC335">
        <v>6</v>
      </c>
      <c r="CD335">
        <v>5</v>
      </c>
      <c r="CE335">
        <v>1</v>
      </c>
      <c r="CF335">
        <v>1</v>
      </c>
      <c r="CG335">
        <v>1</v>
      </c>
      <c r="CH335">
        <v>3</v>
      </c>
      <c r="CI335">
        <v>4</v>
      </c>
      <c r="CJ335">
        <v>1</v>
      </c>
      <c r="CK335">
        <v>5</v>
      </c>
      <c r="CL335">
        <v>3</v>
      </c>
      <c r="CM335">
        <v>8</v>
      </c>
      <c r="CN335">
        <v>4</v>
      </c>
      <c r="CO335">
        <v>0.8</v>
      </c>
      <c r="CP335">
        <v>0.6</v>
      </c>
      <c r="CQ335">
        <v>1.3</v>
      </c>
      <c r="CR335">
        <v>0.8</v>
      </c>
      <c r="CS335">
        <v>2</v>
      </c>
      <c r="CT335">
        <v>2</v>
      </c>
      <c r="CU335">
        <v>1</v>
      </c>
      <c r="CV335">
        <v>0</v>
      </c>
      <c r="CW335">
        <v>0</v>
      </c>
      <c r="CX335">
        <v>0</v>
      </c>
      <c r="CY335">
        <v>1</v>
      </c>
      <c r="CZ335">
        <v>2</v>
      </c>
    </row>
    <row r="336" spans="1:104" x14ac:dyDescent="0.25">
      <c r="A336" s="1" t="s">
        <v>2094</v>
      </c>
      <c r="B336">
        <v>1549</v>
      </c>
      <c r="C336">
        <v>1555</v>
      </c>
      <c r="D336" s="2">
        <v>43783</v>
      </c>
      <c r="E336" s="3">
        <f t="shared" si="15"/>
        <v>2019</v>
      </c>
      <c r="F336" s="3">
        <f t="shared" si="16"/>
        <v>11</v>
      </c>
      <c r="G336" s="3">
        <f t="shared" si="17"/>
        <v>5</v>
      </c>
      <c r="H336" t="s">
        <v>2095</v>
      </c>
      <c r="I336">
        <v>1065</v>
      </c>
      <c r="J336" t="s">
        <v>633</v>
      </c>
      <c r="K336" t="s">
        <v>129</v>
      </c>
      <c r="L336">
        <v>2022</v>
      </c>
      <c r="M336" t="s">
        <v>2078</v>
      </c>
      <c r="N336" t="s">
        <v>2095</v>
      </c>
      <c r="O336" t="s">
        <v>2096</v>
      </c>
      <c r="P336">
        <v>11850</v>
      </c>
      <c r="Q336" t="s">
        <v>2097</v>
      </c>
      <c r="R336">
        <v>1982</v>
      </c>
      <c r="S336" t="s">
        <v>2098</v>
      </c>
      <c r="T336" t="s">
        <v>2099</v>
      </c>
      <c r="U336">
        <v>30000</v>
      </c>
      <c r="V336" t="s">
        <v>2100</v>
      </c>
      <c r="W336">
        <v>1907</v>
      </c>
      <c r="X336" t="s">
        <v>125</v>
      </c>
      <c r="Z336">
        <v>-1.5</v>
      </c>
      <c r="AA336">
        <v>-2.5</v>
      </c>
      <c r="AB336">
        <v>10</v>
      </c>
      <c r="AC336">
        <v>45</v>
      </c>
      <c r="AD336">
        <v>45</v>
      </c>
      <c r="AE336">
        <v>43</v>
      </c>
      <c r="AF336">
        <v>57</v>
      </c>
      <c r="AG336">
        <v>25</v>
      </c>
      <c r="AH336">
        <v>75</v>
      </c>
      <c r="AI336">
        <v>46</v>
      </c>
      <c r="AJ336">
        <v>54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33</v>
      </c>
      <c r="AR336">
        <v>11</v>
      </c>
      <c r="AS336">
        <v>61</v>
      </c>
      <c r="AT336">
        <v>44</v>
      </c>
      <c r="AU336">
        <v>33</v>
      </c>
      <c r="AV336">
        <v>67</v>
      </c>
      <c r="AW336">
        <v>2</v>
      </c>
      <c r="AX336">
        <v>0.7</v>
      </c>
      <c r="AY336">
        <v>7</v>
      </c>
      <c r="AZ336">
        <v>2.2999999999999998</v>
      </c>
      <c r="BA336">
        <v>1</v>
      </c>
      <c r="BB336">
        <v>2</v>
      </c>
      <c r="BC336">
        <v>0</v>
      </c>
      <c r="BD336">
        <v>1</v>
      </c>
      <c r="BE336">
        <v>0</v>
      </c>
      <c r="BF336">
        <v>0</v>
      </c>
      <c r="BG336">
        <v>1</v>
      </c>
      <c r="BH336">
        <v>1</v>
      </c>
      <c r="BI336">
        <v>0</v>
      </c>
      <c r="BJ336">
        <v>2</v>
      </c>
      <c r="BK336">
        <v>5</v>
      </c>
      <c r="BL336">
        <v>2</v>
      </c>
      <c r="BM336">
        <v>0</v>
      </c>
      <c r="BN336">
        <v>1</v>
      </c>
      <c r="BO336">
        <v>5</v>
      </c>
      <c r="BP336">
        <v>1</v>
      </c>
      <c r="BQ336">
        <v>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0</v>
      </c>
      <c r="BY336">
        <v>6</v>
      </c>
      <c r="BZ336">
        <v>2</v>
      </c>
      <c r="CA336">
        <v>6</v>
      </c>
      <c r="CB336">
        <v>2</v>
      </c>
      <c r="CC336">
        <v>2</v>
      </c>
      <c r="CD336">
        <v>1</v>
      </c>
      <c r="CE336">
        <v>0</v>
      </c>
      <c r="CF336">
        <v>1</v>
      </c>
      <c r="CG336">
        <v>1</v>
      </c>
      <c r="CH336">
        <v>0</v>
      </c>
      <c r="CI336">
        <v>1</v>
      </c>
      <c r="CJ336">
        <v>0</v>
      </c>
      <c r="CK336">
        <v>2</v>
      </c>
      <c r="CL336">
        <v>4</v>
      </c>
      <c r="CM336">
        <v>5</v>
      </c>
      <c r="CN336">
        <v>1</v>
      </c>
      <c r="CO336">
        <v>1</v>
      </c>
      <c r="CP336">
        <v>4</v>
      </c>
      <c r="CQ336">
        <v>2.5</v>
      </c>
      <c r="CR336">
        <v>1</v>
      </c>
      <c r="CS336">
        <v>0</v>
      </c>
      <c r="CT336">
        <v>1</v>
      </c>
      <c r="CU336">
        <v>0</v>
      </c>
      <c r="CV336">
        <v>1</v>
      </c>
      <c r="CW336">
        <v>0</v>
      </c>
      <c r="CX336">
        <v>0</v>
      </c>
      <c r="CY336">
        <v>0</v>
      </c>
      <c r="CZ336">
        <v>0</v>
      </c>
    </row>
    <row r="337" spans="1:104" x14ac:dyDescent="0.25">
      <c r="A337" s="1" t="s">
        <v>2101</v>
      </c>
      <c r="B337">
        <v>895</v>
      </c>
      <c r="C337">
        <v>1579</v>
      </c>
      <c r="D337" s="2">
        <v>43716</v>
      </c>
      <c r="E337" s="3">
        <f t="shared" si="15"/>
        <v>2019</v>
      </c>
      <c r="F337" s="3">
        <f t="shared" si="16"/>
        <v>9</v>
      </c>
      <c r="G337" s="3">
        <f t="shared" si="17"/>
        <v>1</v>
      </c>
      <c r="H337" t="s">
        <v>2102</v>
      </c>
      <c r="I337">
        <v>922</v>
      </c>
      <c r="J337" t="s">
        <v>2011</v>
      </c>
      <c r="K337" t="s">
        <v>338</v>
      </c>
      <c r="L337">
        <v>2019</v>
      </c>
      <c r="M337" t="s">
        <v>2103</v>
      </c>
      <c r="N337" t="s">
        <v>2102</v>
      </c>
      <c r="O337" t="s">
        <v>2104</v>
      </c>
      <c r="P337">
        <v>13602</v>
      </c>
      <c r="Q337" t="s">
        <v>338</v>
      </c>
      <c r="R337">
        <v>1907</v>
      </c>
      <c r="S337" t="s">
        <v>2105</v>
      </c>
      <c r="T337" t="s">
        <v>2106</v>
      </c>
      <c r="U337">
        <v>18568</v>
      </c>
      <c r="V337" t="s">
        <v>338</v>
      </c>
      <c r="W337">
        <v>1912</v>
      </c>
      <c r="X337" t="s">
        <v>109</v>
      </c>
      <c r="Y337">
        <v>-3.5</v>
      </c>
      <c r="Z337">
        <v>-2.5</v>
      </c>
      <c r="AA337">
        <v>-2.5</v>
      </c>
      <c r="AB337">
        <v>45</v>
      </c>
      <c r="AC337">
        <v>45</v>
      </c>
      <c r="AD337">
        <v>10</v>
      </c>
      <c r="AE337">
        <v>50</v>
      </c>
      <c r="AF337">
        <v>50</v>
      </c>
      <c r="AG337">
        <v>50</v>
      </c>
      <c r="AH337">
        <v>50</v>
      </c>
      <c r="AI337">
        <v>100</v>
      </c>
      <c r="AJ337">
        <v>0</v>
      </c>
      <c r="AK337">
        <v>100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100</v>
      </c>
      <c r="AR337">
        <v>29</v>
      </c>
      <c r="AS337">
        <v>100</v>
      </c>
      <c r="AT337">
        <v>100</v>
      </c>
      <c r="AU337">
        <v>29</v>
      </c>
      <c r="AV337">
        <v>93</v>
      </c>
      <c r="AW337">
        <v>4</v>
      </c>
      <c r="AX337">
        <v>2</v>
      </c>
      <c r="AY337">
        <v>0</v>
      </c>
      <c r="AZ337">
        <v>0</v>
      </c>
      <c r="BA337">
        <v>1</v>
      </c>
      <c r="BB337">
        <v>1</v>
      </c>
      <c r="BC337">
        <v>1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2</v>
      </c>
      <c r="BJ337">
        <v>2</v>
      </c>
      <c r="BK337">
        <v>0</v>
      </c>
      <c r="BL337">
        <v>0</v>
      </c>
      <c r="BM337">
        <v>2</v>
      </c>
      <c r="BN337">
        <v>2</v>
      </c>
      <c r="BO337">
        <v>0</v>
      </c>
      <c r="BP337">
        <v>0</v>
      </c>
      <c r="BQ337">
        <v>1</v>
      </c>
      <c r="BR337">
        <v>1</v>
      </c>
      <c r="BS337">
        <v>0</v>
      </c>
      <c r="BT337">
        <v>0</v>
      </c>
      <c r="BU337">
        <v>0</v>
      </c>
      <c r="BV337">
        <v>1</v>
      </c>
      <c r="BW337">
        <v>1</v>
      </c>
      <c r="BX337">
        <v>0</v>
      </c>
      <c r="BY337">
        <v>4</v>
      </c>
      <c r="BZ337">
        <v>2</v>
      </c>
      <c r="CA337">
        <v>1</v>
      </c>
      <c r="CB337">
        <v>0.5</v>
      </c>
      <c r="CC337">
        <v>1</v>
      </c>
      <c r="CD337">
        <v>1</v>
      </c>
      <c r="CE337">
        <v>1</v>
      </c>
      <c r="CF337">
        <v>1</v>
      </c>
      <c r="CG337">
        <v>0</v>
      </c>
      <c r="CH337">
        <v>0</v>
      </c>
      <c r="CI337">
        <v>0</v>
      </c>
      <c r="CJ337">
        <v>0</v>
      </c>
      <c r="CK337">
        <v>2</v>
      </c>
      <c r="CL337">
        <v>2</v>
      </c>
      <c r="CM337">
        <v>0</v>
      </c>
      <c r="CN337">
        <v>1</v>
      </c>
      <c r="CO337">
        <v>2</v>
      </c>
      <c r="CP337">
        <v>2</v>
      </c>
      <c r="CQ337">
        <v>0</v>
      </c>
      <c r="CR337">
        <v>1</v>
      </c>
      <c r="CS337">
        <v>1</v>
      </c>
      <c r="CT337">
        <v>1</v>
      </c>
      <c r="CU337">
        <v>0</v>
      </c>
      <c r="CV337">
        <v>1</v>
      </c>
      <c r="CW337">
        <v>1</v>
      </c>
      <c r="CX337">
        <v>0</v>
      </c>
      <c r="CY337">
        <v>0</v>
      </c>
      <c r="CZ337">
        <v>0</v>
      </c>
    </row>
    <row r="338" spans="1:104" x14ac:dyDescent="0.25">
      <c r="A338" s="1" t="s">
        <v>2107</v>
      </c>
      <c r="B338">
        <v>2656</v>
      </c>
      <c r="C338">
        <v>2631</v>
      </c>
      <c r="D338" s="2">
        <v>44044</v>
      </c>
      <c r="E338" s="3">
        <f t="shared" si="15"/>
        <v>2020</v>
      </c>
      <c r="F338" s="3">
        <f t="shared" si="16"/>
        <v>8</v>
      </c>
      <c r="G338" s="3">
        <f t="shared" si="17"/>
        <v>7</v>
      </c>
      <c r="H338" t="s">
        <v>2108</v>
      </c>
      <c r="I338">
        <v>2654</v>
      </c>
      <c r="J338" t="s">
        <v>1067</v>
      </c>
      <c r="K338" t="s">
        <v>445</v>
      </c>
      <c r="L338">
        <v>2020</v>
      </c>
      <c r="M338" t="s">
        <v>1170</v>
      </c>
      <c r="N338" t="s">
        <v>2108</v>
      </c>
      <c r="O338" t="s">
        <v>444</v>
      </c>
      <c r="P338">
        <v>4070</v>
      </c>
      <c r="Q338" t="s">
        <v>445</v>
      </c>
      <c r="R338">
        <v>1926</v>
      </c>
      <c r="S338" t="s">
        <v>2020</v>
      </c>
      <c r="T338" t="s">
        <v>2109</v>
      </c>
      <c r="U338">
        <v>4800</v>
      </c>
      <c r="V338" t="s">
        <v>445</v>
      </c>
      <c r="W338">
        <v>1933</v>
      </c>
      <c r="X338" t="s">
        <v>109</v>
      </c>
      <c r="AB338">
        <v>45</v>
      </c>
      <c r="AC338">
        <v>45</v>
      </c>
      <c r="AD338">
        <v>10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50</v>
      </c>
      <c r="AN338">
        <v>50</v>
      </c>
      <c r="AO338">
        <v>60</v>
      </c>
      <c r="AP338">
        <v>40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2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1</v>
      </c>
      <c r="CT338">
        <v>2</v>
      </c>
      <c r="CU338">
        <v>0</v>
      </c>
      <c r="CV338">
        <v>1</v>
      </c>
      <c r="CW338">
        <v>0</v>
      </c>
      <c r="CX338">
        <v>0</v>
      </c>
      <c r="CY338">
        <v>1</v>
      </c>
      <c r="CZ338">
        <v>1</v>
      </c>
    </row>
    <row r="339" spans="1:104" x14ac:dyDescent="0.25">
      <c r="A339" s="1" t="s">
        <v>2110</v>
      </c>
      <c r="B339">
        <v>4142</v>
      </c>
      <c r="C339">
        <v>4138</v>
      </c>
      <c r="D339" s="2">
        <v>43757</v>
      </c>
      <c r="E339" s="3">
        <f t="shared" si="15"/>
        <v>2019</v>
      </c>
      <c r="F339" s="3">
        <f t="shared" si="16"/>
        <v>10</v>
      </c>
      <c r="G339" s="3">
        <f t="shared" si="17"/>
        <v>7</v>
      </c>
      <c r="H339" t="s">
        <v>2111</v>
      </c>
      <c r="I339">
        <v>536</v>
      </c>
      <c r="J339" t="s">
        <v>819</v>
      </c>
      <c r="K339" t="s">
        <v>820</v>
      </c>
      <c r="L339">
        <v>2019</v>
      </c>
      <c r="M339" t="s">
        <v>114</v>
      </c>
      <c r="N339" t="s">
        <v>2112</v>
      </c>
      <c r="O339" t="s">
        <v>2113</v>
      </c>
      <c r="P339">
        <v>1000</v>
      </c>
      <c r="Q339" t="s">
        <v>820</v>
      </c>
      <c r="S339" t="s">
        <v>821</v>
      </c>
      <c r="T339" t="s">
        <v>822</v>
      </c>
      <c r="U339">
        <v>1000</v>
      </c>
      <c r="V339" t="s">
        <v>820</v>
      </c>
      <c r="X339">
        <v>1</v>
      </c>
      <c r="Y339">
        <v>2.5</v>
      </c>
      <c r="Z339">
        <v>-4.5</v>
      </c>
      <c r="AA339">
        <v>-2.5</v>
      </c>
      <c r="AB339">
        <v>45</v>
      </c>
      <c r="AC339">
        <v>45</v>
      </c>
      <c r="AD339">
        <v>10</v>
      </c>
      <c r="AE339">
        <v>60</v>
      </c>
      <c r="AF339">
        <v>40</v>
      </c>
      <c r="AG339">
        <v>48</v>
      </c>
      <c r="AH339">
        <v>52</v>
      </c>
      <c r="AI339">
        <v>70</v>
      </c>
      <c r="AJ339">
        <v>30</v>
      </c>
      <c r="AK339">
        <v>82</v>
      </c>
      <c r="AL339">
        <v>18</v>
      </c>
      <c r="AM339">
        <v>60</v>
      </c>
      <c r="AN339">
        <v>40</v>
      </c>
      <c r="AO339">
        <v>52</v>
      </c>
      <c r="AP339">
        <v>48</v>
      </c>
      <c r="AQ339">
        <v>60</v>
      </c>
      <c r="AR339">
        <v>57</v>
      </c>
      <c r="AS339">
        <v>57</v>
      </c>
      <c r="AT339">
        <v>40</v>
      </c>
      <c r="AU339">
        <v>62</v>
      </c>
      <c r="AV339">
        <v>0</v>
      </c>
      <c r="AW339">
        <v>12</v>
      </c>
      <c r="AX339">
        <v>2.4</v>
      </c>
      <c r="AY339">
        <v>9</v>
      </c>
      <c r="AZ339">
        <v>1.8</v>
      </c>
      <c r="BA339">
        <v>12</v>
      </c>
      <c r="BB339">
        <v>11</v>
      </c>
      <c r="BC339">
        <v>7</v>
      </c>
      <c r="BD339">
        <v>7</v>
      </c>
      <c r="BE339">
        <v>2</v>
      </c>
      <c r="BF339">
        <v>0</v>
      </c>
      <c r="BG339">
        <v>3</v>
      </c>
      <c r="BH339">
        <v>4</v>
      </c>
      <c r="BI339">
        <v>39</v>
      </c>
      <c r="BJ339">
        <v>26</v>
      </c>
      <c r="BK339">
        <v>25</v>
      </c>
      <c r="BL339">
        <v>18</v>
      </c>
      <c r="BM339">
        <v>3.3</v>
      </c>
      <c r="BN339">
        <v>2.4</v>
      </c>
      <c r="BO339">
        <v>2.1</v>
      </c>
      <c r="BP339">
        <v>1.6</v>
      </c>
      <c r="BQ339">
        <v>5</v>
      </c>
      <c r="BR339">
        <v>3</v>
      </c>
      <c r="BS339">
        <v>4</v>
      </c>
      <c r="BT339">
        <v>1</v>
      </c>
      <c r="BU339">
        <v>0</v>
      </c>
      <c r="BV339">
        <v>0</v>
      </c>
      <c r="BW339">
        <v>1</v>
      </c>
      <c r="BX339">
        <v>2</v>
      </c>
      <c r="BY339">
        <v>13</v>
      </c>
      <c r="BZ339">
        <v>2.6</v>
      </c>
      <c r="CA339">
        <v>21</v>
      </c>
      <c r="CB339">
        <v>4.2</v>
      </c>
      <c r="CC339">
        <v>11</v>
      </c>
      <c r="CD339">
        <v>12</v>
      </c>
      <c r="CE339">
        <v>7</v>
      </c>
      <c r="CF339">
        <v>2</v>
      </c>
      <c r="CG339">
        <v>0</v>
      </c>
      <c r="CH339">
        <v>0</v>
      </c>
      <c r="CI339">
        <v>4</v>
      </c>
      <c r="CJ339">
        <v>10</v>
      </c>
      <c r="CK339">
        <v>35</v>
      </c>
      <c r="CL339">
        <v>12</v>
      </c>
      <c r="CM339">
        <v>21</v>
      </c>
      <c r="CN339">
        <v>59</v>
      </c>
      <c r="CO339">
        <v>3.2</v>
      </c>
      <c r="CP339">
        <v>1</v>
      </c>
      <c r="CQ339">
        <v>1.9</v>
      </c>
      <c r="CR339">
        <v>4.9000000000000004</v>
      </c>
      <c r="CS339">
        <v>3</v>
      </c>
      <c r="CT339">
        <v>5</v>
      </c>
      <c r="CU339">
        <v>2</v>
      </c>
      <c r="CV339">
        <v>1</v>
      </c>
      <c r="CW339">
        <v>0</v>
      </c>
      <c r="CX339">
        <v>0</v>
      </c>
      <c r="CY339">
        <v>1</v>
      </c>
      <c r="CZ339">
        <v>4</v>
      </c>
    </row>
    <row r="340" spans="1:104" x14ac:dyDescent="0.25">
      <c r="A340" s="1" t="s">
        <v>2114</v>
      </c>
      <c r="B340">
        <v>11124</v>
      </c>
      <c r="C340">
        <v>9030</v>
      </c>
      <c r="D340" s="2">
        <v>43771</v>
      </c>
      <c r="E340" s="3">
        <f t="shared" si="15"/>
        <v>2019</v>
      </c>
      <c r="F340" s="3">
        <f t="shared" si="16"/>
        <v>11</v>
      </c>
      <c r="G340" s="3">
        <f t="shared" si="17"/>
        <v>7</v>
      </c>
      <c r="H340" t="s">
        <v>2115</v>
      </c>
      <c r="I340">
        <v>1546</v>
      </c>
      <c r="J340" t="s">
        <v>2116</v>
      </c>
      <c r="K340" t="s">
        <v>612</v>
      </c>
      <c r="L340">
        <v>2019</v>
      </c>
      <c r="M340" t="s">
        <v>2117</v>
      </c>
      <c r="Q340" t="s">
        <v>612</v>
      </c>
      <c r="R340">
        <v>2017</v>
      </c>
      <c r="S340" t="s">
        <v>2118</v>
      </c>
      <c r="T340" t="s">
        <v>2119</v>
      </c>
      <c r="U340">
        <v>22682</v>
      </c>
      <c r="V340" t="s">
        <v>612</v>
      </c>
      <c r="W340">
        <v>2015</v>
      </c>
      <c r="X340">
        <v>2</v>
      </c>
      <c r="Y340">
        <v>1.5</v>
      </c>
      <c r="Z340">
        <v>-1.5</v>
      </c>
      <c r="AA340">
        <v>-4.5</v>
      </c>
      <c r="AB340">
        <v>0</v>
      </c>
      <c r="AC340">
        <v>50</v>
      </c>
      <c r="AD340">
        <v>50</v>
      </c>
      <c r="AE340">
        <v>0</v>
      </c>
      <c r="AF340">
        <v>100</v>
      </c>
      <c r="AG340">
        <v>8</v>
      </c>
      <c r="AH340">
        <v>92</v>
      </c>
      <c r="AI340">
        <v>29</v>
      </c>
      <c r="AJ340">
        <v>71</v>
      </c>
      <c r="AK340">
        <v>0</v>
      </c>
      <c r="AL340">
        <v>100</v>
      </c>
      <c r="AM340">
        <v>0</v>
      </c>
      <c r="AN340">
        <v>100</v>
      </c>
      <c r="AO340">
        <v>11</v>
      </c>
      <c r="AP340">
        <v>89</v>
      </c>
      <c r="AQ340">
        <v>0</v>
      </c>
      <c r="AR340">
        <v>5</v>
      </c>
      <c r="AS340">
        <v>19</v>
      </c>
      <c r="AT340">
        <v>73</v>
      </c>
      <c r="AU340">
        <v>52</v>
      </c>
      <c r="AV340">
        <v>67</v>
      </c>
      <c r="AW340">
        <v>1</v>
      </c>
      <c r="AX340">
        <v>0.3</v>
      </c>
      <c r="AY340">
        <v>17</v>
      </c>
      <c r="AZ340">
        <v>4.3</v>
      </c>
      <c r="BA340">
        <v>1</v>
      </c>
      <c r="BB340">
        <v>3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3</v>
      </c>
      <c r="BI340">
        <v>0</v>
      </c>
      <c r="BJ340">
        <v>1</v>
      </c>
      <c r="BK340">
        <v>3</v>
      </c>
      <c r="BL340">
        <v>14</v>
      </c>
      <c r="BM340">
        <v>0</v>
      </c>
      <c r="BN340">
        <v>0.3</v>
      </c>
      <c r="BO340">
        <v>3</v>
      </c>
      <c r="BP340">
        <v>4.7</v>
      </c>
      <c r="BQ340">
        <v>1</v>
      </c>
      <c r="BR340">
        <v>1</v>
      </c>
      <c r="BS340">
        <v>0</v>
      </c>
      <c r="BT340">
        <v>0</v>
      </c>
      <c r="BU340">
        <v>0</v>
      </c>
      <c r="BV340">
        <v>0</v>
      </c>
      <c r="BW340">
        <v>1</v>
      </c>
      <c r="BX340">
        <v>1</v>
      </c>
      <c r="BY340">
        <v>11</v>
      </c>
      <c r="BZ340">
        <v>2.2000000000000002</v>
      </c>
      <c r="CA340">
        <v>7</v>
      </c>
      <c r="CB340">
        <v>1.4</v>
      </c>
      <c r="CC340">
        <v>4</v>
      </c>
      <c r="CD340">
        <v>2</v>
      </c>
      <c r="CE340">
        <v>3</v>
      </c>
      <c r="CF340">
        <v>1</v>
      </c>
      <c r="CG340">
        <v>1</v>
      </c>
      <c r="CH340">
        <v>1</v>
      </c>
      <c r="CI340">
        <v>0</v>
      </c>
      <c r="CJ340">
        <v>0</v>
      </c>
      <c r="CK340">
        <v>15</v>
      </c>
      <c r="CL340">
        <v>4</v>
      </c>
      <c r="CM340">
        <v>6</v>
      </c>
      <c r="CN340">
        <v>2</v>
      </c>
      <c r="CO340">
        <v>3.8</v>
      </c>
      <c r="CP340">
        <v>2</v>
      </c>
      <c r="CQ340">
        <v>1.5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0</v>
      </c>
      <c r="CX340">
        <v>0</v>
      </c>
      <c r="CY340">
        <v>0</v>
      </c>
      <c r="CZ340">
        <v>0</v>
      </c>
    </row>
    <row r="341" spans="1:104" x14ac:dyDescent="0.25">
      <c r="A341" s="1" t="s">
        <v>2120</v>
      </c>
      <c r="B341">
        <v>2392</v>
      </c>
      <c r="C341">
        <v>2394</v>
      </c>
      <c r="D341" s="2">
        <v>43897</v>
      </c>
      <c r="E341" s="3">
        <f t="shared" si="15"/>
        <v>2020</v>
      </c>
      <c r="F341" s="3">
        <f t="shared" si="16"/>
        <v>3</v>
      </c>
      <c r="G341" s="3">
        <f t="shared" si="17"/>
        <v>7</v>
      </c>
      <c r="H341" t="s">
        <v>2121</v>
      </c>
      <c r="I341">
        <v>655</v>
      </c>
      <c r="J341" t="s">
        <v>2122</v>
      </c>
      <c r="K341" t="s">
        <v>190</v>
      </c>
      <c r="L341">
        <v>2019</v>
      </c>
      <c r="M341" t="s">
        <v>906</v>
      </c>
      <c r="N341" t="s">
        <v>2121</v>
      </c>
      <c r="O341" t="s">
        <v>2123</v>
      </c>
      <c r="P341">
        <v>20340</v>
      </c>
      <c r="Q341" t="s">
        <v>190</v>
      </c>
      <c r="R341">
        <v>1902</v>
      </c>
      <c r="S341" t="s">
        <v>2124</v>
      </c>
      <c r="T341" t="s">
        <v>2125</v>
      </c>
      <c r="U341">
        <v>3385</v>
      </c>
      <c r="V341" t="s">
        <v>190</v>
      </c>
      <c r="W341">
        <v>2003</v>
      </c>
      <c r="X341" t="s">
        <v>125</v>
      </c>
      <c r="Z341">
        <v>-2.5</v>
      </c>
      <c r="AA341">
        <v>-2.5</v>
      </c>
      <c r="AB341">
        <v>10</v>
      </c>
      <c r="AC341">
        <v>45</v>
      </c>
      <c r="AD341">
        <v>45</v>
      </c>
      <c r="AE341">
        <v>33</v>
      </c>
      <c r="AF341">
        <v>67</v>
      </c>
      <c r="AG341">
        <v>35</v>
      </c>
      <c r="AH341">
        <v>65</v>
      </c>
      <c r="AI341">
        <v>45</v>
      </c>
      <c r="AJ341">
        <v>55</v>
      </c>
      <c r="AK341">
        <v>66</v>
      </c>
      <c r="AL341">
        <v>34</v>
      </c>
      <c r="AM341">
        <v>40</v>
      </c>
      <c r="AN341">
        <v>60</v>
      </c>
      <c r="AO341">
        <v>47</v>
      </c>
      <c r="AP341">
        <v>53</v>
      </c>
      <c r="AQ341">
        <v>27</v>
      </c>
      <c r="AR341">
        <v>35</v>
      </c>
      <c r="AS341">
        <v>35</v>
      </c>
      <c r="AT341">
        <v>53</v>
      </c>
      <c r="AU341">
        <v>65</v>
      </c>
      <c r="AV341">
        <v>47</v>
      </c>
      <c r="AW341">
        <v>6</v>
      </c>
      <c r="AX341">
        <v>1.2</v>
      </c>
      <c r="AY341">
        <v>11</v>
      </c>
      <c r="AZ341">
        <v>2.2000000000000002</v>
      </c>
      <c r="BA341">
        <v>11</v>
      </c>
      <c r="BB341">
        <v>11</v>
      </c>
      <c r="BC341">
        <v>5</v>
      </c>
      <c r="BD341">
        <v>3</v>
      </c>
      <c r="BE341">
        <v>2</v>
      </c>
      <c r="BF341">
        <v>1</v>
      </c>
      <c r="BG341">
        <v>4</v>
      </c>
      <c r="BH341">
        <v>7</v>
      </c>
      <c r="BI341">
        <v>21</v>
      </c>
      <c r="BJ341">
        <v>14</v>
      </c>
      <c r="BK341">
        <v>19</v>
      </c>
      <c r="BL341">
        <v>22</v>
      </c>
      <c r="BM341">
        <v>1.9</v>
      </c>
      <c r="BN341">
        <v>1.3</v>
      </c>
      <c r="BO341">
        <v>1.7</v>
      </c>
      <c r="BP341">
        <v>2</v>
      </c>
      <c r="BQ341">
        <v>4</v>
      </c>
      <c r="BR341">
        <v>2</v>
      </c>
      <c r="BS341">
        <v>3</v>
      </c>
      <c r="BT341">
        <v>0</v>
      </c>
      <c r="BU341">
        <v>0</v>
      </c>
      <c r="BV341">
        <v>0</v>
      </c>
      <c r="BW341">
        <v>1</v>
      </c>
      <c r="BX341">
        <v>2</v>
      </c>
      <c r="BY341">
        <v>11</v>
      </c>
      <c r="BZ341">
        <v>2.2000000000000002</v>
      </c>
      <c r="CA341">
        <v>9</v>
      </c>
      <c r="CB341">
        <v>1.8</v>
      </c>
      <c r="CC341">
        <v>12</v>
      </c>
      <c r="CD341">
        <v>11</v>
      </c>
      <c r="CE341">
        <v>6</v>
      </c>
      <c r="CF341">
        <v>2</v>
      </c>
      <c r="CG341">
        <v>2</v>
      </c>
      <c r="CH341">
        <v>2</v>
      </c>
      <c r="CI341">
        <v>4</v>
      </c>
      <c r="CJ341">
        <v>7</v>
      </c>
      <c r="CK341">
        <v>20</v>
      </c>
      <c r="CL341">
        <v>10</v>
      </c>
      <c r="CM341">
        <v>15</v>
      </c>
      <c r="CN341">
        <v>19</v>
      </c>
      <c r="CO341">
        <v>1.7</v>
      </c>
      <c r="CP341">
        <v>0.9</v>
      </c>
      <c r="CQ341">
        <v>1.3</v>
      </c>
      <c r="CR341">
        <v>1.7</v>
      </c>
      <c r="CS341">
        <v>2</v>
      </c>
      <c r="CT341">
        <v>4</v>
      </c>
      <c r="CU341">
        <v>2</v>
      </c>
      <c r="CV341">
        <v>1</v>
      </c>
      <c r="CW341">
        <v>0</v>
      </c>
      <c r="CX341">
        <v>0</v>
      </c>
      <c r="CY341">
        <v>0</v>
      </c>
      <c r="CZ341">
        <v>3</v>
      </c>
    </row>
    <row r="342" spans="1:104" x14ac:dyDescent="0.25">
      <c r="A342" s="1" t="s">
        <v>2126</v>
      </c>
      <c r="B342">
        <v>1079</v>
      </c>
      <c r="C342">
        <v>1077</v>
      </c>
      <c r="D342" s="2">
        <v>43666</v>
      </c>
      <c r="E342" s="3">
        <f t="shared" si="15"/>
        <v>2019</v>
      </c>
      <c r="F342" s="3">
        <f t="shared" si="16"/>
        <v>7</v>
      </c>
      <c r="G342" s="3">
        <f t="shared" si="17"/>
        <v>7</v>
      </c>
      <c r="H342" t="s">
        <v>2127</v>
      </c>
      <c r="I342">
        <v>511</v>
      </c>
      <c r="J342" t="s">
        <v>320</v>
      </c>
      <c r="K342" t="s">
        <v>279</v>
      </c>
      <c r="L342">
        <v>2019</v>
      </c>
      <c r="M342" t="s">
        <v>405</v>
      </c>
      <c r="N342" t="s">
        <v>2127</v>
      </c>
      <c r="O342" t="s">
        <v>2128</v>
      </c>
      <c r="P342">
        <v>44918</v>
      </c>
      <c r="Q342" t="s">
        <v>279</v>
      </c>
      <c r="R342">
        <v>1942</v>
      </c>
      <c r="S342" t="s">
        <v>2129</v>
      </c>
      <c r="T342" t="s">
        <v>2130</v>
      </c>
      <c r="U342">
        <v>20048</v>
      </c>
      <c r="V342" t="s">
        <v>279</v>
      </c>
      <c r="W342">
        <v>2008</v>
      </c>
      <c r="X342" t="s">
        <v>109</v>
      </c>
      <c r="Y342">
        <v>-3.5</v>
      </c>
      <c r="Z342">
        <v>-2.5</v>
      </c>
      <c r="AA342">
        <v>-1.5</v>
      </c>
      <c r="AB342">
        <v>45</v>
      </c>
      <c r="AC342">
        <v>45</v>
      </c>
      <c r="AD342">
        <v>10</v>
      </c>
      <c r="AE342">
        <v>75</v>
      </c>
      <c r="AF342">
        <v>25</v>
      </c>
      <c r="AG342">
        <v>67</v>
      </c>
      <c r="AH342">
        <v>33</v>
      </c>
      <c r="AI342">
        <v>100</v>
      </c>
      <c r="AJ342">
        <v>0</v>
      </c>
      <c r="AK342">
        <v>0</v>
      </c>
      <c r="AL342">
        <v>0</v>
      </c>
      <c r="AM342">
        <v>9</v>
      </c>
      <c r="AN342">
        <v>91</v>
      </c>
      <c r="AO342">
        <v>11</v>
      </c>
      <c r="AP342">
        <v>89</v>
      </c>
      <c r="AQ342">
        <v>100</v>
      </c>
      <c r="AR342">
        <v>15</v>
      </c>
      <c r="AS342">
        <v>100</v>
      </c>
      <c r="AT342">
        <v>33</v>
      </c>
      <c r="AU342">
        <v>8</v>
      </c>
      <c r="AV342">
        <v>92</v>
      </c>
      <c r="AW342">
        <v>2</v>
      </c>
      <c r="AX342">
        <v>2</v>
      </c>
      <c r="AY342">
        <v>0</v>
      </c>
      <c r="AZ342">
        <v>0</v>
      </c>
      <c r="BA342">
        <v>1</v>
      </c>
      <c r="BB342">
        <v>0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2</v>
      </c>
      <c r="BJ342">
        <v>0</v>
      </c>
      <c r="BK342">
        <v>0</v>
      </c>
      <c r="BL342">
        <v>0</v>
      </c>
      <c r="BM342">
        <v>2</v>
      </c>
      <c r="BN342">
        <v>0</v>
      </c>
      <c r="BO342">
        <v>0</v>
      </c>
      <c r="BP342">
        <v>0</v>
      </c>
      <c r="BQ342">
        <v>3</v>
      </c>
      <c r="BR342">
        <v>3</v>
      </c>
      <c r="BS342">
        <v>0</v>
      </c>
      <c r="BT342">
        <v>1</v>
      </c>
      <c r="BU342">
        <v>1</v>
      </c>
      <c r="BV342">
        <v>0</v>
      </c>
      <c r="BW342">
        <v>2</v>
      </c>
      <c r="BX342">
        <v>2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0</v>
      </c>
      <c r="CE342">
        <v>0</v>
      </c>
      <c r="CF342">
        <v>0</v>
      </c>
      <c r="CG342">
        <v>1</v>
      </c>
      <c r="CH342">
        <v>0</v>
      </c>
      <c r="CI342">
        <v>0</v>
      </c>
      <c r="CJ342">
        <v>0</v>
      </c>
      <c r="CK342">
        <v>1</v>
      </c>
      <c r="CL342">
        <v>0</v>
      </c>
      <c r="CM342">
        <v>1</v>
      </c>
      <c r="CN342">
        <v>0</v>
      </c>
      <c r="CO342">
        <v>1</v>
      </c>
      <c r="CP342">
        <v>0</v>
      </c>
      <c r="CQ342">
        <v>1</v>
      </c>
      <c r="CR342">
        <v>0</v>
      </c>
      <c r="CS342">
        <v>3</v>
      </c>
      <c r="CT342">
        <v>3</v>
      </c>
      <c r="CU342">
        <v>2</v>
      </c>
      <c r="CV342">
        <v>2</v>
      </c>
      <c r="CW342">
        <v>0</v>
      </c>
      <c r="CX342">
        <v>1</v>
      </c>
      <c r="CY342">
        <v>1</v>
      </c>
      <c r="CZ342">
        <v>0</v>
      </c>
    </row>
    <row r="343" spans="1:104" x14ac:dyDescent="0.25">
      <c r="A343" s="1" t="s">
        <v>2131</v>
      </c>
      <c r="B343">
        <v>10210</v>
      </c>
      <c r="C343">
        <v>10202</v>
      </c>
      <c r="D343" s="2">
        <v>43674</v>
      </c>
      <c r="E343" s="3">
        <f t="shared" si="15"/>
        <v>2019</v>
      </c>
      <c r="F343" s="3">
        <f t="shared" si="16"/>
        <v>7</v>
      </c>
      <c r="G343" s="3">
        <f t="shared" si="17"/>
        <v>1</v>
      </c>
      <c r="H343" t="s">
        <v>2132</v>
      </c>
      <c r="I343">
        <v>1737</v>
      </c>
      <c r="J343" t="s">
        <v>2133</v>
      </c>
      <c r="K343" t="s">
        <v>507</v>
      </c>
      <c r="L343">
        <v>2019</v>
      </c>
      <c r="M343" t="s">
        <v>233</v>
      </c>
      <c r="N343" t="s">
        <v>2132</v>
      </c>
      <c r="O343" t="s">
        <v>2134</v>
      </c>
      <c r="P343">
        <v>1000</v>
      </c>
      <c r="Q343" t="s">
        <v>507</v>
      </c>
      <c r="R343">
        <v>1907</v>
      </c>
      <c r="S343" t="s">
        <v>2135</v>
      </c>
      <c r="T343" t="s">
        <v>2134</v>
      </c>
      <c r="U343">
        <v>2000</v>
      </c>
      <c r="V343" t="s">
        <v>507</v>
      </c>
      <c r="W343">
        <v>1956</v>
      </c>
      <c r="X343" t="s">
        <v>125</v>
      </c>
      <c r="Z343">
        <v>-2.5</v>
      </c>
      <c r="AA343">
        <v>-2.5</v>
      </c>
      <c r="AB343">
        <v>10</v>
      </c>
      <c r="AC343">
        <v>45</v>
      </c>
      <c r="AD343">
        <v>45</v>
      </c>
      <c r="AE343">
        <v>48</v>
      </c>
      <c r="AF343">
        <v>52</v>
      </c>
      <c r="AG343">
        <v>47</v>
      </c>
      <c r="AH343">
        <v>53</v>
      </c>
      <c r="AI343">
        <v>40</v>
      </c>
      <c r="AJ343">
        <v>60</v>
      </c>
      <c r="AK343">
        <v>55</v>
      </c>
      <c r="AL343">
        <v>45</v>
      </c>
      <c r="AM343">
        <v>20</v>
      </c>
      <c r="AN343">
        <v>80</v>
      </c>
      <c r="AO343">
        <v>29</v>
      </c>
      <c r="AP343">
        <v>71</v>
      </c>
      <c r="AQ343">
        <v>67</v>
      </c>
      <c r="AR343">
        <v>44</v>
      </c>
      <c r="AS343">
        <v>67</v>
      </c>
      <c r="AT343">
        <v>73</v>
      </c>
      <c r="AU343">
        <v>50</v>
      </c>
      <c r="AV343">
        <v>78</v>
      </c>
      <c r="AW343">
        <v>8</v>
      </c>
      <c r="AX343">
        <v>1.6</v>
      </c>
      <c r="AY343">
        <v>6</v>
      </c>
      <c r="AZ343">
        <v>1.2</v>
      </c>
      <c r="BA343">
        <v>7</v>
      </c>
      <c r="BB343">
        <v>9</v>
      </c>
      <c r="BC343">
        <v>4</v>
      </c>
      <c r="BD343">
        <v>6</v>
      </c>
      <c r="BE343">
        <v>2</v>
      </c>
      <c r="BF343">
        <v>0</v>
      </c>
      <c r="BG343">
        <v>1</v>
      </c>
      <c r="BH343">
        <v>3</v>
      </c>
      <c r="BI343">
        <v>10</v>
      </c>
      <c r="BJ343">
        <v>25</v>
      </c>
      <c r="BK343">
        <v>7</v>
      </c>
      <c r="BL343">
        <v>17</v>
      </c>
      <c r="BM343">
        <v>1.4</v>
      </c>
      <c r="BN343">
        <v>2.8</v>
      </c>
      <c r="BO343">
        <v>1</v>
      </c>
      <c r="BP343">
        <v>1.9</v>
      </c>
      <c r="BQ343">
        <v>8</v>
      </c>
      <c r="BR343">
        <v>8</v>
      </c>
      <c r="BS343">
        <v>3</v>
      </c>
      <c r="BT343">
        <v>1</v>
      </c>
      <c r="BU343">
        <v>2</v>
      </c>
      <c r="BV343">
        <v>2</v>
      </c>
      <c r="BW343">
        <v>3</v>
      </c>
      <c r="BX343">
        <v>5</v>
      </c>
      <c r="BY343">
        <v>9</v>
      </c>
      <c r="BZ343">
        <v>1.8</v>
      </c>
      <c r="CA343">
        <v>4</v>
      </c>
      <c r="CB343">
        <v>0.8</v>
      </c>
      <c r="CC343">
        <v>9</v>
      </c>
      <c r="CD343">
        <v>6</v>
      </c>
      <c r="CE343">
        <v>7</v>
      </c>
      <c r="CF343">
        <v>2</v>
      </c>
      <c r="CG343">
        <v>1</v>
      </c>
      <c r="CH343">
        <v>3</v>
      </c>
      <c r="CI343">
        <v>1</v>
      </c>
      <c r="CJ343">
        <v>1</v>
      </c>
      <c r="CK343">
        <v>28</v>
      </c>
      <c r="CL343">
        <v>9</v>
      </c>
      <c r="CM343">
        <v>14</v>
      </c>
      <c r="CN343">
        <v>9</v>
      </c>
      <c r="CO343">
        <v>3.1</v>
      </c>
      <c r="CP343">
        <v>1.5</v>
      </c>
      <c r="CQ343">
        <v>1.6</v>
      </c>
      <c r="CR343">
        <v>1.5</v>
      </c>
      <c r="CS343">
        <v>8</v>
      </c>
      <c r="CT343">
        <v>8</v>
      </c>
      <c r="CU343">
        <v>5</v>
      </c>
      <c r="CV343">
        <v>3</v>
      </c>
      <c r="CW343">
        <v>2</v>
      </c>
      <c r="CX343">
        <v>2</v>
      </c>
      <c r="CY343">
        <v>1</v>
      </c>
      <c r="CZ343">
        <v>3</v>
      </c>
    </row>
    <row r="344" spans="1:104" x14ac:dyDescent="0.25">
      <c r="A344" s="1" t="s">
        <v>2136</v>
      </c>
      <c r="B344">
        <v>6220</v>
      </c>
      <c r="C344">
        <v>6219</v>
      </c>
      <c r="D344" s="2">
        <v>43877</v>
      </c>
      <c r="E344" s="3">
        <f t="shared" si="15"/>
        <v>2020</v>
      </c>
      <c r="F344" s="3">
        <f t="shared" si="16"/>
        <v>2</v>
      </c>
      <c r="G344" s="3">
        <f t="shared" si="17"/>
        <v>1</v>
      </c>
      <c r="H344" t="s">
        <v>2137</v>
      </c>
      <c r="I344">
        <v>1404</v>
      </c>
      <c r="J344" t="s">
        <v>2138</v>
      </c>
      <c r="K344" t="s">
        <v>475</v>
      </c>
      <c r="L344">
        <v>2019</v>
      </c>
      <c r="M344" t="s">
        <v>105</v>
      </c>
      <c r="N344" t="s">
        <v>2139</v>
      </c>
      <c r="O344" t="s">
        <v>2140</v>
      </c>
      <c r="P344">
        <v>4000</v>
      </c>
      <c r="Q344" t="s">
        <v>475</v>
      </c>
      <c r="R344">
        <v>1995</v>
      </c>
      <c r="V344" t="s">
        <v>475</v>
      </c>
      <c r="W344">
        <v>2018</v>
      </c>
      <c r="X344" t="s">
        <v>109</v>
      </c>
      <c r="Z344">
        <v>-2.5</v>
      </c>
      <c r="AA344">
        <v>-2.5</v>
      </c>
      <c r="AB344">
        <v>45</v>
      </c>
      <c r="AC344">
        <v>45</v>
      </c>
      <c r="AD344">
        <v>10</v>
      </c>
      <c r="AE344">
        <v>77</v>
      </c>
      <c r="AF344">
        <v>23</v>
      </c>
      <c r="AG344">
        <v>71</v>
      </c>
      <c r="AH344">
        <v>29</v>
      </c>
      <c r="AI344">
        <v>47</v>
      </c>
      <c r="AJ344">
        <v>53</v>
      </c>
      <c r="AK344">
        <v>55</v>
      </c>
      <c r="AL344">
        <v>45</v>
      </c>
      <c r="AM344">
        <v>50</v>
      </c>
      <c r="AN344">
        <v>50</v>
      </c>
      <c r="AO344">
        <v>50</v>
      </c>
      <c r="AP344">
        <v>50</v>
      </c>
      <c r="AQ344">
        <v>67</v>
      </c>
      <c r="AR344">
        <v>100</v>
      </c>
      <c r="AS344">
        <v>11</v>
      </c>
      <c r="AT344">
        <v>20</v>
      </c>
      <c r="AU344">
        <v>44</v>
      </c>
      <c r="AV344">
        <v>22</v>
      </c>
      <c r="AW344">
        <v>10</v>
      </c>
      <c r="AX344">
        <v>2</v>
      </c>
      <c r="AY344">
        <v>8</v>
      </c>
      <c r="AZ344">
        <v>1.6</v>
      </c>
      <c r="BA344">
        <v>10</v>
      </c>
      <c r="BB344">
        <v>11</v>
      </c>
      <c r="BC344">
        <v>5</v>
      </c>
      <c r="BD344">
        <v>2</v>
      </c>
      <c r="BE344">
        <v>2</v>
      </c>
      <c r="BF344">
        <v>4</v>
      </c>
      <c r="BG344">
        <v>3</v>
      </c>
      <c r="BH344">
        <v>5</v>
      </c>
      <c r="BI344">
        <v>16</v>
      </c>
      <c r="BJ344">
        <v>15</v>
      </c>
      <c r="BK344">
        <v>15</v>
      </c>
      <c r="BL344">
        <v>22</v>
      </c>
      <c r="BM344">
        <v>1.6</v>
      </c>
      <c r="BN344">
        <v>1.4</v>
      </c>
      <c r="BO344">
        <v>1.5</v>
      </c>
      <c r="BP344">
        <v>2</v>
      </c>
      <c r="BQ344">
        <v>1</v>
      </c>
      <c r="BR344">
        <v>1</v>
      </c>
      <c r="BS344">
        <v>0</v>
      </c>
      <c r="BT344">
        <v>0</v>
      </c>
      <c r="BU344">
        <v>1</v>
      </c>
      <c r="BV344">
        <v>1</v>
      </c>
      <c r="BW344">
        <v>0</v>
      </c>
      <c r="BX344">
        <v>0</v>
      </c>
      <c r="BY344">
        <v>4</v>
      </c>
      <c r="BZ344">
        <v>0.8</v>
      </c>
      <c r="CA344">
        <v>7</v>
      </c>
      <c r="CB344">
        <v>1.4</v>
      </c>
      <c r="CC344">
        <v>11</v>
      </c>
      <c r="CD344">
        <v>10</v>
      </c>
      <c r="CE344">
        <v>4</v>
      </c>
      <c r="CF344">
        <v>1</v>
      </c>
      <c r="CG344">
        <v>1</v>
      </c>
      <c r="CH344">
        <v>3</v>
      </c>
      <c r="CI344">
        <v>6</v>
      </c>
      <c r="CJ344">
        <v>6</v>
      </c>
      <c r="CK344">
        <v>12</v>
      </c>
      <c r="CL344">
        <v>12</v>
      </c>
      <c r="CM344">
        <v>12</v>
      </c>
      <c r="CN344">
        <v>18</v>
      </c>
      <c r="CO344">
        <v>1.1000000000000001</v>
      </c>
      <c r="CP344">
        <v>1.2</v>
      </c>
      <c r="CQ344">
        <v>1.1000000000000001</v>
      </c>
      <c r="CR344">
        <v>1.8</v>
      </c>
      <c r="CS344">
        <v>1</v>
      </c>
      <c r="CT344">
        <v>1</v>
      </c>
      <c r="CU344">
        <v>0</v>
      </c>
      <c r="CV344">
        <v>0</v>
      </c>
      <c r="CW344">
        <v>1</v>
      </c>
      <c r="CX344">
        <v>1</v>
      </c>
      <c r="CY344">
        <v>0</v>
      </c>
      <c r="CZ344">
        <v>0</v>
      </c>
    </row>
    <row r="345" spans="1:104" x14ac:dyDescent="0.25">
      <c r="A345" s="1" t="s">
        <v>2141</v>
      </c>
      <c r="B345">
        <v>555</v>
      </c>
      <c r="C345">
        <v>1078</v>
      </c>
      <c r="D345" s="2">
        <v>43768</v>
      </c>
      <c r="E345" s="3">
        <f t="shared" si="15"/>
        <v>2019</v>
      </c>
      <c r="F345" s="3">
        <f t="shared" si="16"/>
        <v>10</v>
      </c>
      <c r="G345" s="3">
        <f t="shared" si="17"/>
        <v>4</v>
      </c>
      <c r="H345" t="s">
        <v>2142</v>
      </c>
      <c r="I345">
        <v>947</v>
      </c>
      <c r="J345" t="s">
        <v>1465</v>
      </c>
      <c r="K345" t="s">
        <v>279</v>
      </c>
      <c r="L345">
        <v>2019</v>
      </c>
      <c r="M345" t="s">
        <v>1042</v>
      </c>
      <c r="N345" t="s">
        <v>2142</v>
      </c>
      <c r="O345" t="s">
        <v>471</v>
      </c>
      <c r="P345">
        <v>30000</v>
      </c>
      <c r="Q345" t="s">
        <v>279</v>
      </c>
      <c r="R345">
        <v>1911</v>
      </c>
      <c r="S345" t="s">
        <v>2143</v>
      </c>
      <c r="T345" t="s">
        <v>2144</v>
      </c>
      <c r="U345">
        <v>15132</v>
      </c>
      <c r="V345" t="s">
        <v>279</v>
      </c>
      <c r="W345">
        <v>2009</v>
      </c>
      <c r="X345">
        <v>1</v>
      </c>
      <c r="Z345">
        <v>-3.5</v>
      </c>
      <c r="AA345">
        <v>-1.5</v>
      </c>
      <c r="AB345">
        <v>45</v>
      </c>
      <c r="AC345">
        <v>45</v>
      </c>
      <c r="AD345">
        <v>10</v>
      </c>
      <c r="AE345">
        <v>50</v>
      </c>
      <c r="AF345">
        <v>50</v>
      </c>
      <c r="AG345">
        <v>75</v>
      </c>
      <c r="AH345">
        <v>25</v>
      </c>
      <c r="AI345">
        <v>0</v>
      </c>
      <c r="AJ345">
        <v>100</v>
      </c>
      <c r="AK345">
        <v>0</v>
      </c>
      <c r="AL345">
        <v>0</v>
      </c>
      <c r="AM345">
        <v>64</v>
      </c>
      <c r="AN345">
        <v>36</v>
      </c>
      <c r="AO345">
        <v>64</v>
      </c>
      <c r="AP345">
        <v>36</v>
      </c>
      <c r="AQ345">
        <v>100</v>
      </c>
      <c r="AR345">
        <v>19</v>
      </c>
      <c r="AS345">
        <v>94</v>
      </c>
      <c r="AT345">
        <v>100</v>
      </c>
      <c r="AU345">
        <v>6</v>
      </c>
      <c r="AV345">
        <v>100</v>
      </c>
      <c r="AW345">
        <v>3</v>
      </c>
      <c r="AX345">
        <v>3</v>
      </c>
      <c r="AY345">
        <v>1</v>
      </c>
      <c r="AZ345">
        <v>1</v>
      </c>
      <c r="BA345">
        <v>0</v>
      </c>
      <c r="BB345">
        <v>1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3</v>
      </c>
      <c r="BK345">
        <v>0</v>
      </c>
      <c r="BL345">
        <v>1</v>
      </c>
      <c r="BM345">
        <v>0</v>
      </c>
      <c r="BN345">
        <v>3</v>
      </c>
      <c r="BO345">
        <v>0</v>
      </c>
      <c r="BP345">
        <v>1</v>
      </c>
      <c r="BQ345">
        <v>5</v>
      </c>
      <c r="BR345">
        <v>5</v>
      </c>
      <c r="BS345">
        <v>2</v>
      </c>
      <c r="BT345">
        <v>3</v>
      </c>
      <c r="BU345">
        <v>3</v>
      </c>
      <c r="BV345">
        <v>2</v>
      </c>
      <c r="BW345">
        <v>0</v>
      </c>
      <c r="BX345">
        <v>0</v>
      </c>
      <c r="BY345">
        <v>1</v>
      </c>
      <c r="BZ345">
        <v>1</v>
      </c>
      <c r="CA345">
        <v>0</v>
      </c>
      <c r="CB345">
        <v>0</v>
      </c>
      <c r="CC345">
        <v>0</v>
      </c>
      <c r="CD345">
        <v>1</v>
      </c>
      <c r="CE345">
        <v>0</v>
      </c>
      <c r="CF345">
        <v>1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1</v>
      </c>
      <c r="CM345">
        <v>0</v>
      </c>
      <c r="CN345">
        <v>0</v>
      </c>
      <c r="CO345">
        <v>0</v>
      </c>
      <c r="CP345">
        <v>1</v>
      </c>
      <c r="CQ345">
        <v>0</v>
      </c>
      <c r="CR345">
        <v>0</v>
      </c>
      <c r="CS345">
        <v>5</v>
      </c>
      <c r="CT345">
        <v>5</v>
      </c>
      <c r="CU345">
        <v>0</v>
      </c>
      <c r="CV345">
        <v>0</v>
      </c>
      <c r="CW345">
        <v>2</v>
      </c>
      <c r="CX345">
        <v>3</v>
      </c>
      <c r="CY345">
        <v>3</v>
      </c>
      <c r="CZ345">
        <v>2</v>
      </c>
    </row>
    <row r="346" spans="1:104" x14ac:dyDescent="0.25">
      <c r="A346" s="1" t="s">
        <v>2145</v>
      </c>
      <c r="B346">
        <v>947</v>
      </c>
      <c r="C346">
        <v>943</v>
      </c>
      <c r="D346" s="2">
        <v>44053</v>
      </c>
      <c r="E346" s="3">
        <f t="shared" si="15"/>
        <v>2020</v>
      </c>
      <c r="F346" s="3">
        <f t="shared" si="16"/>
        <v>8</v>
      </c>
      <c r="G346" s="3">
        <f t="shared" si="17"/>
        <v>2</v>
      </c>
      <c r="H346" t="s">
        <v>2146</v>
      </c>
      <c r="I346">
        <v>979</v>
      </c>
      <c r="J346" t="s">
        <v>2147</v>
      </c>
      <c r="K346" t="s">
        <v>507</v>
      </c>
      <c r="L346">
        <v>2019</v>
      </c>
      <c r="M346" t="s">
        <v>469</v>
      </c>
      <c r="N346" t="s">
        <v>2148</v>
      </c>
      <c r="O346" t="s">
        <v>1038</v>
      </c>
      <c r="P346">
        <v>52500</v>
      </c>
      <c r="Q346" t="s">
        <v>507</v>
      </c>
      <c r="R346">
        <v>2005</v>
      </c>
      <c r="S346" t="s">
        <v>2149</v>
      </c>
      <c r="T346" t="s">
        <v>2150</v>
      </c>
      <c r="U346">
        <v>22000</v>
      </c>
      <c r="V346" t="s">
        <v>507</v>
      </c>
      <c r="W346">
        <v>2004</v>
      </c>
      <c r="X346" t="s">
        <v>125</v>
      </c>
      <c r="Z346">
        <v>-1.5</v>
      </c>
      <c r="AA346">
        <v>-2.5</v>
      </c>
      <c r="AB346">
        <v>10</v>
      </c>
      <c r="AC346">
        <v>45</v>
      </c>
      <c r="AD346">
        <v>45</v>
      </c>
      <c r="AE346">
        <v>67</v>
      </c>
      <c r="AF346">
        <v>33</v>
      </c>
      <c r="AG346">
        <v>45</v>
      </c>
      <c r="AH346">
        <v>55</v>
      </c>
      <c r="AI346">
        <v>70</v>
      </c>
      <c r="AJ346">
        <v>30</v>
      </c>
      <c r="AK346">
        <v>38</v>
      </c>
      <c r="AL346">
        <v>62</v>
      </c>
      <c r="AM346">
        <v>20</v>
      </c>
      <c r="AN346">
        <v>80</v>
      </c>
      <c r="AO346">
        <v>29</v>
      </c>
      <c r="AP346">
        <v>71</v>
      </c>
      <c r="AQ346">
        <v>67</v>
      </c>
      <c r="AR346">
        <v>25</v>
      </c>
      <c r="AS346">
        <v>85</v>
      </c>
      <c r="AT346">
        <v>33</v>
      </c>
      <c r="AU346">
        <v>30</v>
      </c>
      <c r="AV346">
        <v>65</v>
      </c>
      <c r="AW346">
        <v>5</v>
      </c>
      <c r="AX346">
        <v>1</v>
      </c>
      <c r="AY346">
        <v>3</v>
      </c>
      <c r="AZ346">
        <v>0.6</v>
      </c>
      <c r="BA346">
        <v>12</v>
      </c>
      <c r="BB346">
        <v>13</v>
      </c>
      <c r="BC346">
        <v>7</v>
      </c>
      <c r="BD346">
        <v>4</v>
      </c>
      <c r="BE346">
        <v>2</v>
      </c>
      <c r="BF346">
        <v>4</v>
      </c>
      <c r="BG346">
        <v>3</v>
      </c>
      <c r="BH346">
        <v>5</v>
      </c>
      <c r="BI346">
        <v>17</v>
      </c>
      <c r="BJ346">
        <v>11</v>
      </c>
      <c r="BK346">
        <v>12</v>
      </c>
      <c r="BL346">
        <v>15</v>
      </c>
      <c r="BM346">
        <v>1.4</v>
      </c>
      <c r="BN346">
        <v>0.8</v>
      </c>
      <c r="BO346">
        <v>1</v>
      </c>
      <c r="BP346">
        <v>1.2</v>
      </c>
      <c r="BQ346">
        <v>13</v>
      </c>
      <c r="BR346">
        <v>14</v>
      </c>
      <c r="BS346">
        <v>6</v>
      </c>
      <c r="BT346">
        <v>4</v>
      </c>
      <c r="BU346">
        <v>4</v>
      </c>
      <c r="BV346">
        <v>2</v>
      </c>
      <c r="BW346">
        <v>3</v>
      </c>
      <c r="BX346">
        <v>8</v>
      </c>
      <c r="BY346">
        <v>6</v>
      </c>
      <c r="BZ346">
        <v>1.2</v>
      </c>
      <c r="CA346">
        <v>7</v>
      </c>
      <c r="CB346">
        <v>1.4</v>
      </c>
      <c r="CC346">
        <v>12</v>
      </c>
      <c r="CD346">
        <v>12</v>
      </c>
      <c r="CE346">
        <v>9</v>
      </c>
      <c r="CF346">
        <v>7</v>
      </c>
      <c r="CG346">
        <v>1</v>
      </c>
      <c r="CH346">
        <v>3</v>
      </c>
      <c r="CI346">
        <v>2</v>
      </c>
      <c r="CJ346">
        <v>2</v>
      </c>
      <c r="CK346">
        <v>23</v>
      </c>
      <c r="CL346">
        <v>24</v>
      </c>
      <c r="CM346">
        <v>10</v>
      </c>
      <c r="CN346">
        <v>12</v>
      </c>
      <c r="CO346">
        <v>1.9</v>
      </c>
      <c r="CP346">
        <v>2</v>
      </c>
      <c r="CQ346">
        <v>0.8</v>
      </c>
      <c r="CR346">
        <v>1</v>
      </c>
      <c r="CS346">
        <v>14</v>
      </c>
      <c r="CT346">
        <v>13</v>
      </c>
      <c r="CU346">
        <v>8</v>
      </c>
      <c r="CV346">
        <v>3</v>
      </c>
      <c r="CW346">
        <v>2</v>
      </c>
      <c r="CX346">
        <v>4</v>
      </c>
      <c r="CY346">
        <v>4</v>
      </c>
      <c r="CZ346">
        <v>6</v>
      </c>
    </row>
    <row r="347" spans="1:104" x14ac:dyDescent="0.25">
      <c r="A347" s="1" t="s">
        <v>2151</v>
      </c>
      <c r="B347">
        <v>3730</v>
      </c>
      <c r="C347">
        <v>3725</v>
      </c>
      <c r="D347" s="2">
        <v>43793</v>
      </c>
      <c r="E347" s="3">
        <f t="shared" si="15"/>
        <v>2019</v>
      </c>
      <c r="F347" s="3">
        <f t="shared" si="16"/>
        <v>11</v>
      </c>
      <c r="G347" s="3">
        <f t="shared" si="17"/>
        <v>1</v>
      </c>
      <c r="H347" t="s">
        <v>2152</v>
      </c>
      <c r="I347">
        <v>580</v>
      </c>
      <c r="J347" t="s">
        <v>120</v>
      </c>
      <c r="K347" t="s">
        <v>121</v>
      </c>
      <c r="L347">
        <v>2019</v>
      </c>
      <c r="M347" t="s">
        <v>173</v>
      </c>
      <c r="Q347" t="s">
        <v>121</v>
      </c>
      <c r="R347">
        <v>1969</v>
      </c>
      <c r="S347" t="s">
        <v>2153</v>
      </c>
      <c r="T347" t="s">
        <v>2154</v>
      </c>
      <c r="U347">
        <v>3650</v>
      </c>
      <c r="V347" t="s">
        <v>121</v>
      </c>
      <c r="W347">
        <v>1904</v>
      </c>
      <c r="X347" t="s">
        <v>125</v>
      </c>
      <c r="Z347">
        <v>-2.5</v>
      </c>
      <c r="AA347">
        <v>-2.5</v>
      </c>
      <c r="AB347">
        <v>10</v>
      </c>
      <c r="AC347">
        <v>45</v>
      </c>
      <c r="AD347">
        <v>45</v>
      </c>
      <c r="AE347">
        <v>30</v>
      </c>
      <c r="AF347">
        <v>70</v>
      </c>
      <c r="AG347">
        <v>50</v>
      </c>
      <c r="AH347">
        <v>50</v>
      </c>
      <c r="AI347">
        <v>45</v>
      </c>
      <c r="AJ347">
        <v>55</v>
      </c>
      <c r="AK347">
        <v>53</v>
      </c>
      <c r="AL347">
        <v>47</v>
      </c>
      <c r="AM347">
        <v>50</v>
      </c>
      <c r="AN347">
        <v>50</v>
      </c>
      <c r="AO347">
        <v>50</v>
      </c>
      <c r="AP347">
        <v>50</v>
      </c>
      <c r="AQ347">
        <v>20</v>
      </c>
      <c r="AR347">
        <v>36</v>
      </c>
      <c r="AS347">
        <v>21</v>
      </c>
      <c r="AT347">
        <v>47</v>
      </c>
      <c r="AU347">
        <v>36</v>
      </c>
      <c r="AV347">
        <v>36</v>
      </c>
      <c r="AW347">
        <v>5</v>
      </c>
      <c r="AX347">
        <v>1</v>
      </c>
      <c r="AY347">
        <v>11</v>
      </c>
      <c r="AZ347">
        <v>2.2000000000000002</v>
      </c>
      <c r="BA347">
        <v>7</v>
      </c>
      <c r="BB347">
        <v>8</v>
      </c>
      <c r="BC347">
        <v>2</v>
      </c>
      <c r="BD347">
        <v>1</v>
      </c>
      <c r="BE347">
        <v>1</v>
      </c>
      <c r="BF347">
        <v>1</v>
      </c>
      <c r="BG347">
        <v>4</v>
      </c>
      <c r="BH347">
        <v>6</v>
      </c>
      <c r="BI347">
        <v>7</v>
      </c>
      <c r="BJ347">
        <v>6</v>
      </c>
      <c r="BK347">
        <v>11</v>
      </c>
      <c r="BL347">
        <v>16</v>
      </c>
      <c r="BM347">
        <v>1</v>
      </c>
      <c r="BN347">
        <v>0.8</v>
      </c>
      <c r="BO347">
        <v>1.6</v>
      </c>
      <c r="BP347">
        <v>2</v>
      </c>
      <c r="BQ347">
        <v>2</v>
      </c>
      <c r="BR347">
        <v>2</v>
      </c>
      <c r="BS347">
        <v>1</v>
      </c>
      <c r="BT347">
        <v>1</v>
      </c>
      <c r="BU347">
        <v>0</v>
      </c>
      <c r="BV347">
        <v>1</v>
      </c>
      <c r="BW347">
        <v>1</v>
      </c>
      <c r="BX347">
        <v>0</v>
      </c>
      <c r="BY347">
        <v>5</v>
      </c>
      <c r="BZ347">
        <v>1</v>
      </c>
      <c r="CA347">
        <v>9</v>
      </c>
      <c r="CB347">
        <v>1.8</v>
      </c>
      <c r="CC347">
        <v>8</v>
      </c>
      <c r="CD347">
        <v>7</v>
      </c>
      <c r="CE347">
        <v>3</v>
      </c>
      <c r="CF347">
        <v>1</v>
      </c>
      <c r="CG347">
        <v>4</v>
      </c>
      <c r="CH347">
        <v>2</v>
      </c>
      <c r="CI347">
        <v>1</v>
      </c>
      <c r="CJ347">
        <v>4</v>
      </c>
      <c r="CK347">
        <v>10</v>
      </c>
      <c r="CL347">
        <v>6</v>
      </c>
      <c r="CM347">
        <v>8</v>
      </c>
      <c r="CN347">
        <v>16</v>
      </c>
      <c r="CO347">
        <v>1.3</v>
      </c>
      <c r="CP347">
        <v>0.9</v>
      </c>
      <c r="CQ347">
        <v>1</v>
      </c>
      <c r="CR347">
        <v>2.2999999999999998</v>
      </c>
      <c r="CS347">
        <v>2</v>
      </c>
      <c r="CT347">
        <v>2</v>
      </c>
      <c r="CU347">
        <v>0</v>
      </c>
      <c r="CV347">
        <v>1</v>
      </c>
      <c r="CW347">
        <v>1</v>
      </c>
      <c r="CX347">
        <v>0</v>
      </c>
      <c r="CY347">
        <v>1</v>
      </c>
      <c r="CZ347">
        <v>1</v>
      </c>
    </row>
    <row r="348" spans="1:104" x14ac:dyDescent="0.25">
      <c r="A348" s="1" t="s">
        <v>2155</v>
      </c>
      <c r="B348">
        <v>9863</v>
      </c>
      <c r="C348">
        <v>9859</v>
      </c>
      <c r="D348" s="2">
        <v>43744</v>
      </c>
      <c r="E348" s="3">
        <f t="shared" si="15"/>
        <v>2019</v>
      </c>
      <c r="F348" s="3">
        <f t="shared" si="16"/>
        <v>10</v>
      </c>
      <c r="G348" s="3">
        <f t="shared" si="17"/>
        <v>1</v>
      </c>
      <c r="H348" t="s">
        <v>2156</v>
      </c>
      <c r="I348">
        <v>1284</v>
      </c>
      <c r="J348" t="s">
        <v>1282</v>
      </c>
      <c r="K348" t="s">
        <v>380</v>
      </c>
      <c r="L348">
        <v>2019</v>
      </c>
      <c r="M348" t="s">
        <v>2157</v>
      </c>
      <c r="N348" t="s">
        <v>2156</v>
      </c>
      <c r="O348" t="s">
        <v>2158</v>
      </c>
      <c r="P348">
        <v>2000</v>
      </c>
      <c r="Q348" t="s">
        <v>380</v>
      </c>
      <c r="R348">
        <v>1948</v>
      </c>
      <c r="S348" t="s">
        <v>1281</v>
      </c>
      <c r="T348" t="s">
        <v>1284</v>
      </c>
      <c r="U348">
        <v>2000</v>
      </c>
      <c r="V348" t="s">
        <v>380</v>
      </c>
      <c r="X348" t="s">
        <v>125</v>
      </c>
      <c r="Y348">
        <v>1.5</v>
      </c>
      <c r="Z348">
        <v>-2.5</v>
      </c>
      <c r="AA348">
        <v>-3.5</v>
      </c>
      <c r="AB348">
        <v>10</v>
      </c>
      <c r="AC348">
        <v>45</v>
      </c>
      <c r="AD348">
        <v>45</v>
      </c>
      <c r="AE348">
        <v>33</v>
      </c>
      <c r="AF348">
        <v>67</v>
      </c>
      <c r="AG348">
        <v>42</v>
      </c>
      <c r="AH348">
        <v>58</v>
      </c>
      <c r="AI348">
        <v>50</v>
      </c>
      <c r="AJ348">
        <v>50</v>
      </c>
      <c r="AK348">
        <v>40</v>
      </c>
      <c r="AL348">
        <v>60</v>
      </c>
      <c r="AM348">
        <v>0</v>
      </c>
      <c r="AN348">
        <v>0</v>
      </c>
      <c r="AO348">
        <v>0</v>
      </c>
      <c r="AP348">
        <v>0</v>
      </c>
      <c r="AQ348">
        <v>20</v>
      </c>
      <c r="AR348">
        <v>29</v>
      </c>
      <c r="AS348">
        <v>18</v>
      </c>
      <c r="AT348">
        <v>40</v>
      </c>
      <c r="AU348">
        <v>41</v>
      </c>
      <c r="AV348">
        <v>18</v>
      </c>
      <c r="AW348">
        <v>5</v>
      </c>
      <c r="AX348">
        <v>1</v>
      </c>
      <c r="AY348">
        <v>14</v>
      </c>
      <c r="AZ348">
        <v>2.8</v>
      </c>
      <c r="BA348">
        <v>3</v>
      </c>
      <c r="BB348">
        <v>3</v>
      </c>
      <c r="BC348">
        <v>0</v>
      </c>
      <c r="BD348">
        <v>1</v>
      </c>
      <c r="BE348">
        <v>1</v>
      </c>
      <c r="BF348">
        <v>0</v>
      </c>
      <c r="BG348">
        <v>2</v>
      </c>
      <c r="BH348">
        <v>2</v>
      </c>
      <c r="BI348">
        <v>3</v>
      </c>
      <c r="BJ348">
        <v>3</v>
      </c>
      <c r="BK348">
        <v>8</v>
      </c>
      <c r="BL348">
        <v>7</v>
      </c>
      <c r="BM348">
        <v>1</v>
      </c>
      <c r="BN348">
        <v>1</v>
      </c>
      <c r="BO348">
        <v>2.7</v>
      </c>
      <c r="BP348">
        <v>2.2999999999999998</v>
      </c>
      <c r="BQ348">
        <v>1</v>
      </c>
      <c r="BR348">
        <v>1</v>
      </c>
      <c r="BS348">
        <v>1</v>
      </c>
      <c r="BT348">
        <v>0</v>
      </c>
      <c r="BU348">
        <v>0</v>
      </c>
      <c r="BV348">
        <v>0</v>
      </c>
      <c r="BW348">
        <v>0</v>
      </c>
      <c r="BX348">
        <v>1</v>
      </c>
      <c r="BY348">
        <v>7</v>
      </c>
      <c r="BZ348">
        <v>1.4</v>
      </c>
      <c r="CA348">
        <v>14</v>
      </c>
      <c r="CB348">
        <v>2.8</v>
      </c>
      <c r="CC348">
        <v>3</v>
      </c>
      <c r="CD348">
        <v>3</v>
      </c>
      <c r="CE348">
        <v>1</v>
      </c>
      <c r="CF348">
        <v>1</v>
      </c>
      <c r="CG348">
        <v>0</v>
      </c>
      <c r="CH348">
        <v>0</v>
      </c>
      <c r="CI348">
        <v>2</v>
      </c>
      <c r="CJ348">
        <v>2</v>
      </c>
      <c r="CK348">
        <v>3</v>
      </c>
      <c r="CL348">
        <v>4</v>
      </c>
      <c r="CM348">
        <v>8</v>
      </c>
      <c r="CN348">
        <v>10</v>
      </c>
      <c r="CO348">
        <v>1</v>
      </c>
      <c r="CP348">
        <v>1.3</v>
      </c>
      <c r="CQ348">
        <v>2.7</v>
      </c>
      <c r="CR348">
        <v>3.3</v>
      </c>
      <c r="CS348">
        <v>1</v>
      </c>
      <c r="CT348">
        <v>1</v>
      </c>
      <c r="CU348">
        <v>1</v>
      </c>
      <c r="CV348">
        <v>0</v>
      </c>
      <c r="CW348">
        <v>0</v>
      </c>
      <c r="CX348">
        <v>0</v>
      </c>
      <c r="CY348">
        <v>0</v>
      </c>
      <c r="CZ348">
        <v>1</v>
      </c>
    </row>
    <row r="349" spans="1:104" x14ac:dyDescent="0.25">
      <c r="A349" s="1" t="s">
        <v>2159</v>
      </c>
      <c r="B349">
        <v>2357</v>
      </c>
      <c r="C349">
        <v>2360</v>
      </c>
      <c r="D349" s="2">
        <v>43730</v>
      </c>
      <c r="E349" s="3">
        <f t="shared" si="15"/>
        <v>2019</v>
      </c>
      <c r="F349" s="3">
        <f t="shared" si="16"/>
        <v>9</v>
      </c>
      <c r="G349" s="3">
        <f t="shared" si="17"/>
        <v>1</v>
      </c>
      <c r="H349" t="s">
        <v>2160</v>
      </c>
      <c r="I349">
        <v>984</v>
      </c>
      <c r="J349" t="s">
        <v>2161</v>
      </c>
      <c r="K349" t="s">
        <v>2162</v>
      </c>
      <c r="L349">
        <v>2019</v>
      </c>
      <c r="M349" t="s">
        <v>2163</v>
      </c>
      <c r="N349" t="s">
        <v>2164</v>
      </c>
      <c r="O349" t="s">
        <v>2165</v>
      </c>
      <c r="P349">
        <v>8000</v>
      </c>
      <c r="Q349" t="s">
        <v>2162</v>
      </c>
      <c r="R349">
        <v>1916</v>
      </c>
      <c r="S349" t="s">
        <v>2166</v>
      </c>
      <c r="T349" t="s">
        <v>2165</v>
      </c>
      <c r="U349">
        <v>7420</v>
      </c>
      <c r="V349" t="s">
        <v>2162</v>
      </c>
      <c r="W349">
        <v>1902</v>
      </c>
      <c r="X349" t="s">
        <v>109</v>
      </c>
      <c r="Z349">
        <v>-1.5</v>
      </c>
      <c r="AA349">
        <v>-2.5</v>
      </c>
      <c r="AB349">
        <v>45</v>
      </c>
      <c r="AC349">
        <v>45</v>
      </c>
      <c r="AD349">
        <v>10</v>
      </c>
      <c r="AE349">
        <v>56</v>
      </c>
      <c r="AF349">
        <v>44</v>
      </c>
      <c r="AG349">
        <v>36</v>
      </c>
      <c r="AH349">
        <v>64</v>
      </c>
      <c r="AI349">
        <v>67</v>
      </c>
      <c r="AJ349">
        <v>33</v>
      </c>
      <c r="AK349">
        <v>0</v>
      </c>
      <c r="AL349">
        <v>0</v>
      </c>
      <c r="AM349">
        <v>85</v>
      </c>
      <c r="AN349">
        <v>15</v>
      </c>
      <c r="AO349">
        <v>79</v>
      </c>
      <c r="AP349">
        <v>21</v>
      </c>
      <c r="AQ349">
        <v>33</v>
      </c>
      <c r="AR349">
        <v>40</v>
      </c>
      <c r="AS349">
        <v>50</v>
      </c>
      <c r="AT349">
        <v>27</v>
      </c>
      <c r="AU349">
        <v>70</v>
      </c>
      <c r="AV349">
        <v>0</v>
      </c>
      <c r="AW349">
        <v>4</v>
      </c>
      <c r="AX349">
        <v>0.8</v>
      </c>
      <c r="AY349">
        <v>5</v>
      </c>
      <c r="AZ349">
        <v>1</v>
      </c>
      <c r="BA349">
        <v>4</v>
      </c>
      <c r="BB349">
        <v>5</v>
      </c>
      <c r="BC349">
        <v>2</v>
      </c>
      <c r="BD349">
        <v>1</v>
      </c>
      <c r="BE349">
        <v>1</v>
      </c>
      <c r="BF349">
        <v>1</v>
      </c>
      <c r="BG349">
        <v>1</v>
      </c>
      <c r="BH349">
        <v>3</v>
      </c>
      <c r="BI349">
        <v>6</v>
      </c>
      <c r="BJ349">
        <v>4</v>
      </c>
      <c r="BK349">
        <v>3</v>
      </c>
      <c r="BL349">
        <v>10</v>
      </c>
      <c r="BM349">
        <v>1.5</v>
      </c>
      <c r="BN349">
        <v>0.8</v>
      </c>
      <c r="BO349">
        <v>0.8</v>
      </c>
      <c r="BP349">
        <v>2</v>
      </c>
      <c r="BQ349">
        <v>8</v>
      </c>
      <c r="BR349">
        <v>9</v>
      </c>
      <c r="BS349">
        <v>5</v>
      </c>
      <c r="BT349">
        <v>4</v>
      </c>
      <c r="BU349">
        <v>3</v>
      </c>
      <c r="BV349">
        <v>2</v>
      </c>
      <c r="BW349">
        <v>0</v>
      </c>
      <c r="BX349">
        <v>3</v>
      </c>
      <c r="BY349">
        <v>7</v>
      </c>
      <c r="BZ349">
        <v>1.4</v>
      </c>
      <c r="CA349">
        <v>10</v>
      </c>
      <c r="CB349">
        <v>2</v>
      </c>
      <c r="CC349">
        <v>4</v>
      </c>
      <c r="CD349">
        <v>5</v>
      </c>
      <c r="CE349">
        <v>1</v>
      </c>
      <c r="CF349">
        <v>0</v>
      </c>
      <c r="CG349">
        <v>0</v>
      </c>
      <c r="CH349">
        <v>1</v>
      </c>
      <c r="CI349">
        <v>3</v>
      </c>
      <c r="CJ349">
        <v>4</v>
      </c>
      <c r="CK349">
        <v>5</v>
      </c>
      <c r="CL349">
        <v>5</v>
      </c>
      <c r="CM349">
        <v>7</v>
      </c>
      <c r="CN349">
        <v>13</v>
      </c>
      <c r="CO349">
        <v>1.3</v>
      </c>
      <c r="CP349">
        <v>1</v>
      </c>
      <c r="CQ349">
        <v>1.8</v>
      </c>
      <c r="CR349">
        <v>2.6</v>
      </c>
      <c r="CS349">
        <v>9</v>
      </c>
      <c r="CT349">
        <v>8</v>
      </c>
      <c r="CU349">
        <v>3</v>
      </c>
      <c r="CV349">
        <v>0</v>
      </c>
      <c r="CW349">
        <v>2</v>
      </c>
      <c r="CX349">
        <v>3</v>
      </c>
      <c r="CY349">
        <v>4</v>
      </c>
      <c r="CZ349">
        <v>5</v>
      </c>
    </row>
    <row r="350" spans="1:104" x14ac:dyDescent="0.25">
      <c r="A350" s="1" t="s">
        <v>2167</v>
      </c>
      <c r="B350">
        <v>9867</v>
      </c>
      <c r="C350">
        <v>9871</v>
      </c>
      <c r="D350" s="2">
        <v>43723</v>
      </c>
      <c r="E350" s="3">
        <f t="shared" si="15"/>
        <v>2019</v>
      </c>
      <c r="F350" s="3">
        <f t="shared" si="16"/>
        <v>9</v>
      </c>
      <c r="G350" s="3">
        <f t="shared" si="17"/>
        <v>1</v>
      </c>
      <c r="H350" t="s">
        <v>2168</v>
      </c>
      <c r="I350">
        <v>1284</v>
      </c>
      <c r="J350" t="s">
        <v>1282</v>
      </c>
      <c r="K350" t="s">
        <v>380</v>
      </c>
      <c r="L350">
        <v>2019</v>
      </c>
      <c r="M350" t="s">
        <v>2169</v>
      </c>
      <c r="N350" t="s">
        <v>2168</v>
      </c>
      <c r="O350" t="s">
        <v>2170</v>
      </c>
      <c r="P350">
        <v>1500</v>
      </c>
      <c r="Q350" t="s">
        <v>380</v>
      </c>
      <c r="R350">
        <v>1949</v>
      </c>
      <c r="S350" t="s">
        <v>748</v>
      </c>
      <c r="T350" t="s">
        <v>2171</v>
      </c>
      <c r="U350">
        <v>3000</v>
      </c>
      <c r="V350" t="s">
        <v>380</v>
      </c>
      <c r="W350">
        <v>1952</v>
      </c>
      <c r="X350">
        <v>2</v>
      </c>
      <c r="Z350">
        <v>-1.5</v>
      </c>
      <c r="AA350">
        <v>-4.5</v>
      </c>
      <c r="AB350">
        <v>0</v>
      </c>
      <c r="AC350">
        <v>50</v>
      </c>
      <c r="AD350">
        <v>50</v>
      </c>
      <c r="AE350">
        <v>13</v>
      </c>
      <c r="AF350">
        <v>88</v>
      </c>
      <c r="AG350">
        <v>14</v>
      </c>
      <c r="AH350">
        <v>86</v>
      </c>
      <c r="AI350">
        <v>33</v>
      </c>
      <c r="AJ350">
        <v>67</v>
      </c>
      <c r="AK350">
        <v>0</v>
      </c>
      <c r="AL350">
        <v>100</v>
      </c>
      <c r="AM350">
        <v>0</v>
      </c>
      <c r="AN350">
        <v>0</v>
      </c>
      <c r="AO350">
        <v>0</v>
      </c>
      <c r="AP350">
        <v>0</v>
      </c>
      <c r="AQ350">
        <v>11</v>
      </c>
      <c r="AR350">
        <v>5</v>
      </c>
      <c r="AS350">
        <v>79</v>
      </c>
      <c r="AT350">
        <v>78</v>
      </c>
      <c r="AU350">
        <v>32</v>
      </c>
      <c r="AV350">
        <v>89</v>
      </c>
      <c r="AW350">
        <v>1</v>
      </c>
      <c r="AX350">
        <v>0.3</v>
      </c>
      <c r="AY350">
        <v>4</v>
      </c>
      <c r="AZ350">
        <v>1.3</v>
      </c>
      <c r="BA350">
        <v>1</v>
      </c>
      <c r="BB350">
        <v>2</v>
      </c>
      <c r="BC350">
        <v>0</v>
      </c>
      <c r="BD350">
        <v>0</v>
      </c>
      <c r="BE350">
        <v>0</v>
      </c>
      <c r="BF350">
        <v>1</v>
      </c>
      <c r="BG350">
        <v>1</v>
      </c>
      <c r="BH350">
        <v>1</v>
      </c>
      <c r="BI350">
        <v>0</v>
      </c>
      <c r="BJ350">
        <v>1</v>
      </c>
      <c r="BK350">
        <v>2</v>
      </c>
      <c r="BL350">
        <v>2</v>
      </c>
      <c r="BM350">
        <v>0</v>
      </c>
      <c r="BN350">
        <v>0.5</v>
      </c>
      <c r="BO350">
        <v>2</v>
      </c>
      <c r="BP350">
        <v>1</v>
      </c>
      <c r="BQ350">
        <v>1</v>
      </c>
      <c r="BR350">
        <v>1</v>
      </c>
      <c r="BS350">
        <v>0</v>
      </c>
      <c r="BT350">
        <v>1</v>
      </c>
      <c r="BU350">
        <v>0</v>
      </c>
      <c r="BV350">
        <v>0</v>
      </c>
      <c r="BW350">
        <v>1</v>
      </c>
      <c r="BX350">
        <v>0</v>
      </c>
      <c r="BY350">
        <v>6</v>
      </c>
      <c r="BZ350">
        <v>2</v>
      </c>
      <c r="CA350">
        <v>2</v>
      </c>
      <c r="CB350">
        <v>0.7</v>
      </c>
      <c r="CC350">
        <v>2</v>
      </c>
      <c r="CD350">
        <v>1</v>
      </c>
      <c r="CE350">
        <v>1</v>
      </c>
      <c r="CF350">
        <v>1</v>
      </c>
      <c r="CG350">
        <v>1</v>
      </c>
      <c r="CH350">
        <v>0</v>
      </c>
      <c r="CI350">
        <v>0</v>
      </c>
      <c r="CJ350">
        <v>0</v>
      </c>
      <c r="CK350">
        <v>3</v>
      </c>
      <c r="CL350">
        <v>3</v>
      </c>
      <c r="CM350">
        <v>0</v>
      </c>
      <c r="CN350">
        <v>2</v>
      </c>
      <c r="CO350">
        <v>1.5</v>
      </c>
      <c r="CP350">
        <v>3</v>
      </c>
      <c r="CQ350">
        <v>0</v>
      </c>
      <c r="CR350">
        <v>2</v>
      </c>
      <c r="CS350">
        <v>1</v>
      </c>
      <c r="CT350">
        <v>1</v>
      </c>
      <c r="CU350">
        <v>0</v>
      </c>
      <c r="CV350">
        <v>1</v>
      </c>
      <c r="CW350">
        <v>0</v>
      </c>
      <c r="CX350">
        <v>0</v>
      </c>
      <c r="CY350">
        <v>1</v>
      </c>
      <c r="CZ350">
        <v>0</v>
      </c>
    </row>
    <row r="351" spans="1:104" x14ac:dyDescent="0.25">
      <c r="A351" s="1" t="s">
        <v>2172</v>
      </c>
      <c r="B351">
        <v>1027</v>
      </c>
      <c r="C351">
        <v>1023</v>
      </c>
      <c r="D351" s="2">
        <v>43991</v>
      </c>
      <c r="E351" s="3">
        <f t="shared" si="15"/>
        <v>2020</v>
      </c>
      <c r="F351" s="3">
        <f t="shared" si="16"/>
        <v>6</v>
      </c>
      <c r="G351" s="3">
        <f t="shared" si="17"/>
        <v>3</v>
      </c>
      <c r="H351" t="s">
        <v>2173</v>
      </c>
      <c r="I351">
        <v>568</v>
      </c>
      <c r="J351" t="s">
        <v>2174</v>
      </c>
      <c r="K351" t="s">
        <v>547</v>
      </c>
      <c r="L351">
        <v>2019</v>
      </c>
      <c r="M351" t="s">
        <v>2175</v>
      </c>
      <c r="N351" t="s">
        <v>2173</v>
      </c>
      <c r="O351" t="s">
        <v>2176</v>
      </c>
      <c r="P351">
        <v>8000</v>
      </c>
      <c r="Q351" t="s">
        <v>547</v>
      </c>
      <c r="R351">
        <v>2000</v>
      </c>
      <c r="S351" t="s">
        <v>2177</v>
      </c>
      <c r="T351" t="s">
        <v>2178</v>
      </c>
      <c r="U351">
        <v>12000</v>
      </c>
      <c r="V351" t="s">
        <v>547</v>
      </c>
      <c r="W351">
        <v>2008</v>
      </c>
      <c r="X351" t="s">
        <v>109</v>
      </c>
      <c r="Z351">
        <v>-2.5</v>
      </c>
      <c r="AA351">
        <v>-1.5</v>
      </c>
      <c r="AB351">
        <v>35</v>
      </c>
      <c r="AC351">
        <v>35</v>
      </c>
      <c r="AD351">
        <v>30</v>
      </c>
      <c r="AE351">
        <v>56</v>
      </c>
      <c r="AF351">
        <v>44</v>
      </c>
      <c r="AG351">
        <v>70</v>
      </c>
      <c r="AH351">
        <v>30</v>
      </c>
      <c r="AI351">
        <v>40</v>
      </c>
      <c r="AJ351">
        <v>60</v>
      </c>
      <c r="AK351">
        <v>0</v>
      </c>
      <c r="AL351">
        <v>0</v>
      </c>
      <c r="AM351">
        <v>50</v>
      </c>
      <c r="AN351">
        <v>50</v>
      </c>
      <c r="AO351">
        <v>54</v>
      </c>
      <c r="AP351">
        <v>46</v>
      </c>
      <c r="AQ351">
        <v>33</v>
      </c>
      <c r="AR351">
        <v>35</v>
      </c>
      <c r="AS351">
        <v>55</v>
      </c>
      <c r="AT351">
        <v>27</v>
      </c>
      <c r="AU351">
        <v>15</v>
      </c>
      <c r="AV351">
        <v>70</v>
      </c>
      <c r="AW351">
        <v>7</v>
      </c>
      <c r="AX351">
        <v>1.4</v>
      </c>
      <c r="AY351">
        <v>9</v>
      </c>
      <c r="AZ351">
        <v>1.8</v>
      </c>
      <c r="BA351">
        <v>12</v>
      </c>
      <c r="BB351">
        <v>12</v>
      </c>
      <c r="BC351">
        <v>1</v>
      </c>
      <c r="BD351">
        <v>3</v>
      </c>
      <c r="BE351">
        <v>5</v>
      </c>
      <c r="BF351">
        <v>4</v>
      </c>
      <c r="BG351">
        <v>6</v>
      </c>
      <c r="BH351">
        <v>5</v>
      </c>
      <c r="BI351">
        <v>13</v>
      </c>
      <c r="BJ351">
        <v>14</v>
      </c>
      <c r="BK351">
        <v>31</v>
      </c>
      <c r="BL351">
        <v>24</v>
      </c>
      <c r="BM351">
        <v>1.1000000000000001</v>
      </c>
      <c r="BN351">
        <v>1.2</v>
      </c>
      <c r="BO351">
        <v>2.6</v>
      </c>
      <c r="BP351">
        <v>2</v>
      </c>
      <c r="BQ351">
        <v>7</v>
      </c>
      <c r="BR351">
        <v>8</v>
      </c>
      <c r="BS351">
        <v>1</v>
      </c>
      <c r="BT351">
        <v>2</v>
      </c>
      <c r="BU351">
        <v>4</v>
      </c>
      <c r="BV351">
        <v>2</v>
      </c>
      <c r="BW351">
        <v>2</v>
      </c>
      <c r="BX351">
        <v>4</v>
      </c>
      <c r="BY351">
        <v>3</v>
      </c>
      <c r="BZ351">
        <v>0.6</v>
      </c>
      <c r="CA351">
        <v>6</v>
      </c>
      <c r="CB351">
        <v>1.2</v>
      </c>
      <c r="CC351">
        <v>12</v>
      </c>
      <c r="CD351">
        <v>12</v>
      </c>
      <c r="CE351">
        <v>2</v>
      </c>
      <c r="CF351">
        <v>2</v>
      </c>
      <c r="CG351">
        <v>3</v>
      </c>
      <c r="CH351">
        <v>4</v>
      </c>
      <c r="CI351">
        <v>7</v>
      </c>
      <c r="CJ351">
        <v>6</v>
      </c>
      <c r="CK351">
        <v>8</v>
      </c>
      <c r="CL351">
        <v>14</v>
      </c>
      <c r="CM351">
        <v>18</v>
      </c>
      <c r="CN351">
        <v>28</v>
      </c>
      <c r="CO351">
        <v>0.7</v>
      </c>
      <c r="CP351">
        <v>1.2</v>
      </c>
      <c r="CQ351">
        <v>1.5</v>
      </c>
      <c r="CR351">
        <v>2.2999999999999998</v>
      </c>
      <c r="CS351">
        <v>8</v>
      </c>
      <c r="CT351">
        <v>7</v>
      </c>
      <c r="CU351">
        <v>4</v>
      </c>
      <c r="CV351">
        <v>2</v>
      </c>
      <c r="CW351">
        <v>2</v>
      </c>
      <c r="CX351">
        <v>4</v>
      </c>
      <c r="CY351">
        <v>2</v>
      </c>
      <c r="CZ351">
        <v>1</v>
      </c>
    </row>
    <row r="352" spans="1:104" x14ac:dyDescent="0.25">
      <c r="A352" s="1" t="s">
        <v>2179</v>
      </c>
      <c r="B352">
        <v>3793</v>
      </c>
      <c r="C352">
        <v>3786</v>
      </c>
      <c r="D352" s="2">
        <v>44015</v>
      </c>
      <c r="E352" s="3">
        <f t="shared" si="15"/>
        <v>2020</v>
      </c>
      <c r="F352" s="3">
        <f t="shared" si="16"/>
        <v>7</v>
      </c>
      <c r="G352" s="3">
        <f t="shared" si="17"/>
        <v>6</v>
      </c>
      <c r="H352" t="s">
        <v>2180</v>
      </c>
      <c r="I352">
        <v>1339</v>
      </c>
      <c r="J352" t="s">
        <v>2181</v>
      </c>
      <c r="K352" t="s">
        <v>507</v>
      </c>
      <c r="L352">
        <v>2020</v>
      </c>
      <c r="M352" t="s">
        <v>173</v>
      </c>
      <c r="N352" t="s">
        <v>2180</v>
      </c>
      <c r="O352" t="s">
        <v>2182</v>
      </c>
      <c r="P352">
        <v>3000</v>
      </c>
      <c r="Q352" t="s">
        <v>507</v>
      </c>
      <c r="S352" t="s">
        <v>2183</v>
      </c>
      <c r="T352" t="s">
        <v>2182</v>
      </c>
      <c r="U352">
        <v>8000</v>
      </c>
      <c r="V352" t="s">
        <v>507</v>
      </c>
      <c r="W352">
        <v>1994</v>
      </c>
      <c r="X352" t="s">
        <v>125</v>
      </c>
      <c r="Z352">
        <v>-2.5</v>
      </c>
      <c r="AA352">
        <v>-2.5</v>
      </c>
      <c r="AB352">
        <v>10</v>
      </c>
      <c r="AC352">
        <v>45</v>
      </c>
      <c r="AD352">
        <v>45</v>
      </c>
      <c r="AE352">
        <v>44</v>
      </c>
      <c r="AF352">
        <v>56</v>
      </c>
      <c r="AG352">
        <v>73</v>
      </c>
      <c r="AH352">
        <v>27</v>
      </c>
      <c r="AI352">
        <v>33</v>
      </c>
      <c r="AJ352">
        <v>67</v>
      </c>
      <c r="AK352">
        <v>33</v>
      </c>
      <c r="AL352">
        <v>67</v>
      </c>
      <c r="AM352">
        <v>50</v>
      </c>
      <c r="AN352">
        <v>50</v>
      </c>
      <c r="AO352">
        <v>45</v>
      </c>
      <c r="AP352">
        <v>55</v>
      </c>
      <c r="AQ352">
        <v>58</v>
      </c>
      <c r="AR352">
        <v>85</v>
      </c>
      <c r="AS352">
        <v>69</v>
      </c>
      <c r="AT352">
        <v>75</v>
      </c>
      <c r="AU352">
        <v>31</v>
      </c>
      <c r="AV352">
        <v>85</v>
      </c>
      <c r="AW352">
        <v>11</v>
      </c>
      <c r="AX352">
        <v>2.8</v>
      </c>
      <c r="AY352">
        <v>4</v>
      </c>
      <c r="AZ352">
        <v>1</v>
      </c>
      <c r="BA352">
        <v>3</v>
      </c>
      <c r="BB352">
        <v>1</v>
      </c>
      <c r="BC352">
        <v>1</v>
      </c>
      <c r="BD352">
        <v>1</v>
      </c>
      <c r="BE352">
        <v>1</v>
      </c>
      <c r="BF352">
        <v>0</v>
      </c>
      <c r="BG352">
        <v>1</v>
      </c>
      <c r="BH352">
        <v>0</v>
      </c>
      <c r="BI352">
        <v>3</v>
      </c>
      <c r="BJ352">
        <v>8</v>
      </c>
      <c r="BK352">
        <v>4</v>
      </c>
      <c r="BL352">
        <v>0</v>
      </c>
      <c r="BM352">
        <v>1</v>
      </c>
      <c r="BN352">
        <v>8</v>
      </c>
      <c r="BO352">
        <v>1.3</v>
      </c>
      <c r="BP352">
        <v>0</v>
      </c>
      <c r="BQ352">
        <v>2</v>
      </c>
      <c r="BR352">
        <v>3</v>
      </c>
      <c r="BS352">
        <v>1</v>
      </c>
      <c r="BT352">
        <v>1</v>
      </c>
      <c r="BU352">
        <v>1</v>
      </c>
      <c r="BV352">
        <v>0</v>
      </c>
      <c r="BW352">
        <v>0</v>
      </c>
      <c r="BX352">
        <v>2</v>
      </c>
      <c r="BY352">
        <v>4</v>
      </c>
      <c r="BZ352">
        <v>1</v>
      </c>
      <c r="CA352">
        <v>2</v>
      </c>
      <c r="CB352">
        <v>0.5</v>
      </c>
      <c r="CC352">
        <v>1</v>
      </c>
      <c r="CD352">
        <v>3</v>
      </c>
      <c r="CE352">
        <v>1</v>
      </c>
      <c r="CF352">
        <v>2</v>
      </c>
      <c r="CG352">
        <v>0</v>
      </c>
      <c r="CH352">
        <v>0</v>
      </c>
      <c r="CI352">
        <v>0</v>
      </c>
      <c r="CJ352">
        <v>1</v>
      </c>
      <c r="CK352">
        <v>1</v>
      </c>
      <c r="CL352">
        <v>3</v>
      </c>
      <c r="CM352">
        <v>0</v>
      </c>
      <c r="CN352">
        <v>2</v>
      </c>
      <c r="CO352">
        <v>1</v>
      </c>
      <c r="CP352">
        <v>1</v>
      </c>
      <c r="CQ352">
        <v>0</v>
      </c>
      <c r="CR352">
        <v>0.7</v>
      </c>
      <c r="CS352">
        <v>3</v>
      </c>
      <c r="CT352">
        <v>2</v>
      </c>
      <c r="CU352">
        <v>2</v>
      </c>
      <c r="CV352">
        <v>0</v>
      </c>
      <c r="CW352">
        <v>0</v>
      </c>
      <c r="CX352">
        <v>1</v>
      </c>
      <c r="CY352">
        <v>1</v>
      </c>
      <c r="CZ352">
        <v>1</v>
      </c>
    </row>
    <row r="353" spans="1:104" x14ac:dyDescent="0.25">
      <c r="A353" s="1" t="s">
        <v>2184</v>
      </c>
      <c r="B353">
        <v>5370</v>
      </c>
      <c r="C353">
        <v>12196</v>
      </c>
      <c r="D353" s="2">
        <v>44030</v>
      </c>
      <c r="E353" s="3">
        <f t="shared" si="15"/>
        <v>2020</v>
      </c>
      <c r="F353" s="3">
        <f t="shared" si="16"/>
        <v>7</v>
      </c>
      <c r="G353" s="3">
        <f t="shared" si="17"/>
        <v>7</v>
      </c>
      <c r="H353" t="s">
        <v>2185</v>
      </c>
      <c r="I353">
        <v>2109</v>
      </c>
      <c r="J353" t="s">
        <v>2186</v>
      </c>
      <c r="K353" t="s">
        <v>2187</v>
      </c>
      <c r="L353">
        <v>2019</v>
      </c>
      <c r="M353" t="s">
        <v>1970</v>
      </c>
      <c r="N353" t="s">
        <v>2188</v>
      </c>
      <c r="O353" t="s">
        <v>2189</v>
      </c>
      <c r="P353">
        <v>60000</v>
      </c>
      <c r="Q353" t="s">
        <v>2187</v>
      </c>
      <c r="R353">
        <v>1935</v>
      </c>
      <c r="S353" t="s">
        <v>2190</v>
      </c>
      <c r="T353" t="s">
        <v>2191</v>
      </c>
      <c r="U353">
        <v>30000</v>
      </c>
      <c r="V353" t="s">
        <v>2187</v>
      </c>
      <c r="X353" t="s">
        <v>109</v>
      </c>
      <c r="Z353">
        <v>-2.5</v>
      </c>
      <c r="AA353">
        <v>-2.5</v>
      </c>
      <c r="AB353">
        <v>45</v>
      </c>
      <c r="AC353">
        <v>45</v>
      </c>
      <c r="AD353">
        <v>10</v>
      </c>
      <c r="AE353">
        <v>65</v>
      </c>
      <c r="AF353">
        <v>35</v>
      </c>
      <c r="AG353">
        <v>53</v>
      </c>
      <c r="AH353">
        <v>47</v>
      </c>
      <c r="AI353">
        <v>58</v>
      </c>
      <c r="AJ353">
        <v>42</v>
      </c>
      <c r="AK353">
        <v>0</v>
      </c>
      <c r="AL353">
        <v>0</v>
      </c>
      <c r="AM353">
        <v>71</v>
      </c>
      <c r="AN353">
        <v>29</v>
      </c>
      <c r="AO353">
        <v>83</v>
      </c>
      <c r="AP353">
        <v>17</v>
      </c>
      <c r="AQ353">
        <v>73</v>
      </c>
      <c r="AR353">
        <v>100</v>
      </c>
      <c r="AS353">
        <v>44</v>
      </c>
      <c r="AT353">
        <v>40</v>
      </c>
      <c r="AU353">
        <v>89</v>
      </c>
      <c r="AV353">
        <v>22</v>
      </c>
      <c r="AW353">
        <v>9</v>
      </c>
      <c r="AX353">
        <v>1.8</v>
      </c>
      <c r="AY353">
        <v>5</v>
      </c>
      <c r="AZ353">
        <v>1</v>
      </c>
      <c r="BA353">
        <v>18</v>
      </c>
      <c r="BB353">
        <v>18</v>
      </c>
      <c r="BC353">
        <v>10</v>
      </c>
      <c r="BD353">
        <v>8</v>
      </c>
      <c r="BE353">
        <v>6</v>
      </c>
      <c r="BF353">
        <v>8</v>
      </c>
      <c r="BG353">
        <v>2</v>
      </c>
      <c r="BH353">
        <v>2</v>
      </c>
      <c r="BI353">
        <v>26</v>
      </c>
      <c r="BJ353">
        <v>16</v>
      </c>
      <c r="BK353">
        <v>17</v>
      </c>
      <c r="BL353">
        <v>9</v>
      </c>
      <c r="BM353">
        <v>1.4</v>
      </c>
      <c r="BN353">
        <v>0.9</v>
      </c>
      <c r="BO353">
        <v>0.9</v>
      </c>
      <c r="BP353">
        <v>0.5</v>
      </c>
      <c r="BQ353">
        <v>4</v>
      </c>
      <c r="BR353">
        <v>4</v>
      </c>
      <c r="BS353">
        <v>2</v>
      </c>
      <c r="BT353">
        <v>2</v>
      </c>
      <c r="BU353">
        <v>2</v>
      </c>
      <c r="BV353">
        <v>1</v>
      </c>
      <c r="BW353">
        <v>0</v>
      </c>
      <c r="BX353">
        <v>1</v>
      </c>
      <c r="BY353">
        <v>8</v>
      </c>
      <c r="BZ353">
        <v>1.6</v>
      </c>
      <c r="CA353">
        <v>7</v>
      </c>
      <c r="CB353">
        <v>1.4</v>
      </c>
      <c r="CC353">
        <v>17</v>
      </c>
      <c r="CD353">
        <v>18</v>
      </c>
      <c r="CE353">
        <v>8</v>
      </c>
      <c r="CF353">
        <v>2</v>
      </c>
      <c r="CG353">
        <v>6</v>
      </c>
      <c r="CH353">
        <v>4</v>
      </c>
      <c r="CI353">
        <v>3</v>
      </c>
      <c r="CJ353">
        <v>12</v>
      </c>
      <c r="CK353">
        <v>20</v>
      </c>
      <c r="CL353">
        <v>15</v>
      </c>
      <c r="CM353">
        <v>13</v>
      </c>
      <c r="CN353">
        <v>30</v>
      </c>
      <c r="CO353">
        <v>1.2</v>
      </c>
      <c r="CP353">
        <v>0.8</v>
      </c>
      <c r="CQ353">
        <v>0.8</v>
      </c>
      <c r="CR353">
        <v>1.7</v>
      </c>
      <c r="CS353">
        <v>4</v>
      </c>
      <c r="CT353">
        <v>4</v>
      </c>
      <c r="CU353">
        <v>1</v>
      </c>
      <c r="CV353">
        <v>0</v>
      </c>
      <c r="CW353">
        <v>1</v>
      </c>
      <c r="CX353">
        <v>2</v>
      </c>
      <c r="CY353">
        <v>2</v>
      </c>
      <c r="CZ353">
        <v>2</v>
      </c>
    </row>
    <row r="354" spans="1:104" x14ac:dyDescent="0.25">
      <c r="A354" s="1" t="s">
        <v>2192</v>
      </c>
      <c r="B354">
        <v>3369</v>
      </c>
      <c r="C354">
        <v>3377</v>
      </c>
      <c r="D354" s="2">
        <v>43778</v>
      </c>
      <c r="E354" s="3">
        <f t="shared" si="15"/>
        <v>2019</v>
      </c>
      <c r="F354" s="3">
        <f t="shared" si="16"/>
        <v>11</v>
      </c>
      <c r="G354" s="3">
        <f t="shared" si="17"/>
        <v>7</v>
      </c>
      <c r="H354" t="s">
        <v>2193</v>
      </c>
      <c r="I354">
        <v>1131</v>
      </c>
      <c r="J354" t="s">
        <v>2194</v>
      </c>
      <c r="K354" t="s">
        <v>423</v>
      </c>
      <c r="L354">
        <v>2019</v>
      </c>
      <c r="M354" t="s">
        <v>2195</v>
      </c>
      <c r="N354" t="s">
        <v>2020</v>
      </c>
      <c r="O354" t="s">
        <v>2196</v>
      </c>
      <c r="P354">
        <v>5000</v>
      </c>
      <c r="Q354" t="s">
        <v>423</v>
      </c>
      <c r="R354">
        <v>1945</v>
      </c>
      <c r="S354" t="s">
        <v>2020</v>
      </c>
      <c r="T354" t="s">
        <v>2197</v>
      </c>
      <c r="U354">
        <v>3540</v>
      </c>
      <c r="V354" t="s">
        <v>423</v>
      </c>
      <c r="W354">
        <v>1968</v>
      </c>
      <c r="X354" t="s">
        <v>125</v>
      </c>
      <c r="Y354">
        <v>-3.5</v>
      </c>
      <c r="Z354">
        <v>-2.5</v>
      </c>
      <c r="AA354">
        <v>-1.5</v>
      </c>
      <c r="AB354">
        <v>10</v>
      </c>
      <c r="AC354">
        <v>45</v>
      </c>
      <c r="AD354">
        <v>45</v>
      </c>
      <c r="AE354">
        <v>48</v>
      </c>
      <c r="AF354">
        <v>52</v>
      </c>
      <c r="AG354">
        <v>62</v>
      </c>
      <c r="AH354">
        <v>38</v>
      </c>
      <c r="AI354">
        <v>14</v>
      </c>
      <c r="AJ354">
        <v>86</v>
      </c>
      <c r="AK354">
        <v>0</v>
      </c>
      <c r="AL354">
        <v>100</v>
      </c>
      <c r="AM354">
        <v>7</v>
      </c>
      <c r="AN354">
        <v>93</v>
      </c>
      <c r="AO354">
        <v>13</v>
      </c>
      <c r="AP354">
        <v>87</v>
      </c>
      <c r="AQ354">
        <v>67</v>
      </c>
      <c r="AR354">
        <v>57</v>
      </c>
      <c r="AS354">
        <v>57</v>
      </c>
      <c r="AT354">
        <v>73</v>
      </c>
      <c r="AU354">
        <v>36</v>
      </c>
      <c r="AV354">
        <v>93</v>
      </c>
      <c r="AW354">
        <v>8</v>
      </c>
      <c r="AX354">
        <v>1.6</v>
      </c>
      <c r="AY354">
        <v>6</v>
      </c>
      <c r="AZ354">
        <v>1.2</v>
      </c>
      <c r="BA354">
        <v>6</v>
      </c>
      <c r="BB354">
        <v>6</v>
      </c>
      <c r="BC354">
        <v>4</v>
      </c>
      <c r="BD354">
        <v>1</v>
      </c>
      <c r="BE354">
        <v>2</v>
      </c>
      <c r="BF354">
        <v>1</v>
      </c>
      <c r="BG354">
        <v>0</v>
      </c>
      <c r="BH354">
        <v>4</v>
      </c>
      <c r="BI354">
        <v>10</v>
      </c>
      <c r="BJ354">
        <v>2</v>
      </c>
      <c r="BK354">
        <v>4</v>
      </c>
      <c r="BL354">
        <v>10</v>
      </c>
      <c r="BM354">
        <v>1.7</v>
      </c>
      <c r="BN354">
        <v>0.3</v>
      </c>
      <c r="BO354">
        <v>0.7</v>
      </c>
      <c r="BP354">
        <v>1.7</v>
      </c>
      <c r="BQ354">
        <v>4</v>
      </c>
      <c r="BR354">
        <v>4</v>
      </c>
      <c r="BS354">
        <v>1</v>
      </c>
      <c r="BT354">
        <v>0</v>
      </c>
      <c r="BU354">
        <v>1</v>
      </c>
      <c r="BV354">
        <v>1</v>
      </c>
      <c r="BW354">
        <v>2</v>
      </c>
      <c r="BX354">
        <v>3</v>
      </c>
      <c r="BY354">
        <v>5</v>
      </c>
      <c r="BZ354">
        <v>1</v>
      </c>
      <c r="CA354">
        <v>1</v>
      </c>
      <c r="CB354">
        <v>0.2</v>
      </c>
      <c r="CC354">
        <v>7</v>
      </c>
      <c r="CD354">
        <v>5</v>
      </c>
      <c r="CE354">
        <v>6</v>
      </c>
      <c r="CF354">
        <v>2</v>
      </c>
      <c r="CG354">
        <v>0</v>
      </c>
      <c r="CH354">
        <v>3</v>
      </c>
      <c r="CI354">
        <v>1</v>
      </c>
      <c r="CJ354">
        <v>0</v>
      </c>
      <c r="CK354">
        <v>16</v>
      </c>
      <c r="CL354">
        <v>3</v>
      </c>
      <c r="CM354">
        <v>3</v>
      </c>
      <c r="CN354">
        <v>0</v>
      </c>
      <c r="CO354">
        <v>2.2999999999999998</v>
      </c>
      <c r="CP354">
        <v>0.6</v>
      </c>
      <c r="CQ354">
        <v>0.4</v>
      </c>
      <c r="CR354">
        <v>0</v>
      </c>
      <c r="CS354">
        <v>4</v>
      </c>
      <c r="CT354">
        <v>4</v>
      </c>
      <c r="CU354">
        <v>3</v>
      </c>
      <c r="CV354">
        <v>2</v>
      </c>
      <c r="CW354">
        <v>1</v>
      </c>
      <c r="CX354">
        <v>1</v>
      </c>
      <c r="CY354">
        <v>0</v>
      </c>
      <c r="CZ354">
        <v>1</v>
      </c>
    </row>
    <row r="355" spans="1:104" x14ac:dyDescent="0.25">
      <c r="A355" s="1" t="s">
        <v>2198</v>
      </c>
      <c r="B355">
        <v>8339</v>
      </c>
      <c r="C355">
        <v>8337</v>
      </c>
      <c r="D355" s="2">
        <v>44079</v>
      </c>
      <c r="E355" s="3">
        <f t="shared" si="15"/>
        <v>2020</v>
      </c>
      <c r="F355" s="3">
        <f t="shared" si="16"/>
        <v>9</v>
      </c>
      <c r="G355" s="3">
        <f t="shared" si="17"/>
        <v>7</v>
      </c>
      <c r="H355" t="s">
        <v>2199</v>
      </c>
      <c r="I355">
        <v>2914</v>
      </c>
      <c r="J355" t="s">
        <v>2200</v>
      </c>
      <c r="K355" t="s">
        <v>547</v>
      </c>
      <c r="L355">
        <v>2020</v>
      </c>
      <c r="M355" t="s">
        <v>2201</v>
      </c>
      <c r="N355" t="s">
        <v>2199</v>
      </c>
      <c r="O355" t="s">
        <v>2202</v>
      </c>
      <c r="P355">
        <v>1000</v>
      </c>
      <c r="Q355" t="s">
        <v>547</v>
      </c>
      <c r="S355" t="s">
        <v>2203</v>
      </c>
      <c r="T355" t="s">
        <v>2204</v>
      </c>
      <c r="U355">
        <v>1200</v>
      </c>
      <c r="V355" t="s">
        <v>547</v>
      </c>
      <c r="X355">
        <v>1</v>
      </c>
      <c r="Y355">
        <v>3.5</v>
      </c>
      <c r="Z355">
        <v>-6.5</v>
      </c>
      <c r="AA355">
        <v>-3.5</v>
      </c>
      <c r="AB355">
        <v>45</v>
      </c>
      <c r="AC355">
        <v>45</v>
      </c>
      <c r="AD355">
        <v>10</v>
      </c>
      <c r="AE355">
        <v>100</v>
      </c>
      <c r="AF355">
        <v>0</v>
      </c>
      <c r="AG355">
        <v>74</v>
      </c>
      <c r="AH355">
        <v>26</v>
      </c>
      <c r="AI355">
        <v>54</v>
      </c>
      <c r="AJ355">
        <v>46</v>
      </c>
      <c r="AK355">
        <v>69</v>
      </c>
      <c r="AL355">
        <v>31</v>
      </c>
      <c r="AM355">
        <v>50</v>
      </c>
      <c r="AN355">
        <v>50</v>
      </c>
      <c r="AO355">
        <v>50</v>
      </c>
      <c r="AP355">
        <v>50</v>
      </c>
      <c r="AQ355">
        <v>60</v>
      </c>
      <c r="AR355">
        <v>100</v>
      </c>
      <c r="AS355">
        <v>35</v>
      </c>
      <c r="AT355">
        <v>0</v>
      </c>
      <c r="AU355">
        <v>35</v>
      </c>
      <c r="AV355">
        <v>24</v>
      </c>
      <c r="AW355">
        <v>17</v>
      </c>
      <c r="AX355">
        <v>3.4</v>
      </c>
      <c r="AY355">
        <v>11</v>
      </c>
      <c r="AZ355">
        <v>2.2000000000000002</v>
      </c>
      <c r="BA355">
        <v>2</v>
      </c>
      <c r="BB355">
        <v>3</v>
      </c>
      <c r="BC355">
        <v>2</v>
      </c>
      <c r="BD355">
        <v>1</v>
      </c>
      <c r="BE355">
        <v>0</v>
      </c>
      <c r="BF355">
        <v>0</v>
      </c>
      <c r="BG355">
        <v>0</v>
      </c>
      <c r="BH355">
        <v>2</v>
      </c>
      <c r="BI355">
        <v>10</v>
      </c>
      <c r="BJ355">
        <v>7</v>
      </c>
      <c r="BK355">
        <v>6</v>
      </c>
      <c r="BL355">
        <v>5</v>
      </c>
      <c r="BM355">
        <v>5</v>
      </c>
      <c r="BN355">
        <v>2.2999999999999998</v>
      </c>
      <c r="BO355">
        <v>3</v>
      </c>
      <c r="BP355">
        <v>1.7</v>
      </c>
      <c r="BQ355">
        <v>1</v>
      </c>
      <c r="BR355">
        <v>1</v>
      </c>
      <c r="BS355">
        <v>0</v>
      </c>
      <c r="BT355">
        <v>0</v>
      </c>
      <c r="BU355">
        <v>0</v>
      </c>
      <c r="BV355">
        <v>1</v>
      </c>
      <c r="BW355">
        <v>1</v>
      </c>
      <c r="BX355">
        <v>0</v>
      </c>
      <c r="BY355">
        <v>6</v>
      </c>
      <c r="BZ355">
        <v>1.5</v>
      </c>
      <c r="CA355">
        <v>13</v>
      </c>
      <c r="CB355">
        <v>3.3</v>
      </c>
      <c r="CC355">
        <v>2</v>
      </c>
      <c r="CD355">
        <v>2</v>
      </c>
      <c r="CE355">
        <v>0</v>
      </c>
      <c r="CF355">
        <v>0</v>
      </c>
      <c r="CG355">
        <v>0</v>
      </c>
      <c r="CH355">
        <v>0</v>
      </c>
      <c r="CI355">
        <v>2</v>
      </c>
      <c r="CJ355">
        <v>2</v>
      </c>
      <c r="CK355">
        <v>2</v>
      </c>
      <c r="CL355">
        <v>4</v>
      </c>
      <c r="CM355">
        <v>6</v>
      </c>
      <c r="CN355">
        <v>7</v>
      </c>
      <c r="CO355">
        <v>1</v>
      </c>
      <c r="CP355">
        <v>2</v>
      </c>
      <c r="CQ355">
        <v>3</v>
      </c>
      <c r="CR355">
        <v>3.5</v>
      </c>
      <c r="CS355">
        <v>1</v>
      </c>
      <c r="CT355">
        <v>1</v>
      </c>
      <c r="CU355">
        <v>0</v>
      </c>
      <c r="CV355">
        <v>1</v>
      </c>
      <c r="CW355">
        <v>1</v>
      </c>
      <c r="CX355">
        <v>0</v>
      </c>
      <c r="CY355">
        <v>0</v>
      </c>
      <c r="CZ355">
        <v>0</v>
      </c>
    </row>
    <row r="356" spans="1:104" x14ac:dyDescent="0.25">
      <c r="A356" s="1" t="s">
        <v>2205</v>
      </c>
      <c r="B356">
        <v>3320</v>
      </c>
      <c r="C356">
        <v>694</v>
      </c>
      <c r="D356" s="2">
        <v>43771</v>
      </c>
      <c r="E356" s="3">
        <f t="shared" si="15"/>
        <v>2019</v>
      </c>
      <c r="F356" s="3">
        <f t="shared" si="16"/>
        <v>11</v>
      </c>
      <c r="G356" s="3">
        <f t="shared" si="17"/>
        <v>7</v>
      </c>
      <c r="H356" t="s">
        <v>2206</v>
      </c>
      <c r="I356">
        <v>907</v>
      </c>
      <c r="J356" t="s">
        <v>2207</v>
      </c>
      <c r="K356" t="s">
        <v>2208</v>
      </c>
      <c r="L356">
        <v>2019</v>
      </c>
      <c r="M356" t="s">
        <v>780</v>
      </c>
      <c r="N356" t="s">
        <v>2206</v>
      </c>
      <c r="O356" t="s">
        <v>2209</v>
      </c>
      <c r="P356">
        <v>12040</v>
      </c>
      <c r="Q356" t="s">
        <v>2208</v>
      </c>
      <c r="R356">
        <v>1925</v>
      </c>
      <c r="S356" t="s">
        <v>2210</v>
      </c>
      <c r="T356" t="s">
        <v>2211</v>
      </c>
      <c r="U356">
        <v>12724</v>
      </c>
      <c r="V356" t="s">
        <v>2208</v>
      </c>
      <c r="W356">
        <v>1920</v>
      </c>
      <c r="X356" t="s">
        <v>109</v>
      </c>
      <c r="Z356">
        <v>-1.5</v>
      </c>
      <c r="AA356">
        <v>-2.5</v>
      </c>
      <c r="AB356">
        <v>35</v>
      </c>
      <c r="AC356">
        <v>35</v>
      </c>
      <c r="AD356">
        <v>30</v>
      </c>
      <c r="AE356">
        <v>53</v>
      </c>
      <c r="AF356">
        <v>47</v>
      </c>
      <c r="AG356">
        <v>25</v>
      </c>
      <c r="AH356">
        <v>75</v>
      </c>
      <c r="AI356">
        <v>67</v>
      </c>
      <c r="AJ356">
        <v>33</v>
      </c>
      <c r="AK356">
        <v>0</v>
      </c>
      <c r="AL356">
        <v>0</v>
      </c>
      <c r="AM356">
        <v>50</v>
      </c>
      <c r="AN356">
        <v>50</v>
      </c>
      <c r="AO356">
        <v>44</v>
      </c>
      <c r="AP356">
        <v>56</v>
      </c>
      <c r="AQ356">
        <v>53</v>
      </c>
      <c r="AR356">
        <v>38</v>
      </c>
      <c r="AS356">
        <v>50</v>
      </c>
      <c r="AT356">
        <v>47</v>
      </c>
      <c r="AU356">
        <v>100</v>
      </c>
      <c r="AV356">
        <v>0</v>
      </c>
      <c r="AW356">
        <v>3</v>
      </c>
      <c r="AX356">
        <v>0.6</v>
      </c>
      <c r="AY356">
        <v>4</v>
      </c>
      <c r="AZ356">
        <v>0.8</v>
      </c>
      <c r="BA356">
        <v>5</v>
      </c>
      <c r="BB356">
        <v>5</v>
      </c>
      <c r="BC356">
        <v>4</v>
      </c>
      <c r="BD356">
        <v>0</v>
      </c>
      <c r="BE356">
        <v>1</v>
      </c>
      <c r="BF356">
        <v>3</v>
      </c>
      <c r="BG356">
        <v>0</v>
      </c>
      <c r="BH356">
        <v>2</v>
      </c>
      <c r="BI356">
        <v>6</v>
      </c>
      <c r="BJ356">
        <v>1</v>
      </c>
      <c r="BK356">
        <v>1</v>
      </c>
      <c r="BL356">
        <v>5</v>
      </c>
      <c r="BM356">
        <v>1.2</v>
      </c>
      <c r="BN356">
        <v>0.2</v>
      </c>
      <c r="BO356">
        <v>0.2</v>
      </c>
      <c r="BP356">
        <v>1</v>
      </c>
      <c r="BQ356">
        <v>12</v>
      </c>
      <c r="BR356">
        <v>11</v>
      </c>
      <c r="BS356">
        <v>3</v>
      </c>
      <c r="BT356">
        <v>1</v>
      </c>
      <c r="BU356">
        <v>6</v>
      </c>
      <c r="BV356">
        <v>6</v>
      </c>
      <c r="BW356">
        <v>3</v>
      </c>
      <c r="BX356">
        <v>4</v>
      </c>
      <c r="BY356">
        <v>9</v>
      </c>
      <c r="BZ356">
        <v>1.8</v>
      </c>
      <c r="CA356">
        <v>8</v>
      </c>
      <c r="CB356">
        <v>1.6</v>
      </c>
      <c r="CC356">
        <v>5</v>
      </c>
      <c r="CD356">
        <v>5</v>
      </c>
      <c r="CE356">
        <v>3</v>
      </c>
      <c r="CF356">
        <v>2</v>
      </c>
      <c r="CG356">
        <v>1</v>
      </c>
      <c r="CH356">
        <v>1</v>
      </c>
      <c r="CI356">
        <v>1</v>
      </c>
      <c r="CJ356">
        <v>2</v>
      </c>
      <c r="CK356">
        <v>9</v>
      </c>
      <c r="CL356">
        <v>9</v>
      </c>
      <c r="CM356">
        <v>4</v>
      </c>
      <c r="CN356">
        <v>7</v>
      </c>
      <c r="CO356">
        <v>1.8</v>
      </c>
      <c r="CP356">
        <v>1.8</v>
      </c>
      <c r="CQ356">
        <v>0.8</v>
      </c>
      <c r="CR356">
        <v>1.4</v>
      </c>
      <c r="CS356">
        <v>11</v>
      </c>
      <c r="CT356">
        <v>12</v>
      </c>
      <c r="CU356">
        <v>4</v>
      </c>
      <c r="CV356">
        <v>3</v>
      </c>
      <c r="CW356">
        <v>6</v>
      </c>
      <c r="CX356">
        <v>6</v>
      </c>
      <c r="CY356">
        <v>1</v>
      </c>
      <c r="CZ356">
        <v>3</v>
      </c>
    </row>
    <row r="357" spans="1:104" x14ac:dyDescent="0.25">
      <c r="A357" s="1" t="s">
        <v>2212</v>
      </c>
      <c r="B357">
        <v>1971</v>
      </c>
      <c r="C357">
        <v>1972</v>
      </c>
      <c r="D357" s="2">
        <v>43799</v>
      </c>
      <c r="E357" s="3">
        <f t="shared" si="15"/>
        <v>2019</v>
      </c>
      <c r="F357" s="3">
        <f t="shared" si="16"/>
        <v>11</v>
      </c>
      <c r="G357" s="3">
        <f t="shared" si="17"/>
        <v>7</v>
      </c>
      <c r="H357" t="s">
        <v>2213</v>
      </c>
      <c r="I357">
        <v>985</v>
      </c>
      <c r="J357" t="s">
        <v>1689</v>
      </c>
      <c r="K357" t="s">
        <v>507</v>
      </c>
      <c r="L357">
        <v>2019</v>
      </c>
      <c r="M357" t="s">
        <v>209</v>
      </c>
      <c r="Q357" t="s">
        <v>507</v>
      </c>
      <c r="V357" t="s">
        <v>507</v>
      </c>
      <c r="X357" t="s">
        <v>109</v>
      </c>
      <c r="Z357">
        <v>-2.5</v>
      </c>
      <c r="AA357">
        <v>-1.5</v>
      </c>
      <c r="AB357">
        <v>45</v>
      </c>
      <c r="AC357">
        <v>45</v>
      </c>
      <c r="AD357">
        <v>10</v>
      </c>
      <c r="AE357">
        <v>100</v>
      </c>
      <c r="AF357">
        <v>0</v>
      </c>
      <c r="AG357">
        <v>75</v>
      </c>
      <c r="AH357">
        <v>25</v>
      </c>
      <c r="AI357">
        <v>60</v>
      </c>
      <c r="AJ357">
        <v>40</v>
      </c>
      <c r="AK357">
        <v>0</v>
      </c>
      <c r="AL357">
        <v>0</v>
      </c>
      <c r="AM357">
        <v>50</v>
      </c>
      <c r="AN357">
        <v>50</v>
      </c>
      <c r="AO357">
        <v>50</v>
      </c>
      <c r="AP357">
        <v>50</v>
      </c>
      <c r="AQ357">
        <v>67</v>
      </c>
      <c r="AR357">
        <v>21</v>
      </c>
      <c r="AS357">
        <v>86</v>
      </c>
      <c r="AT357">
        <v>0</v>
      </c>
      <c r="AU357">
        <v>7</v>
      </c>
      <c r="AV357">
        <v>79</v>
      </c>
      <c r="AW357">
        <v>3</v>
      </c>
      <c r="AX357">
        <v>1.5</v>
      </c>
      <c r="AY357">
        <v>2</v>
      </c>
      <c r="AZ357">
        <v>1</v>
      </c>
      <c r="BA357">
        <v>0</v>
      </c>
      <c r="BB357">
        <v>2</v>
      </c>
      <c r="BC357">
        <v>0</v>
      </c>
      <c r="BD357">
        <v>1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3</v>
      </c>
      <c r="BK357">
        <v>0</v>
      </c>
      <c r="BL357">
        <v>2</v>
      </c>
      <c r="BM357">
        <v>0</v>
      </c>
      <c r="BN357">
        <v>1.5</v>
      </c>
      <c r="BO357">
        <v>0</v>
      </c>
      <c r="BP357">
        <v>1</v>
      </c>
      <c r="BQ357">
        <v>4</v>
      </c>
      <c r="BR357">
        <v>0</v>
      </c>
      <c r="BS357">
        <v>1</v>
      </c>
      <c r="BT357">
        <v>0</v>
      </c>
      <c r="BU357">
        <v>3</v>
      </c>
      <c r="BV357">
        <v>0</v>
      </c>
      <c r="BW357">
        <v>0</v>
      </c>
      <c r="BX357">
        <v>0</v>
      </c>
      <c r="BY357">
        <v>1</v>
      </c>
      <c r="BZ357">
        <v>0.5</v>
      </c>
      <c r="CA357">
        <v>3</v>
      </c>
      <c r="CB357">
        <v>1.5</v>
      </c>
      <c r="CC357">
        <v>1</v>
      </c>
      <c r="CD357">
        <v>1</v>
      </c>
      <c r="CE357">
        <v>0</v>
      </c>
      <c r="CF357">
        <v>0</v>
      </c>
      <c r="CG357">
        <v>0</v>
      </c>
      <c r="CH357">
        <v>0</v>
      </c>
      <c r="CI357">
        <v>1</v>
      </c>
      <c r="CJ357">
        <v>1</v>
      </c>
      <c r="CK357">
        <v>0</v>
      </c>
      <c r="CL357">
        <v>1</v>
      </c>
      <c r="CM357">
        <v>1</v>
      </c>
      <c r="CN357">
        <v>2</v>
      </c>
      <c r="CO357">
        <v>0</v>
      </c>
      <c r="CP357">
        <v>1</v>
      </c>
      <c r="CQ357">
        <v>1</v>
      </c>
      <c r="CR357">
        <v>2</v>
      </c>
      <c r="CS357">
        <v>0</v>
      </c>
      <c r="CT357">
        <v>4</v>
      </c>
      <c r="CU357">
        <v>0</v>
      </c>
      <c r="CV357">
        <v>0</v>
      </c>
      <c r="CW357">
        <v>0</v>
      </c>
      <c r="CX357">
        <v>3</v>
      </c>
      <c r="CY357">
        <v>0</v>
      </c>
      <c r="CZ357">
        <v>1</v>
      </c>
    </row>
    <row r="358" spans="1:104" x14ac:dyDescent="0.25">
      <c r="A358" s="1" t="s">
        <v>2214</v>
      </c>
      <c r="B358">
        <v>4373</v>
      </c>
      <c r="C358">
        <v>4365</v>
      </c>
      <c r="D358" s="2">
        <v>44079</v>
      </c>
      <c r="E358" s="3">
        <f t="shared" si="15"/>
        <v>2020</v>
      </c>
      <c r="F358" s="3">
        <f t="shared" si="16"/>
        <v>9</v>
      </c>
      <c r="G358" s="3">
        <f t="shared" si="17"/>
        <v>7</v>
      </c>
      <c r="H358" t="s">
        <v>1992</v>
      </c>
      <c r="I358">
        <v>2671</v>
      </c>
      <c r="J358" t="s">
        <v>1335</v>
      </c>
      <c r="K358" t="s">
        <v>1336</v>
      </c>
      <c r="L358">
        <v>2020</v>
      </c>
      <c r="M358" t="s">
        <v>591</v>
      </c>
      <c r="Q358" t="s">
        <v>1336</v>
      </c>
      <c r="R358">
        <v>1937</v>
      </c>
      <c r="V358" t="s">
        <v>1336</v>
      </c>
      <c r="W358">
        <v>1922</v>
      </c>
      <c r="X358">
        <v>1</v>
      </c>
      <c r="Z358">
        <v>-4.5</v>
      </c>
      <c r="AA358">
        <v>-1.5</v>
      </c>
      <c r="AB358">
        <v>45</v>
      </c>
      <c r="AC358">
        <v>45</v>
      </c>
      <c r="AD358">
        <v>10</v>
      </c>
      <c r="AE358">
        <v>67</v>
      </c>
      <c r="AF358">
        <v>33</v>
      </c>
      <c r="AG358">
        <v>79</v>
      </c>
      <c r="AH358">
        <v>21</v>
      </c>
      <c r="AI358">
        <v>60</v>
      </c>
      <c r="AJ358">
        <v>40</v>
      </c>
      <c r="AK358">
        <v>100</v>
      </c>
      <c r="AL358">
        <v>0</v>
      </c>
      <c r="AM358">
        <v>50</v>
      </c>
      <c r="AN358">
        <v>50</v>
      </c>
      <c r="AO358">
        <v>43</v>
      </c>
      <c r="AP358">
        <v>57</v>
      </c>
      <c r="AQ358">
        <v>67</v>
      </c>
      <c r="AR358">
        <v>85</v>
      </c>
      <c r="AS358">
        <v>69</v>
      </c>
      <c r="AT358">
        <v>33</v>
      </c>
      <c r="AU358">
        <v>23</v>
      </c>
      <c r="AV358">
        <v>54</v>
      </c>
      <c r="AW358">
        <v>11</v>
      </c>
      <c r="AX358">
        <v>2.8</v>
      </c>
      <c r="AY358">
        <v>4</v>
      </c>
      <c r="AZ358">
        <v>1</v>
      </c>
      <c r="BA358">
        <v>2</v>
      </c>
      <c r="BB358">
        <v>2</v>
      </c>
      <c r="BC358">
        <v>1</v>
      </c>
      <c r="BD358">
        <v>1</v>
      </c>
      <c r="BE358">
        <v>1</v>
      </c>
      <c r="BF358">
        <v>1</v>
      </c>
      <c r="BG358">
        <v>0</v>
      </c>
      <c r="BH358">
        <v>0</v>
      </c>
      <c r="BI358">
        <v>7</v>
      </c>
      <c r="BJ358">
        <v>4</v>
      </c>
      <c r="BK358">
        <v>1</v>
      </c>
      <c r="BL358">
        <v>3</v>
      </c>
      <c r="BM358">
        <v>3.5</v>
      </c>
      <c r="BN358">
        <v>2</v>
      </c>
      <c r="BO358">
        <v>0.5</v>
      </c>
      <c r="BP358">
        <v>1.5</v>
      </c>
      <c r="BQ358">
        <v>1</v>
      </c>
      <c r="BR358">
        <v>1</v>
      </c>
      <c r="BS358">
        <v>0</v>
      </c>
      <c r="BT358">
        <v>1</v>
      </c>
      <c r="BU358">
        <v>0</v>
      </c>
      <c r="BV358">
        <v>0</v>
      </c>
      <c r="BW358">
        <v>1</v>
      </c>
      <c r="BX358">
        <v>0</v>
      </c>
      <c r="BY358">
        <v>3</v>
      </c>
      <c r="BZ358">
        <v>0.8</v>
      </c>
      <c r="CA358">
        <v>6</v>
      </c>
      <c r="CB358">
        <v>1.5</v>
      </c>
      <c r="CC358">
        <v>2</v>
      </c>
      <c r="CD358">
        <v>2</v>
      </c>
      <c r="CE358">
        <v>1</v>
      </c>
      <c r="CF358">
        <v>0</v>
      </c>
      <c r="CG358">
        <v>1</v>
      </c>
      <c r="CH358">
        <v>0</v>
      </c>
      <c r="CI358">
        <v>0</v>
      </c>
      <c r="CJ358">
        <v>2</v>
      </c>
      <c r="CK358">
        <v>3</v>
      </c>
      <c r="CL358">
        <v>0</v>
      </c>
      <c r="CM358">
        <v>2</v>
      </c>
      <c r="CN358">
        <v>4</v>
      </c>
      <c r="CO358">
        <v>1.5</v>
      </c>
      <c r="CP358">
        <v>0</v>
      </c>
      <c r="CQ358">
        <v>1</v>
      </c>
      <c r="CR358">
        <v>2</v>
      </c>
      <c r="CS358">
        <v>1</v>
      </c>
      <c r="CT358">
        <v>1</v>
      </c>
      <c r="CU358">
        <v>0</v>
      </c>
      <c r="CV358">
        <v>1</v>
      </c>
      <c r="CW358">
        <v>0</v>
      </c>
      <c r="CX358">
        <v>0</v>
      </c>
      <c r="CY358">
        <v>1</v>
      </c>
      <c r="CZ358">
        <v>0</v>
      </c>
    </row>
    <row r="359" spans="1:104" x14ac:dyDescent="0.25">
      <c r="A359" s="1" t="s">
        <v>2215</v>
      </c>
      <c r="B359">
        <v>9351</v>
      </c>
      <c r="C359">
        <v>1643</v>
      </c>
      <c r="D359" s="2">
        <v>43680</v>
      </c>
      <c r="E359" s="3">
        <f t="shared" si="15"/>
        <v>2019</v>
      </c>
      <c r="F359" s="3">
        <f t="shared" si="16"/>
        <v>8</v>
      </c>
      <c r="G359" s="3">
        <f t="shared" si="17"/>
        <v>7</v>
      </c>
      <c r="H359" t="s">
        <v>2216</v>
      </c>
      <c r="I359">
        <v>1242</v>
      </c>
      <c r="J359" t="s">
        <v>879</v>
      </c>
      <c r="K359" t="s">
        <v>558</v>
      </c>
      <c r="L359">
        <v>2019</v>
      </c>
      <c r="M359" t="s">
        <v>2217</v>
      </c>
      <c r="N359" t="s">
        <v>2218</v>
      </c>
      <c r="O359" t="s">
        <v>884</v>
      </c>
      <c r="P359">
        <v>12000</v>
      </c>
      <c r="Q359" t="s">
        <v>558</v>
      </c>
      <c r="R359">
        <v>1907</v>
      </c>
      <c r="S359" t="s">
        <v>2219</v>
      </c>
      <c r="T359" t="s">
        <v>2220</v>
      </c>
      <c r="U359">
        <v>6000</v>
      </c>
      <c r="V359" t="s">
        <v>558</v>
      </c>
      <c r="W359">
        <v>1900</v>
      </c>
      <c r="X359" t="s">
        <v>109</v>
      </c>
      <c r="Y359">
        <v>1.5</v>
      </c>
      <c r="Z359">
        <v>-3.5</v>
      </c>
      <c r="AA359">
        <v>-3.5</v>
      </c>
      <c r="AB359">
        <v>45</v>
      </c>
      <c r="AC359">
        <v>45</v>
      </c>
      <c r="AD359">
        <v>10</v>
      </c>
      <c r="AE359">
        <v>60</v>
      </c>
      <c r="AF359">
        <v>40</v>
      </c>
      <c r="AG359">
        <v>55</v>
      </c>
      <c r="AH359">
        <v>45</v>
      </c>
      <c r="AI359">
        <v>60</v>
      </c>
      <c r="AJ359">
        <v>40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100</v>
      </c>
      <c r="AR359">
        <v>43</v>
      </c>
      <c r="AS359">
        <v>86</v>
      </c>
      <c r="AT359">
        <v>67</v>
      </c>
      <c r="AU359">
        <v>36</v>
      </c>
      <c r="AV359">
        <v>79</v>
      </c>
      <c r="AW359">
        <v>6</v>
      </c>
      <c r="AX359">
        <v>3</v>
      </c>
      <c r="AY359">
        <v>2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0</v>
      </c>
      <c r="BF359">
        <v>0</v>
      </c>
      <c r="BG359">
        <v>0</v>
      </c>
      <c r="BH359">
        <v>0</v>
      </c>
      <c r="BI359">
        <v>4</v>
      </c>
      <c r="BJ359">
        <v>2</v>
      </c>
      <c r="BK359">
        <v>2</v>
      </c>
      <c r="BL359">
        <v>0</v>
      </c>
      <c r="BM359">
        <v>4</v>
      </c>
      <c r="BN359">
        <v>2</v>
      </c>
      <c r="BO359">
        <v>2</v>
      </c>
      <c r="BP359">
        <v>0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0</v>
      </c>
      <c r="BX359">
        <v>0</v>
      </c>
      <c r="BY359">
        <v>5</v>
      </c>
      <c r="BZ359">
        <v>2.5</v>
      </c>
      <c r="CA359">
        <v>3</v>
      </c>
      <c r="CB359">
        <v>1.5</v>
      </c>
      <c r="CC359">
        <v>1</v>
      </c>
      <c r="CD359">
        <v>1</v>
      </c>
      <c r="CE359">
        <v>0</v>
      </c>
      <c r="CF359">
        <v>1</v>
      </c>
      <c r="CG359">
        <v>1</v>
      </c>
      <c r="CH359">
        <v>0</v>
      </c>
      <c r="CI359">
        <v>0</v>
      </c>
      <c r="CJ359">
        <v>0</v>
      </c>
      <c r="CK359">
        <v>2</v>
      </c>
      <c r="CL359">
        <v>3</v>
      </c>
      <c r="CM359">
        <v>2</v>
      </c>
      <c r="CN359">
        <v>1</v>
      </c>
      <c r="CO359">
        <v>2</v>
      </c>
      <c r="CP359">
        <v>3</v>
      </c>
      <c r="CQ359">
        <v>2</v>
      </c>
      <c r="CR359">
        <v>1</v>
      </c>
      <c r="CS359">
        <v>1</v>
      </c>
      <c r="CT359">
        <v>1</v>
      </c>
      <c r="CU359">
        <v>0</v>
      </c>
      <c r="CV359">
        <v>0</v>
      </c>
      <c r="CW359">
        <v>0</v>
      </c>
      <c r="CX359">
        <v>0</v>
      </c>
      <c r="CY359">
        <v>1</v>
      </c>
      <c r="CZ359">
        <v>1</v>
      </c>
    </row>
    <row r="360" spans="1:104" x14ac:dyDescent="0.25">
      <c r="A360" s="1" t="s">
        <v>2221</v>
      </c>
      <c r="B360">
        <v>6235</v>
      </c>
      <c r="C360">
        <v>3745</v>
      </c>
      <c r="D360" s="2">
        <v>43901</v>
      </c>
      <c r="E360" s="3">
        <f t="shared" si="15"/>
        <v>2020</v>
      </c>
      <c r="F360" s="3">
        <f t="shared" si="16"/>
        <v>3</v>
      </c>
      <c r="G360" s="3">
        <f t="shared" si="17"/>
        <v>4</v>
      </c>
      <c r="H360" t="s">
        <v>2222</v>
      </c>
      <c r="I360">
        <v>895</v>
      </c>
      <c r="J360" t="s">
        <v>1088</v>
      </c>
      <c r="K360" t="s">
        <v>1089</v>
      </c>
      <c r="L360">
        <v>2019</v>
      </c>
      <c r="M360" t="s">
        <v>105</v>
      </c>
      <c r="N360" t="s">
        <v>2222</v>
      </c>
      <c r="O360" t="s">
        <v>2223</v>
      </c>
      <c r="P360">
        <v>1000</v>
      </c>
      <c r="Q360" t="s">
        <v>1089</v>
      </c>
      <c r="S360" t="s">
        <v>1091</v>
      </c>
      <c r="T360" t="s">
        <v>1092</v>
      </c>
      <c r="U360">
        <v>3000</v>
      </c>
      <c r="V360" t="s">
        <v>1089</v>
      </c>
      <c r="W360">
        <v>1926</v>
      </c>
      <c r="X360" t="s">
        <v>125</v>
      </c>
      <c r="Z360">
        <v>-2.5</v>
      </c>
      <c r="AA360">
        <v>-2.5</v>
      </c>
      <c r="AB360">
        <v>10</v>
      </c>
      <c r="AC360">
        <v>45</v>
      </c>
      <c r="AD360">
        <v>45</v>
      </c>
      <c r="AE360">
        <v>57</v>
      </c>
      <c r="AF360">
        <v>43</v>
      </c>
      <c r="AG360">
        <v>47</v>
      </c>
      <c r="AH360">
        <v>53</v>
      </c>
      <c r="AI360">
        <v>64</v>
      </c>
      <c r="AJ360">
        <v>36</v>
      </c>
      <c r="AK360">
        <v>34</v>
      </c>
      <c r="AL360">
        <v>66</v>
      </c>
      <c r="AM360">
        <v>20</v>
      </c>
      <c r="AN360">
        <v>80</v>
      </c>
      <c r="AO360">
        <v>0</v>
      </c>
      <c r="AP360">
        <v>100</v>
      </c>
      <c r="AQ360">
        <v>53</v>
      </c>
      <c r="AR360">
        <v>89</v>
      </c>
      <c r="AS360">
        <v>44</v>
      </c>
      <c r="AT360">
        <v>40</v>
      </c>
      <c r="AU360">
        <v>100</v>
      </c>
      <c r="AV360">
        <v>0</v>
      </c>
      <c r="AW360">
        <v>8</v>
      </c>
      <c r="AX360">
        <v>1.6</v>
      </c>
      <c r="AY360">
        <v>5</v>
      </c>
      <c r="AZ360">
        <v>1</v>
      </c>
      <c r="BA360">
        <v>10</v>
      </c>
      <c r="BB360">
        <v>10</v>
      </c>
      <c r="BC360">
        <v>2</v>
      </c>
      <c r="BD360">
        <v>5</v>
      </c>
      <c r="BE360">
        <v>5</v>
      </c>
      <c r="BF360">
        <v>1</v>
      </c>
      <c r="BG360">
        <v>3</v>
      </c>
      <c r="BH360">
        <v>4</v>
      </c>
      <c r="BI360">
        <v>12</v>
      </c>
      <c r="BJ360">
        <v>11</v>
      </c>
      <c r="BK360">
        <v>15</v>
      </c>
      <c r="BL360">
        <v>13</v>
      </c>
      <c r="BM360">
        <v>1.2</v>
      </c>
      <c r="BN360">
        <v>1.1000000000000001</v>
      </c>
      <c r="BO360">
        <v>1.5</v>
      </c>
      <c r="BP360">
        <v>1.3</v>
      </c>
      <c r="BQ360">
        <v>2</v>
      </c>
      <c r="BR360">
        <v>1</v>
      </c>
      <c r="BS360">
        <v>0</v>
      </c>
      <c r="BT360">
        <v>0</v>
      </c>
      <c r="BU360">
        <v>0</v>
      </c>
      <c r="BV360">
        <v>1</v>
      </c>
      <c r="BW360">
        <v>2</v>
      </c>
      <c r="BX360">
        <v>0</v>
      </c>
      <c r="BY360">
        <v>9</v>
      </c>
      <c r="BZ360">
        <v>1.8</v>
      </c>
      <c r="CA360">
        <v>9</v>
      </c>
      <c r="CB360">
        <v>1.8</v>
      </c>
      <c r="CC360">
        <v>11</v>
      </c>
      <c r="CD360">
        <v>10</v>
      </c>
      <c r="CE360">
        <v>7</v>
      </c>
      <c r="CF360">
        <v>4</v>
      </c>
      <c r="CG360">
        <v>3</v>
      </c>
      <c r="CH360">
        <v>5</v>
      </c>
      <c r="CI360">
        <v>1</v>
      </c>
      <c r="CJ360">
        <v>1</v>
      </c>
      <c r="CK360">
        <v>25</v>
      </c>
      <c r="CL360">
        <v>15</v>
      </c>
      <c r="CM360">
        <v>12</v>
      </c>
      <c r="CN360">
        <v>12</v>
      </c>
      <c r="CO360">
        <v>2.2999999999999998</v>
      </c>
      <c r="CP360">
        <v>1.5</v>
      </c>
      <c r="CQ360">
        <v>1.1000000000000001</v>
      </c>
      <c r="CR360">
        <v>1.2</v>
      </c>
      <c r="CS360">
        <v>1</v>
      </c>
      <c r="CT360">
        <v>2</v>
      </c>
      <c r="CU360">
        <v>0</v>
      </c>
      <c r="CV360">
        <v>2</v>
      </c>
      <c r="CW360">
        <v>1</v>
      </c>
      <c r="CX360">
        <v>0</v>
      </c>
      <c r="CY360">
        <v>0</v>
      </c>
      <c r="CZ360">
        <v>0</v>
      </c>
    </row>
    <row r="361" spans="1:104" x14ac:dyDescent="0.25">
      <c r="A361" s="1" t="s">
        <v>2224</v>
      </c>
      <c r="B361">
        <v>12384</v>
      </c>
      <c r="C361">
        <v>12380</v>
      </c>
      <c r="D361" s="2">
        <v>43758</v>
      </c>
      <c r="E361" s="3">
        <f t="shared" si="15"/>
        <v>2019</v>
      </c>
      <c r="F361" s="3">
        <f t="shared" si="16"/>
        <v>10</v>
      </c>
      <c r="G361" s="3">
        <f t="shared" si="17"/>
        <v>1</v>
      </c>
      <c r="H361" t="s">
        <v>2225</v>
      </c>
      <c r="I361">
        <v>2157</v>
      </c>
      <c r="J361" t="s">
        <v>1453</v>
      </c>
      <c r="K361" t="s">
        <v>597</v>
      </c>
      <c r="L361">
        <v>2019</v>
      </c>
      <c r="M361" t="s">
        <v>1454</v>
      </c>
      <c r="N361" t="s">
        <v>2225</v>
      </c>
      <c r="O361" t="s">
        <v>2226</v>
      </c>
      <c r="P361">
        <v>4956</v>
      </c>
      <c r="Q361" t="s">
        <v>597</v>
      </c>
      <c r="R361">
        <v>1961</v>
      </c>
      <c r="S361" t="s">
        <v>2227</v>
      </c>
      <c r="T361" t="s">
        <v>2228</v>
      </c>
      <c r="U361">
        <v>1000</v>
      </c>
      <c r="V361" t="s">
        <v>597</v>
      </c>
      <c r="X361" t="s">
        <v>109</v>
      </c>
      <c r="Y361">
        <v>-3.5</v>
      </c>
      <c r="Z361">
        <v>-2.5</v>
      </c>
      <c r="AA361">
        <v>-1.5</v>
      </c>
      <c r="AB361">
        <v>50</v>
      </c>
      <c r="AC361">
        <v>50</v>
      </c>
      <c r="AD361">
        <v>0</v>
      </c>
      <c r="AE361">
        <v>83</v>
      </c>
      <c r="AF361">
        <v>17</v>
      </c>
      <c r="AG361">
        <v>75</v>
      </c>
      <c r="AH361">
        <v>25</v>
      </c>
      <c r="AI361">
        <v>100</v>
      </c>
      <c r="AJ361">
        <v>0</v>
      </c>
      <c r="AK361">
        <v>100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83</v>
      </c>
      <c r="AR361">
        <v>43</v>
      </c>
      <c r="AS361">
        <v>100</v>
      </c>
      <c r="AT361">
        <v>17</v>
      </c>
      <c r="AU361">
        <v>14</v>
      </c>
      <c r="AV361">
        <v>57</v>
      </c>
      <c r="AW361">
        <v>6</v>
      </c>
      <c r="AX361">
        <v>1.5</v>
      </c>
      <c r="AY361">
        <v>0</v>
      </c>
      <c r="AZ361">
        <v>0</v>
      </c>
      <c r="BA361">
        <v>2</v>
      </c>
      <c r="BB361">
        <v>2</v>
      </c>
      <c r="BC361">
        <v>1</v>
      </c>
      <c r="BD361">
        <v>2</v>
      </c>
      <c r="BE361">
        <v>1</v>
      </c>
      <c r="BF361">
        <v>0</v>
      </c>
      <c r="BG361">
        <v>0</v>
      </c>
      <c r="BH361">
        <v>0</v>
      </c>
      <c r="BI361">
        <v>4</v>
      </c>
      <c r="BJ361">
        <v>2</v>
      </c>
      <c r="BK361">
        <v>0</v>
      </c>
      <c r="BL361">
        <v>0</v>
      </c>
      <c r="BM361">
        <v>2</v>
      </c>
      <c r="BN361">
        <v>1</v>
      </c>
      <c r="BO361">
        <v>0</v>
      </c>
      <c r="BP361">
        <v>0</v>
      </c>
      <c r="BQ361">
        <v>1</v>
      </c>
      <c r="BR361">
        <v>1</v>
      </c>
      <c r="BS361">
        <v>1</v>
      </c>
      <c r="BT361">
        <v>1</v>
      </c>
      <c r="BU361">
        <v>0</v>
      </c>
      <c r="BV361">
        <v>0</v>
      </c>
      <c r="BW361">
        <v>0</v>
      </c>
      <c r="BX361">
        <v>0</v>
      </c>
      <c r="BY361">
        <v>2</v>
      </c>
      <c r="BZ361">
        <v>0.5</v>
      </c>
      <c r="CA361">
        <v>6</v>
      </c>
      <c r="CB361">
        <v>1.5</v>
      </c>
      <c r="CC361">
        <v>2</v>
      </c>
      <c r="CD361">
        <v>2</v>
      </c>
      <c r="CE361">
        <v>0</v>
      </c>
      <c r="CF361">
        <v>0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3</v>
      </c>
      <c r="CN361">
        <v>3</v>
      </c>
      <c r="CO361">
        <v>0.5</v>
      </c>
      <c r="CP361">
        <v>0.5</v>
      </c>
      <c r="CQ361">
        <v>1.5</v>
      </c>
      <c r="CR361">
        <v>1.5</v>
      </c>
      <c r="CS361">
        <v>1</v>
      </c>
      <c r="CT361">
        <v>1</v>
      </c>
      <c r="CU361">
        <v>0</v>
      </c>
      <c r="CV361">
        <v>0</v>
      </c>
      <c r="CW361">
        <v>0</v>
      </c>
      <c r="CX361">
        <v>0</v>
      </c>
      <c r="CY361">
        <v>1</v>
      </c>
      <c r="CZ361">
        <v>1</v>
      </c>
    </row>
    <row r="362" spans="1:104" x14ac:dyDescent="0.25">
      <c r="A362" s="1" t="s">
        <v>2229</v>
      </c>
      <c r="B362">
        <v>8160</v>
      </c>
      <c r="C362">
        <v>9695</v>
      </c>
      <c r="D362" s="2">
        <v>43877</v>
      </c>
      <c r="E362" s="3">
        <f t="shared" si="15"/>
        <v>2020</v>
      </c>
      <c r="F362" s="3">
        <f t="shared" si="16"/>
        <v>2</v>
      </c>
      <c r="G362" s="3">
        <f t="shared" si="17"/>
        <v>1</v>
      </c>
      <c r="H362" t="s">
        <v>2230</v>
      </c>
      <c r="I362">
        <v>1274</v>
      </c>
      <c r="J362" t="s">
        <v>1077</v>
      </c>
      <c r="K362" t="s">
        <v>380</v>
      </c>
      <c r="L362">
        <v>2019</v>
      </c>
      <c r="M362" t="s">
        <v>2231</v>
      </c>
      <c r="N362" t="s">
        <v>2230</v>
      </c>
      <c r="O362" t="s">
        <v>2232</v>
      </c>
      <c r="P362">
        <v>1000</v>
      </c>
      <c r="Q362" t="s">
        <v>380</v>
      </c>
      <c r="R362">
        <v>2018</v>
      </c>
      <c r="S362" t="s">
        <v>2233</v>
      </c>
      <c r="T362" t="s">
        <v>2234</v>
      </c>
      <c r="U362">
        <v>6500</v>
      </c>
      <c r="V362" t="s">
        <v>380</v>
      </c>
      <c r="W362">
        <v>1925</v>
      </c>
      <c r="X362" t="s">
        <v>125</v>
      </c>
      <c r="Z362">
        <v>-3.5</v>
      </c>
      <c r="AA362">
        <v>-1.5</v>
      </c>
      <c r="AB362">
        <v>10</v>
      </c>
      <c r="AC362">
        <v>45</v>
      </c>
      <c r="AD362">
        <v>45</v>
      </c>
      <c r="AE362">
        <v>67</v>
      </c>
      <c r="AF362">
        <v>33</v>
      </c>
      <c r="AG362">
        <v>79</v>
      </c>
      <c r="AH362">
        <v>21</v>
      </c>
      <c r="AI362">
        <v>29</v>
      </c>
      <c r="AJ362">
        <v>71</v>
      </c>
      <c r="AK362">
        <v>0</v>
      </c>
      <c r="AL362">
        <v>0</v>
      </c>
      <c r="AM362">
        <v>0</v>
      </c>
      <c r="AN362">
        <v>100</v>
      </c>
      <c r="AO362">
        <v>0</v>
      </c>
      <c r="AP362">
        <v>100</v>
      </c>
      <c r="AQ362">
        <v>67</v>
      </c>
      <c r="AR362">
        <v>100</v>
      </c>
      <c r="AS362">
        <v>23</v>
      </c>
      <c r="AT362">
        <v>33</v>
      </c>
      <c r="AU362">
        <v>31</v>
      </c>
      <c r="AV362">
        <v>69</v>
      </c>
      <c r="AW362">
        <v>15</v>
      </c>
      <c r="AX362">
        <v>3</v>
      </c>
      <c r="AY362">
        <v>10</v>
      </c>
      <c r="AZ362">
        <v>2</v>
      </c>
      <c r="BA362">
        <v>11</v>
      </c>
      <c r="BB362">
        <v>13</v>
      </c>
      <c r="BC362">
        <v>5</v>
      </c>
      <c r="BD362">
        <v>8</v>
      </c>
      <c r="BE362">
        <v>5</v>
      </c>
      <c r="BF362">
        <v>3</v>
      </c>
      <c r="BG362">
        <v>1</v>
      </c>
      <c r="BH362">
        <v>2</v>
      </c>
      <c r="BI362">
        <v>26</v>
      </c>
      <c r="BJ362">
        <v>21</v>
      </c>
      <c r="BK362">
        <v>17</v>
      </c>
      <c r="BL362">
        <v>10</v>
      </c>
      <c r="BM362">
        <v>2.4</v>
      </c>
      <c r="BN362">
        <v>1.6</v>
      </c>
      <c r="BO362">
        <v>1.5</v>
      </c>
      <c r="BP362">
        <v>0.8</v>
      </c>
      <c r="BQ362">
        <v>1</v>
      </c>
      <c r="BR362">
        <v>1</v>
      </c>
      <c r="BS362">
        <v>0</v>
      </c>
      <c r="BT362">
        <v>0</v>
      </c>
      <c r="BU362">
        <v>0</v>
      </c>
      <c r="BV362">
        <v>0</v>
      </c>
      <c r="BW362">
        <v>1</v>
      </c>
      <c r="BX362">
        <v>1</v>
      </c>
      <c r="BY362">
        <v>4</v>
      </c>
      <c r="BZ362">
        <v>0.8</v>
      </c>
      <c r="CA362">
        <v>4</v>
      </c>
      <c r="CB362">
        <v>0.8</v>
      </c>
      <c r="CC362">
        <v>13</v>
      </c>
      <c r="CD362">
        <v>11</v>
      </c>
      <c r="CE362">
        <v>4</v>
      </c>
      <c r="CF362">
        <v>4</v>
      </c>
      <c r="CG362">
        <v>6</v>
      </c>
      <c r="CH362">
        <v>1</v>
      </c>
      <c r="CI362">
        <v>3</v>
      </c>
      <c r="CJ362">
        <v>6</v>
      </c>
      <c r="CK362">
        <v>11</v>
      </c>
      <c r="CL362">
        <v>14</v>
      </c>
      <c r="CM362">
        <v>11</v>
      </c>
      <c r="CN362">
        <v>18</v>
      </c>
      <c r="CO362">
        <v>0.8</v>
      </c>
      <c r="CP362">
        <v>1.3</v>
      </c>
      <c r="CQ362">
        <v>0.8</v>
      </c>
      <c r="CR362">
        <v>1.6</v>
      </c>
      <c r="CS362">
        <v>1</v>
      </c>
      <c r="CT362">
        <v>1</v>
      </c>
      <c r="CU362">
        <v>1</v>
      </c>
      <c r="CV362">
        <v>1</v>
      </c>
      <c r="CW362">
        <v>0</v>
      </c>
      <c r="CX362">
        <v>0</v>
      </c>
      <c r="CY362">
        <v>0</v>
      </c>
      <c r="CZ362">
        <v>0</v>
      </c>
    </row>
    <row r="363" spans="1:104" x14ac:dyDescent="0.25">
      <c r="A363" s="1" t="s">
        <v>2235</v>
      </c>
      <c r="B363">
        <v>3456</v>
      </c>
      <c r="C363">
        <v>3458</v>
      </c>
      <c r="D363" s="2">
        <v>43765</v>
      </c>
      <c r="E363" s="3">
        <f t="shared" si="15"/>
        <v>2019</v>
      </c>
      <c r="F363" s="3">
        <f t="shared" si="16"/>
        <v>10</v>
      </c>
      <c r="G363" s="3">
        <f t="shared" si="17"/>
        <v>1</v>
      </c>
      <c r="H363" t="s">
        <v>1265</v>
      </c>
      <c r="I363">
        <v>927</v>
      </c>
      <c r="J363" t="s">
        <v>1266</v>
      </c>
      <c r="K363" t="s">
        <v>391</v>
      </c>
      <c r="L363">
        <v>2019</v>
      </c>
      <c r="M363" t="s">
        <v>458</v>
      </c>
      <c r="Q363" t="s">
        <v>391</v>
      </c>
      <c r="R363">
        <v>1984</v>
      </c>
      <c r="S363" t="s">
        <v>2236</v>
      </c>
      <c r="T363" t="s">
        <v>2237</v>
      </c>
      <c r="U363">
        <v>5000</v>
      </c>
      <c r="V363" t="s">
        <v>391</v>
      </c>
      <c r="W363">
        <v>1993</v>
      </c>
      <c r="X363" t="s">
        <v>109</v>
      </c>
      <c r="Y363">
        <v>-3.5</v>
      </c>
      <c r="Z363">
        <v>-2.5</v>
      </c>
      <c r="AA363">
        <v>-1.5</v>
      </c>
      <c r="AB363">
        <v>45</v>
      </c>
      <c r="AC363">
        <v>45</v>
      </c>
      <c r="AD363">
        <v>10</v>
      </c>
      <c r="AE363">
        <v>58</v>
      </c>
      <c r="AF363">
        <v>42</v>
      </c>
      <c r="AG363">
        <v>43</v>
      </c>
      <c r="AH363">
        <v>57</v>
      </c>
      <c r="AI363">
        <v>70</v>
      </c>
      <c r="AJ363">
        <v>30</v>
      </c>
      <c r="AK363">
        <v>71</v>
      </c>
      <c r="AL363">
        <v>29</v>
      </c>
      <c r="AM363">
        <v>50</v>
      </c>
      <c r="AN363">
        <v>50</v>
      </c>
      <c r="AO363">
        <v>50</v>
      </c>
      <c r="AP363">
        <v>50</v>
      </c>
      <c r="AQ363">
        <v>47</v>
      </c>
      <c r="AR363">
        <v>38</v>
      </c>
      <c r="AS363">
        <v>63</v>
      </c>
      <c r="AT363">
        <v>33</v>
      </c>
      <c r="AU363">
        <v>50</v>
      </c>
      <c r="AV363">
        <v>13</v>
      </c>
      <c r="AW363">
        <v>3</v>
      </c>
      <c r="AX363">
        <v>0.6</v>
      </c>
      <c r="AY363">
        <v>3</v>
      </c>
      <c r="AZ363">
        <v>0.6</v>
      </c>
      <c r="BA363">
        <v>2</v>
      </c>
      <c r="BB363">
        <v>3</v>
      </c>
      <c r="BC363">
        <v>2</v>
      </c>
      <c r="BD363">
        <v>0</v>
      </c>
      <c r="BE363">
        <v>0</v>
      </c>
      <c r="BF363">
        <v>1</v>
      </c>
      <c r="BG363">
        <v>0</v>
      </c>
      <c r="BH363">
        <v>2</v>
      </c>
      <c r="BI363">
        <v>3</v>
      </c>
      <c r="BJ363">
        <v>0</v>
      </c>
      <c r="BK363">
        <v>1</v>
      </c>
      <c r="BL363">
        <v>2</v>
      </c>
      <c r="BM363">
        <v>1.5</v>
      </c>
      <c r="BN363">
        <v>0</v>
      </c>
      <c r="BO363">
        <v>0.5</v>
      </c>
      <c r="BP363">
        <v>0.7</v>
      </c>
      <c r="BQ363">
        <v>2</v>
      </c>
      <c r="BR363">
        <v>2</v>
      </c>
      <c r="BS363">
        <v>1</v>
      </c>
      <c r="BT363">
        <v>0</v>
      </c>
      <c r="BU363">
        <v>1</v>
      </c>
      <c r="BV363">
        <v>1</v>
      </c>
      <c r="BW363">
        <v>0</v>
      </c>
      <c r="BX363">
        <v>1</v>
      </c>
      <c r="BY363">
        <v>4</v>
      </c>
      <c r="BZ363">
        <v>0.8</v>
      </c>
      <c r="CA363">
        <v>7</v>
      </c>
      <c r="CB363">
        <v>1.4</v>
      </c>
      <c r="CC363">
        <v>3</v>
      </c>
      <c r="CD363">
        <v>2</v>
      </c>
      <c r="CE363">
        <v>1</v>
      </c>
      <c r="CF363">
        <v>0</v>
      </c>
      <c r="CG363">
        <v>0</v>
      </c>
      <c r="CH363">
        <v>2</v>
      </c>
      <c r="CI363">
        <v>2</v>
      </c>
      <c r="CJ363">
        <v>0</v>
      </c>
      <c r="CK363">
        <v>2</v>
      </c>
      <c r="CL363">
        <v>2</v>
      </c>
      <c r="CM363">
        <v>5</v>
      </c>
      <c r="CN363">
        <v>2</v>
      </c>
      <c r="CO363">
        <v>0.7</v>
      </c>
      <c r="CP363">
        <v>1</v>
      </c>
      <c r="CQ363">
        <v>1.7</v>
      </c>
      <c r="CR363">
        <v>1</v>
      </c>
      <c r="CS363">
        <v>2</v>
      </c>
      <c r="CT363">
        <v>2</v>
      </c>
      <c r="CU363">
        <v>1</v>
      </c>
      <c r="CV363">
        <v>0</v>
      </c>
      <c r="CW363">
        <v>1</v>
      </c>
      <c r="CX363">
        <v>1</v>
      </c>
      <c r="CY363">
        <v>0</v>
      </c>
      <c r="CZ363">
        <v>1</v>
      </c>
    </row>
    <row r="364" spans="1:104" x14ac:dyDescent="0.25">
      <c r="A364" s="1" t="s">
        <v>2238</v>
      </c>
      <c r="B364">
        <v>3179</v>
      </c>
      <c r="C364">
        <v>9239</v>
      </c>
      <c r="D364" s="2">
        <v>43778</v>
      </c>
      <c r="E364" s="3">
        <f t="shared" si="15"/>
        <v>2019</v>
      </c>
      <c r="F364" s="3">
        <f t="shared" si="16"/>
        <v>11</v>
      </c>
      <c r="G364" s="3">
        <f t="shared" si="17"/>
        <v>7</v>
      </c>
      <c r="H364" t="s">
        <v>2239</v>
      </c>
      <c r="I364">
        <v>1221</v>
      </c>
      <c r="J364" t="s">
        <v>806</v>
      </c>
      <c r="K364" t="s">
        <v>158</v>
      </c>
      <c r="L364">
        <v>2019</v>
      </c>
      <c r="M364" t="s">
        <v>2240</v>
      </c>
      <c r="N364" t="s">
        <v>2241</v>
      </c>
      <c r="O364" t="s">
        <v>2242</v>
      </c>
      <c r="P364">
        <v>2000</v>
      </c>
      <c r="Q364" t="s">
        <v>158</v>
      </c>
      <c r="R364">
        <v>1970</v>
      </c>
      <c r="S364" t="s">
        <v>2243</v>
      </c>
      <c r="T364" t="s">
        <v>2244</v>
      </c>
      <c r="U364">
        <v>3500</v>
      </c>
      <c r="V364" t="s">
        <v>158</v>
      </c>
      <c r="W364">
        <v>1912</v>
      </c>
      <c r="X364" t="s">
        <v>109</v>
      </c>
      <c r="Z364">
        <v>-2.5</v>
      </c>
      <c r="AA364">
        <v>-2.5</v>
      </c>
      <c r="AB364">
        <v>35</v>
      </c>
      <c r="AC364">
        <v>35</v>
      </c>
      <c r="AD364">
        <v>30</v>
      </c>
      <c r="AE364">
        <v>56</v>
      </c>
      <c r="AF364">
        <v>44</v>
      </c>
      <c r="AG364">
        <v>40</v>
      </c>
      <c r="AH364">
        <v>60</v>
      </c>
      <c r="AI364">
        <v>57</v>
      </c>
      <c r="AJ364">
        <v>43</v>
      </c>
      <c r="AK364">
        <v>65</v>
      </c>
      <c r="AL364">
        <v>35</v>
      </c>
      <c r="AM364">
        <v>0</v>
      </c>
      <c r="AN364">
        <v>0</v>
      </c>
      <c r="AO364">
        <v>0</v>
      </c>
      <c r="AP364">
        <v>0</v>
      </c>
      <c r="AQ364">
        <v>33</v>
      </c>
      <c r="AR364">
        <v>31</v>
      </c>
      <c r="AS364">
        <v>54</v>
      </c>
      <c r="AT364">
        <v>27</v>
      </c>
      <c r="AU364">
        <v>46</v>
      </c>
      <c r="AV364">
        <v>38</v>
      </c>
      <c r="AW364">
        <v>4</v>
      </c>
      <c r="AX364">
        <v>0.8</v>
      </c>
      <c r="AY364">
        <v>6</v>
      </c>
      <c r="AZ364">
        <v>1.2</v>
      </c>
      <c r="BA364">
        <v>4</v>
      </c>
      <c r="BB364">
        <v>6</v>
      </c>
      <c r="BC364">
        <v>1</v>
      </c>
      <c r="BD364">
        <v>3</v>
      </c>
      <c r="BE364">
        <v>2</v>
      </c>
      <c r="BF364">
        <v>1</v>
      </c>
      <c r="BG364">
        <v>1</v>
      </c>
      <c r="BH364">
        <v>2</v>
      </c>
      <c r="BI364">
        <v>5</v>
      </c>
      <c r="BJ364">
        <v>9</v>
      </c>
      <c r="BK364">
        <v>6</v>
      </c>
      <c r="BL364">
        <v>6</v>
      </c>
      <c r="BM364">
        <v>1.3</v>
      </c>
      <c r="BN364">
        <v>1.5</v>
      </c>
      <c r="BO364">
        <v>1.5</v>
      </c>
      <c r="BP364">
        <v>1</v>
      </c>
      <c r="BQ364">
        <v>1</v>
      </c>
      <c r="BR364">
        <v>0</v>
      </c>
      <c r="BS364">
        <v>1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6</v>
      </c>
      <c r="BZ364">
        <v>1.2</v>
      </c>
      <c r="CA364">
        <v>8</v>
      </c>
      <c r="CB364">
        <v>1.6</v>
      </c>
      <c r="CC364">
        <v>5</v>
      </c>
      <c r="CD364">
        <v>5</v>
      </c>
      <c r="CE364">
        <v>2</v>
      </c>
      <c r="CF364">
        <v>0</v>
      </c>
      <c r="CG364">
        <v>0</v>
      </c>
      <c r="CH364">
        <v>2</v>
      </c>
      <c r="CI364">
        <v>3</v>
      </c>
      <c r="CJ364">
        <v>3</v>
      </c>
      <c r="CK364">
        <v>7</v>
      </c>
      <c r="CL364">
        <v>3</v>
      </c>
      <c r="CM364">
        <v>8</v>
      </c>
      <c r="CN364">
        <v>8</v>
      </c>
      <c r="CO364">
        <v>1.4</v>
      </c>
      <c r="CP364">
        <v>0.6</v>
      </c>
      <c r="CQ364">
        <v>1.6</v>
      </c>
      <c r="CR364">
        <v>1.6</v>
      </c>
      <c r="CS364">
        <v>0</v>
      </c>
      <c r="CT364">
        <v>1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1</v>
      </c>
    </row>
    <row r="365" spans="1:104" x14ac:dyDescent="0.25">
      <c r="A365" s="1" t="s">
        <v>2245</v>
      </c>
      <c r="B365">
        <v>41</v>
      </c>
      <c r="C365">
        <v>62</v>
      </c>
      <c r="D365" s="2">
        <v>44038</v>
      </c>
      <c r="E365" s="3">
        <f t="shared" si="15"/>
        <v>2020</v>
      </c>
      <c r="F365" s="3">
        <f t="shared" si="16"/>
        <v>7</v>
      </c>
      <c r="G365" s="3">
        <f t="shared" si="17"/>
        <v>1</v>
      </c>
      <c r="H365" t="s">
        <v>2246</v>
      </c>
      <c r="I365">
        <v>524</v>
      </c>
      <c r="J365" t="s">
        <v>320</v>
      </c>
      <c r="K365" t="s">
        <v>241</v>
      </c>
      <c r="L365">
        <v>2019</v>
      </c>
      <c r="M365" t="s">
        <v>2247</v>
      </c>
      <c r="N365" t="s">
        <v>2246</v>
      </c>
      <c r="O365" t="s">
        <v>2248</v>
      </c>
      <c r="P365">
        <v>32689</v>
      </c>
      <c r="Q365" t="s">
        <v>241</v>
      </c>
      <c r="R365">
        <v>1885</v>
      </c>
      <c r="S365" t="s">
        <v>2249</v>
      </c>
      <c r="T365" t="s">
        <v>2250</v>
      </c>
      <c r="U365">
        <v>32702</v>
      </c>
      <c r="V365" t="s">
        <v>241</v>
      </c>
      <c r="W365">
        <v>1889</v>
      </c>
      <c r="X365" t="s">
        <v>125</v>
      </c>
      <c r="Z365">
        <v>-2.5</v>
      </c>
      <c r="AA365">
        <v>-2.5</v>
      </c>
      <c r="AB365">
        <v>10</v>
      </c>
      <c r="AC365">
        <v>45</v>
      </c>
      <c r="AD365">
        <v>45</v>
      </c>
      <c r="AE365">
        <v>56</v>
      </c>
      <c r="AF365">
        <v>44</v>
      </c>
      <c r="AG365">
        <v>58</v>
      </c>
      <c r="AH365">
        <v>42</v>
      </c>
      <c r="AI365">
        <v>50</v>
      </c>
      <c r="AJ365">
        <v>50</v>
      </c>
      <c r="AK365">
        <v>39</v>
      </c>
      <c r="AL365">
        <v>61</v>
      </c>
      <c r="AM365">
        <v>50</v>
      </c>
      <c r="AN365">
        <v>50</v>
      </c>
      <c r="AO365">
        <v>50</v>
      </c>
      <c r="AP365">
        <v>50</v>
      </c>
      <c r="AQ365">
        <v>60</v>
      </c>
      <c r="AR365">
        <v>41</v>
      </c>
      <c r="AS365">
        <v>76</v>
      </c>
      <c r="AT365">
        <v>47</v>
      </c>
      <c r="AU365">
        <v>29</v>
      </c>
      <c r="AV365">
        <v>76</v>
      </c>
      <c r="AW365">
        <v>7</v>
      </c>
      <c r="AX365">
        <v>1.4</v>
      </c>
      <c r="AY365">
        <v>4</v>
      </c>
      <c r="AZ365">
        <v>0.8</v>
      </c>
      <c r="BA365">
        <v>18</v>
      </c>
      <c r="BB365">
        <v>19</v>
      </c>
      <c r="BC365">
        <v>5</v>
      </c>
      <c r="BD365">
        <v>9</v>
      </c>
      <c r="BE365">
        <v>3</v>
      </c>
      <c r="BF365">
        <v>4</v>
      </c>
      <c r="BG365">
        <v>10</v>
      </c>
      <c r="BH365">
        <v>6</v>
      </c>
      <c r="BI365">
        <v>18</v>
      </c>
      <c r="BJ365">
        <v>30</v>
      </c>
      <c r="BK365">
        <v>34</v>
      </c>
      <c r="BL365">
        <v>25</v>
      </c>
      <c r="BM365">
        <v>1</v>
      </c>
      <c r="BN365">
        <v>1.6</v>
      </c>
      <c r="BO365">
        <v>1.9</v>
      </c>
      <c r="BP365">
        <v>1.3</v>
      </c>
      <c r="BQ365">
        <v>1</v>
      </c>
      <c r="BR365">
        <v>2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1</v>
      </c>
      <c r="BY365">
        <v>5</v>
      </c>
      <c r="BZ365">
        <v>1</v>
      </c>
      <c r="CA365">
        <v>4</v>
      </c>
      <c r="CB365">
        <v>0.8</v>
      </c>
      <c r="CC365">
        <v>19</v>
      </c>
      <c r="CD365">
        <v>18</v>
      </c>
      <c r="CE365">
        <v>10</v>
      </c>
      <c r="CF365">
        <v>4</v>
      </c>
      <c r="CG365">
        <v>3</v>
      </c>
      <c r="CH365">
        <v>9</v>
      </c>
      <c r="CI365">
        <v>6</v>
      </c>
      <c r="CJ365">
        <v>5</v>
      </c>
      <c r="CK365">
        <v>24</v>
      </c>
      <c r="CL365">
        <v>14</v>
      </c>
      <c r="CM365">
        <v>15</v>
      </c>
      <c r="CN365">
        <v>21</v>
      </c>
      <c r="CO365">
        <v>1.3</v>
      </c>
      <c r="CP365">
        <v>0.8</v>
      </c>
      <c r="CQ365">
        <v>0.8</v>
      </c>
      <c r="CR365">
        <v>1.2</v>
      </c>
      <c r="CS365">
        <v>2</v>
      </c>
      <c r="CT365">
        <v>1</v>
      </c>
      <c r="CU365">
        <v>1</v>
      </c>
      <c r="CV365">
        <v>0</v>
      </c>
      <c r="CW365">
        <v>0</v>
      </c>
      <c r="CX365">
        <v>0</v>
      </c>
      <c r="CY365">
        <v>1</v>
      </c>
      <c r="CZ365">
        <v>1</v>
      </c>
    </row>
    <row r="366" spans="1:104" x14ac:dyDescent="0.25">
      <c r="A366" s="1" t="s">
        <v>2251</v>
      </c>
      <c r="B366">
        <v>7278</v>
      </c>
      <c r="C366">
        <v>7320</v>
      </c>
      <c r="D366" s="2">
        <v>43778</v>
      </c>
      <c r="E366" s="3">
        <f t="shared" si="15"/>
        <v>2019</v>
      </c>
      <c r="F366" s="3">
        <f t="shared" si="16"/>
        <v>11</v>
      </c>
      <c r="G366" s="3">
        <f t="shared" si="17"/>
        <v>7</v>
      </c>
      <c r="H366" t="s">
        <v>2252</v>
      </c>
      <c r="I366">
        <v>1157</v>
      </c>
      <c r="J366" t="s">
        <v>893</v>
      </c>
      <c r="K366" t="s">
        <v>121</v>
      </c>
      <c r="L366">
        <v>2019</v>
      </c>
      <c r="M366" t="s">
        <v>218</v>
      </c>
      <c r="Q366" t="s">
        <v>121</v>
      </c>
      <c r="R366">
        <v>1901</v>
      </c>
      <c r="S366" t="s">
        <v>2253</v>
      </c>
      <c r="T366" t="s">
        <v>2254</v>
      </c>
      <c r="U366">
        <v>6291</v>
      </c>
      <c r="V366" t="s">
        <v>121</v>
      </c>
      <c r="W366">
        <v>2006</v>
      </c>
      <c r="X366" t="s">
        <v>125</v>
      </c>
      <c r="Y366">
        <v>-3.5</v>
      </c>
      <c r="Z366">
        <v>-1.5</v>
      </c>
      <c r="AA366">
        <v>-2.5</v>
      </c>
      <c r="AB366">
        <v>10</v>
      </c>
      <c r="AC366">
        <v>45</v>
      </c>
      <c r="AD366">
        <v>45</v>
      </c>
      <c r="AE366">
        <v>38</v>
      </c>
      <c r="AF366">
        <v>62</v>
      </c>
      <c r="AG366">
        <v>31</v>
      </c>
      <c r="AH366">
        <v>69</v>
      </c>
      <c r="AI366">
        <v>27</v>
      </c>
      <c r="AJ366">
        <v>73</v>
      </c>
      <c r="AK366">
        <v>50</v>
      </c>
      <c r="AL366">
        <v>50</v>
      </c>
      <c r="AM366">
        <v>0</v>
      </c>
      <c r="AN366">
        <v>0</v>
      </c>
      <c r="AO366">
        <v>0</v>
      </c>
      <c r="AP366">
        <v>0</v>
      </c>
      <c r="AQ366">
        <v>33</v>
      </c>
      <c r="AR366">
        <v>24</v>
      </c>
      <c r="AS366">
        <v>53</v>
      </c>
      <c r="AT366">
        <v>53</v>
      </c>
      <c r="AU366">
        <v>53</v>
      </c>
      <c r="AV366">
        <v>82</v>
      </c>
      <c r="AW366">
        <v>4</v>
      </c>
      <c r="AX366">
        <v>0.8</v>
      </c>
      <c r="AY366">
        <v>8</v>
      </c>
      <c r="AZ366">
        <v>1.6</v>
      </c>
      <c r="BA366">
        <v>7</v>
      </c>
      <c r="BB366">
        <v>6</v>
      </c>
      <c r="BC366">
        <v>2</v>
      </c>
      <c r="BD366">
        <v>1</v>
      </c>
      <c r="BE366">
        <v>3</v>
      </c>
      <c r="BF366">
        <v>2</v>
      </c>
      <c r="BG366">
        <v>2</v>
      </c>
      <c r="BH366">
        <v>3</v>
      </c>
      <c r="BI366">
        <v>5</v>
      </c>
      <c r="BJ366">
        <v>4</v>
      </c>
      <c r="BK366">
        <v>6</v>
      </c>
      <c r="BL366">
        <v>7</v>
      </c>
      <c r="BM366">
        <v>0.7</v>
      </c>
      <c r="BN366">
        <v>0.7</v>
      </c>
      <c r="BO366">
        <v>0.9</v>
      </c>
      <c r="BP366">
        <v>1.2</v>
      </c>
      <c r="BQ366">
        <v>1</v>
      </c>
      <c r="BR366">
        <v>0</v>
      </c>
      <c r="BS366">
        <v>1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9</v>
      </c>
      <c r="BZ366">
        <v>1.8</v>
      </c>
      <c r="CA366">
        <v>3</v>
      </c>
      <c r="CB366">
        <v>0.6</v>
      </c>
      <c r="CC366">
        <v>6</v>
      </c>
      <c r="CD366">
        <v>7</v>
      </c>
      <c r="CE366">
        <v>3</v>
      </c>
      <c r="CF366">
        <v>1</v>
      </c>
      <c r="CG366">
        <v>2</v>
      </c>
      <c r="CH366">
        <v>3</v>
      </c>
      <c r="CI366">
        <v>1</v>
      </c>
      <c r="CJ366">
        <v>3</v>
      </c>
      <c r="CK366">
        <v>13</v>
      </c>
      <c r="CL366">
        <v>3</v>
      </c>
      <c r="CM366">
        <v>4</v>
      </c>
      <c r="CN366">
        <v>5</v>
      </c>
      <c r="CO366">
        <v>2.2000000000000002</v>
      </c>
      <c r="CP366">
        <v>0.4</v>
      </c>
      <c r="CQ366">
        <v>0.7</v>
      </c>
      <c r="CR366">
        <v>0.7</v>
      </c>
      <c r="CS366">
        <v>0</v>
      </c>
      <c r="CT366">
        <v>1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1</v>
      </c>
    </row>
    <row r="367" spans="1:104" x14ac:dyDescent="0.25">
      <c r="A367" s="1" t="s">
        <v>2255</v>
      </c>
      <c r="B367">
        <v>1955</v>
      </c>
      <c r="C367">
        <v>8387</v>
      </c>
      <c r="D367" s="2">
        <v>43730</v>
      </c>
      <c r="E367" s="3">
        <f t="shared" si="15"/>
        <v>2019</v>
      </c>
      <c r="F367" s="3">
        <f t="shared" si="16"/>
        <v>9</v>
      </c>
      <c r="G367" s="3">
        <f t="shared" si="17"/>
        <v>1</v>
      </c>
      <c r="H367" t="s">
        <v>2256</v>
      </c>
      <c r="I367">
        <v>1098</v>
      </c>
      <c r="J367" t="s">
        <v>1737</v>
      </c>
      <c r="K367" t="s">
        <v>345</v>
      </c>
      <c r="L367">
        <v>2019</v>
      </c>
      <c r="M367" t="s">
        <v>2257</v>
      </c>
      <c r="N367" t="s">
        <v>2256</v>
      </c>
      <c r="O367" t="s">
        <v>710</v>
      </c>
      <c r="P367">
        <v>3500</v>
      </c>
      <c r="Q367" t="s">
        <v>345</v>
      </c>
      <c r="R367">
        <v>1950</v>
      </c>
      <c r="S367" t="s">
        <v>2258</v>
      </c>
      <c r="T367" t="s">
        <v>2259</v>
      </c>
      <c r="U367">
        <v>2500</v>
      </c>
      <c r="V367" t="s">
        <v>345</v>
      </c>
      <c r="W367">
        <v>1936</v>
      </c>
      <c r="X367" t="s">
        <v>125</v>
      </c>
      <c r="Y367">
        <v>-3.5</v>
      </c>
      <c r="Z367">
        <v>-1.5</v>
      </c>
      <c r="AA367">
        <v>-1.5</v>
      </c>
      <c r="AB367">
        <v>10</v>
      </c>
      <c r="AC367">
        <v>45</v>
      </c>
      <c r="AD367">
        <v>45</v>
      </c>
      <c r="AE367">
        <v>42</v>
      </c>
      <c r="AF367">
        <v>58</v>
      </c>
      <c r="AG367">
        <v>50</v>
      </c>
      <c r="AH367">
        <v>50</v>
      </c>
      <c r="AI367">
        <v>33</v>
      </c>
      <c r="AJ367">
        <v>67</v>
      </c>
      <c r="AK367">
        <v>100</v>
      </c>
      <c r="AL367">
        <v>0</v>
      </c>
      <c r="AM367">
        <v>33</v>
      </c>
      <c r="AN367">
        <v>67</v>
      </c>
      <c r="AO367">
        <v>40</v>
      </c>
      <c r="AP367">
        <v>60</v>
      </c>
      <c r="AQ367">
        <v>33</v>
      </c>
      <c r="AR367">
        <v>24</v>
      </c>
      <c r="AS367">
        <v>65</v>
      </c>
      <c r="AT367">
        <v>47</v>
      </c>
      <c r="AU367">
        <v>24</v>
      </c>
      <c r="AV367">
        <v>82</v>
      </c>
      <c r="AW367">
        <v>4</v>
      </c>
      <c r="AX367">
        <v>0.8</v>
      </c>
      <c r="AY367">
        <v>6</v>
      </c>
      <c r="AZ367">
        <v>1.2</v>
      </c>
      <c r="BA367">
        <v>3</v>
      </c>
      <c r="BB367">
        <v>4</v>
      </c>
      <c r="BC367">
        <v>1</v>
      </c>
      <c r="BD367">
        <v>1</v>
      </c>
      <c r="BE367">
        <v>2</v>
      </c>
      <c r="BF367">
        <v>1</v>
      </c>
      <c r="BG367">
        <v>0</v>
      </c>
      <c r="BH367">
        <v>2</v>
      </c>
      <c r="BI367">
        <v>1</v>
      </c>
      <c r="BJ367">
        <v>5</v>
      </c>
      <c r="BK367">
        <v>0</v>
      </c>
      <c r="BL367">
        <v>7</v>
      </c>
      <c r="BM367">
        <v>0.3</v>
      </c>
      <c r="BN367">
        <v>1.3</v>
      </c>
      <c r="BO367">
        <v>0</v>
      </c>
      <c r="BP367">
        <v>1.8</v>
      </c>
      <c r="BQ367">
        <v>3</v>
      </c>
      <c r="BR367">
        <v>3</v>
      </c>
      <c r="BS367">
        <v>0</v>
      </c>
      <c r="BT367">
        <v>0</v>
      </c>
      <c r="BU367">
        <v>2</v>
      </c>
      <c r="BV367">
        <v>2</v>
      </c>
      <c r="BW367">
        <v>1</v>
      </c>
      <c r="BX367">
        <v>1</v>
      </c>
      <c r="BY367">
        <v>4</v>
      </c>
      <c r="BZ367">
        <v>0.8</v>
      </c>
      <c r="CA367">
        <v>3</v>
      </c>
      <c r="CB367">
        <v>0.6</v>
      </c>
      <c r="CC367">
        <v>4</v>
      </c>
      <c r="CD367">
        <v>4</v>
      </c>
      <c r="CE367">
        <v>2</v>
      </c>
      <c r="CF367">
        <v>1</v>
      </c>
      <c r="CG367">
        <v>1</v>
      </c>
      <c r="CH367">
        <v>1</v>
      </c>
      <c r="CI367">
        <v>1</v>
      </c>
      <c r="CJ367">
        <v>2</v>
      </c>
      <c r="CK367">
        <v>5</v>
      </c>
      <c r="CL367">
        <v>2</v>
      </c>
      <c r="CM367">
        <v>2</v>
      </c>
      <c r="CN367">
        <v>3</v>
      </c>
      <c r="CO367">
        <v>1.3</v>
      </c>
      <c r="CP367">
        <v>0.5</v>
      </c>
      <c r="CQ367">
        <v>0.5</v>
      </c>
      <c r="CR367">
        <v>0.8</v>
      </c>
      <c r="CS367">
        <v>3</v>
      </c>
      <c r="CT367">
        <v>3</v>
      </c>
      <c r="CU367">
        <v>1</v>
      </c>
      <c r="CV367">
        <v>1</v>
      </c>
      <c r="CW367">
        <v>2</v>
      </c>
      <c r="CX367">
        <v>2</v>
      </c>
      <c r="CY367">
        <v>0</v>
      </c>
      <c r="CZ367">
        <v>0</v>
      </c>
    </row>
    <row r="368" spans="1:104" x14ac:dyDescent="0.25">
      <c r="A368" s="1" t="s">
        <v>2260</v>
      </c>
      <c r="B368">
        <v>3564</v>
      </c>
      <c r="C368">
        <v>3574</v>
      </c>
      <c r="D368" s="2">
        <v>43791</v>
      </c>
      <c r="E368" s="3">
        <f t="shared" si="15"/>
        <v>2019</v>
      </c>
      <c r="F368" s="3">
        <f t="shared" si="16"/>
        <v>11</v>
      </c>
      <c r="G368" s="3">
        <f t="shared" si="17"/>
        <v>6</v>
      </c>
      <c r="H368" t="s">
        <v>2261</v>
      </c>
      <c r="I368">
        <v>779</v>
      </c>
      <c r="J368" t="s">
        <v>1926</v>
      </c>
      <c r="K368" t="s">
        <v>329</v>
      </c>
      <c r="L368">
        <v>2019</v>
      </c>
      <c r="M368" t="s">
        <v>272</v>
      </c>
      <c r="N368" t="s">
        <v>2261</v>
      </c>
      <c r="O368" t="s">
        <v>2262</v>
      </c>
      <c r="P368">
        <v>16095</v>
      </c>
      <c r="Q368" t="s">
        <v>329</v>
      </c>
      <c r="R368">
        <v>1954</v>
      </c>
      <c r="S368" t="s">
        <v>2263</v>
      </c>
      <c r="T368" t="s">
        <v>2264</v>
      </c>
      <c r="U368">
        <v>12191</v>
      </c>
      <c r="V368" t="s">
        <v>329</v>
      </c>
      <c r="W368">
        <v>1967</v>
      </c>
      <c r="X368" t="s">
        <v>125</v>
      </c>
      <c r="Z368">
        <v>-2.5</v>
      </c>
      <c r="AA368">
        <v>-1.5</v>
      </c>
      <c r="AB368">
        <v>10</v>
      </c>
      <c r="AC368">
        <v>45</v>
      </c>
      <c r="AD368">
        <v>45</v>
      </c>
      <c r="AE368">
        <v>17</v>
      </c>
      <c r="AF368">
        <v>83</v>
      </c>
      <c r="AG368">
        <v>33</v>
      </c>
      <c r="AH368">
        <v>67</v>
      </c>
      <c r="AI368">
        <v>31</v>
      </c>
      <c r="AJ368">
        <v>69</v>
      </c>
      <c r="AK368">
        <v>80</v>
      </c>
      <c r="AL368">
        <v>20</v>
      </c>
      <c r="AM368">
        <v>62</v>
      </c>
      <c r="AN368">
        <v>38</v>
      </c>
      <c r="AO368">
        <v>44</v>
      </c>
      <c r="AP368">
        <v>56</v>
      </c>
      <c r="AQ368">
        <v>13</v>
      </c>
      <c r="AR368">
        <v>60</v>
      </c>
      <c r="AS368">
        <v>0</v>
      </c>
      <c r="AT368">
        <v>67</v>
      </c>
      <c r="AU368">
        <v>100</v>
      </c>
      <c r="AV368">
        <v>20</v>
      </c>
      <c r="AW368">
        <v>3</v>
      </c>
      <c r="AX368">
        <v>0.6</v>
      </c>
      <c r="AY368">
        <v>9</v>
      </c>
      <c r="AZ368">
        <v>1.8</v>
      </c>
      <c r="BA368">
        <v>5</v>
      </c>
      <c r="BB368">
        <v>6</v>
      </c>
      <c r="BC368">
        <v>1</v>
      </c>
      <c r="BD368">
        <v>0</v>
      </c>
      <c r="BE368">
        <v>4</v>
      </c>
      <c r="BF368">
        <v>1</v>
      </c>
      <c r="BG368">
        <v>0</v>
      </c>
      <c r="BH368">
        <v>5</v>
      </c>
      <c r="BI368">
        <v>8</v>
      </c>
      <c r="BJ368">
        <v>4</v>
      </c>
      <c r="BK368">
        <v>7</v>
      </c>
      <c r="BL368">
        <v>12</v>
      </c>
      <c r="BM368">
        <v>1.6</v>
      </c>
      <c r="BN368">
        <v>0.7</v>
      </c>
      <c r="BO368">
        <v>1.4</v>
      </c>
      <c r="BP368">
        <v>2</v>
      </c>
      <c r="BQ368">
        <v>6</v>
      </c>
      <c r="BR368">
        <v>6</v>
      </c>
      <c r="BS368">
        <v>2</v>
      </c>
      <c r="BT368">
        <v>1</v>
      </c>
      <c r="BU368">
        <v>3</v>
      </c>
      <c r="BV368">
        <v>2</v>
      </c>
      <c r="BW368">
        <v>1</v>
      </c>
      <c r="BX368">
        <v>3</v>
      </c>
      <c r="BY368">
        <v>6</v>
      </c>
      <c r="BZ368">
        <v>1.2</v>
      </c>
      <c r="CA368">
        <v>4</v>
      </c>
      <c r="CB368">
        <v>0.8</v>
      </c>
      <c r="CC368">
        <v>6</v>
      </c>
      <c r="CD368">
        <v>5</v>
      </c>
      <c r="CE368">
        <v>3</v>
      </c>
      <c r="CF368">
        <v>0</v>
      </c>
      <c r="CG368">
        <v>2</v>
      </c>
      <c r="CH368">
        <v>1</v>
      </c>
      <c r="CI368">
        <v>1</v>
      </c>
      <c r="CJ368">
        <v>4</v>
      </c>
      <c r="CK368">
        <v>9</v>
      </c>
      <c r="CL368">
        <v>2</v>
      </c>
      <c r="CM368">
        <v>7</v>
      </c>
      <c r="CN368">
        <v>10</v>
      </c>
      <c r="CO368">
        <v>1.5</v>
      </c>
      <c r="CP368">
        <v>0.4</v>
      </c>
      <c r="CQ368">
        <v>1.2</v>
      </c>
      <c r="CR368">
        <v>2</v>
      </c>
      <c r="CS368">
        <v>6</v>
      </c>
      <c r="CT368">
        <v>6</v>
      </c>
      <c r="CU368">
        <v>3</v>
      </c>
      <c r="CV368">
        <v>1</v>
      </c>
      <c r="CW368">
        <v>2</v>
      </c>
      <c r="CX368">
        <v>3</v>
      </c>
      <c r="CY368">
        <v>1</v>
      </c>
      <c r="CZ368">
        <v>2</v>
      </c>
    </row>
    <row r="369" spans="1:104" x14ac:dyDescent="0.25">
      <c r="A369" s="1" t="s">
        <v>2265</v>
      </c>
      <c r="B369">
        <v>3320</v>
      </c>
      <c r="C369">
        <v>2261</v>
      </c>
      <c r="D369" s="2">
        <v>43869</v>
      </c>
      <c r="E369" s="3">
        <f t="shared" si="15"/>
        <v>2020</v>
      </c>
      <c r="F369" s="3">
        <f t="shared" si="16"/>
        <v>2</v>
      </c>
      <c r="G369" s="3">
        <f t="shared" si="17"/>
        <v>7</v>
      </c>
      <c r="H369" t="s">
        <v>2206</v>
      </c>
      <c r="I369">
        <v>907</v>
      </c>
      <c r="J369" t="s">
        <v>2207</v>
      </c>
      <c r="K369" t="s">
        <v>2208</v>
      </c>
      <c r="L369">
        <v>2019</v>
      </c>
      <c r="M369" t="s">
        <v>354</v>
      </c>
      <c r="N369" t="s">
        <v>2206</v>
      </c>
      <c r="O369" t="s">
        <v>2209</v>
      </c>
      <c r="P369">
        <v>12040</v>
      </c>
      <c r="Q369" t="s">
        <v>2208</v>
      </c>
      <c r="R369">
        <v>1925</v>
      </c>
      <c r="S369" t="s">
        <v>2266</v>
      </c>
      <c r="T369" t="s">
        <v>2267</v>
      </c>
      <c r="U369">
        <v>8400</v>
      </c>
      <c r="V369" t="s">
        <v>2208</v>
      </c>
      <c r="W369">
        <v>1929</v>
      </c>
      <c r="X369" t="s">
        <v>109</v>
      </c>
      <c r="Z369">
        <v>-2.5</v>
      </c>
      <c r="AA369">
        <v>-1.5</v>
      </c>
      <c r="AB369">
        <v>50</v>
      </c>
      <c r="AC369">
        <v>50</v>
      </c>
      <c r="AD369">
        <v>0</v>
      </c>
      <c r="AE369">
        <v>69</v>
      </c>
      <c r="AF369">
        <v>31</v>
      </c>
      <c r="AG369">
        <v>67</v>
      </c>
      <c r="AH369">
        <v>33</v>
      </c>
      <c r="AI369">
        <v>69</v>
      </c>
      <c r="AJ369">
        <v>31</v>
      </c>
      <c r="AK369">
        <v>93</v>
      </c>
      <c r="AL369">
        <v>7</v>
      </c>
      <c r="AM369">
        <v>62</v>
      </c>
      <c r="AN369">
        <v>38</v>
      </c>
      <c r="AO369">
        <v>67</v>
      </c>
      <c r="AP369">
        <v>33</v>
      </c>
      <c r="AQ369">
        <v>60</v>
      </c>
      <c r="AR369">
        <v>50</v>
      </c>
      <c r="AS369">
        <v>67</v>
      </c>
      <c r="AT369">
        <v>27</v>
      </c>
      <c r="AU369">
        <v>25</v>
      </c>
      <c r="AV369">
        <v>25</v>
      </c>
      <c r="AW369">
        <v>6</v>
      </c>
      <c r="AX369">
        <v>1.2</v>
      </c>
      <c r="AY369">
        <v>4</v>
      </c>
      <c r="AZ369">
        <v>0.8</v>
      </c>
      <c r="BA369">
        <v>10</v>
      </c>
      <c r="BB369">
        <v>10</v>
      </c>
      <c r="BC369">
        <v>7</v>
      </c>
      <c r="BD369">
        <v>1</v>
      </c>
      <c r="BE369">
        <v>2</v>
      </c>
      <c r="BF369">
        <v>5</v>
      </c>
      <c r="BG369">
        <v>1</v>
      </c>
      <c r="BH369">
        <v>4</v>
      </c>
      <c r="BI369">
        <v>10</v>
      </c>
      <c r="BJ369">
        <v>5</v>
      </c>
      <c r="BK369">
        <v>3</v>
      </c>
      <c r="BL369">
        <v>12</v>
      </c>
      <c r="BM369">
        <v>1</v>
      </c>
      <c r="BN369">
        <v>0.5</v>
      </c>
      <c r="BO369">
        <v>0.3</v>
      </c>
      <c r="BP369">
        <v>1.2</v>
      </c>
      <c r="BQ369">
        <v>7</v>
      </c>
      <c r="BR369">
        <v>7</v>
      </c>
      <c r="BS369">
        <v>4</v>
      </c>
      <c r="BT369">
        <v>2</v>
      </c>
      <c r="BU369">
        <v>2</v>
      </c>
      <c r="BV369">
        <v>2</v>
      </c>
      <c r="BW369">
        <v>1</v>
      </c>
      <c r="BX369">
        <v>3</v>
      </c>
      <c r="BY369">
        <v>3</v>
      </c>
      <c r="BZ369">
        <v>0.6</v>
      </c>
      <c r="CA369">
        <v>9</v>
      </c>
      <c r="CB369">
        <v>1.8</v>
      </c>
      <c r="CC369">
        <v>10</v>
      </c>
      <c r="CD369">
        <v>10</v>
      </c>
      <c r="CE369">
        <v>2</v>
      </c>
      <c r="CF369">
        <v>0</v>
      </c>
      <c r="CG369">
        <v>4</v>
      </c>
      <c r="CH369">
        <v>2</v>
      </c>
      <c r="CI369">
        <v>4</v>
      </c>
      <c r="CJ369">
        <v>8</v>
      </c>
      <c r="CK369">
        <v>6</v>
      </c>
      <c r="CL369">
        <v>4</v>
      </c>
      <c r="CM369">
        <v>12</v>
      </c>
      <c r="CN369">
        <v>25</v>
      </c>
      <c r="CO369">
        <v>0.6</v>
      </c>
      <c r="CP369">
        <v>0.4</v>
      </c>
      <c r="CQ369">
        <v>1.2</v>
      </c>
      <c r="CR369">
        <v>2.5</v>
      </c>
      <c r="CS369">
        <v>7</v>
      </c>
      <c r="CT369">
        <v>7</v>
      </c>
      <c r="CU369">
        <v>3</v>
      </c>
      <c r="CV369">
        <v>1</v>
      </c>
      <c r="CW369">
        <v>2</v>
      </c>
      <c r="CX369">
        <v>2</v>
      </c>
      <c r="CY369">
        <v>2</v>
      </c>
      <c r="CZ369">
        <v>4</v>
      </c>
    </row>
    <row r="370" spans="1:104" x14ac:dyDescent="0.25">
      <c r="A370" s="1" t="s">
        <v>2268</v>
      </c>
      <c r="B370">
        <v>6054</v>
      </c>
      <c r="C370">
        <v>6065</v>
      </c>
      <c r="D370" s="2">
        <v>43690</v>
      </c>
      <c r="E370" s="3">
        <f t="shared" si="15"/>
        <v>2019</v>
      </c>
      <c r="F370" s="3">
        <f t="shared" si="16"/>
        <v>8</v>
      </c>
      <c r="G370" s="3">
        <f t="shared" si="17"/>
        <v>3</v>
      </c>
      <c r="H370" t="s">
        <v>1817</v>
      </c>
      <c r="I370">
        <v>881</v>
      </c>
      <c r="J370" t="s">
        <v>2269</v>
      </c>
      <c r="K370" t="s">
        <v>113</v>
      </c>
      <c r="L370">
        <v>2019</v>
      </c>
      <c r="M370" t="s">
        <v>130</v>
      </c>
      <c r="N370" t="s">
        <v>1817</v>
      </c>
      <c r="O370" t="s">
        <v>1818</v>
      </c>
      <c r="P370">
        <v>1500</v>
      </c>
      <c r="Q370" t="s">
        <v>113</v>
      </c>
      <c r="R370">
        <v>1917</v>
      </c>
      <c r="S370" t="s">
        <v>2270</v>
      </c>
      <c r="T370" t="s">
        <v>2271</v>
      </c>
      <c r="U370">
        <v>10000</v>
      </c>
      <c r="V370" t="s">
        <v>113</v>
      </c>
      <c r="W370">
        <v>1921</v>
      </c>
      <c r="X370" t="s">
        <v>125</v>
      </c>
      <c r="AB370">
        <v>0</v>
      </c>
      <c r="AC370">
        <v>50</v>
      </c>
      <c r="AD370">
        <v>50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7</v>
      </c>
      <c r="AN370">
        <v>93</v>
      </c>
      <c r="AO370">
        <v>30</v>
      </c>
      <c r="AP370">
        <v>70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3</v>
      </c>
      <c r="BR370">
        <v>3</v>
      </c>
      <c r="BS370">
        <v>0</v>
      </c>
      <c r="BT370">
        <v>0</v>
      </c>
      <c r="BU370">
        <v>1</v>
      </c>
      <c r="BV370">
        <v>0</v>
      </c>
      <c r="BW370">
        <v>2</v>
      </c>
      <c r="BX370">
        <v>3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3</v>
      </c>
      <c r="CT370">
        <v>3</v>
      </c>
      <c r="CU370">
        <v>3</v>
      </c>
      <c r="CV370">
        <v>2</v>
      </c>
      <c r="CW370">
        <v>0</v>
      </c>
      <c r="CX370">
        <v>1</v>
      </c>
      <c r="CY370">
        <v>0</v>
      </c>
      <c r="CZ370">
        <v>0</v>
      </c>
    </row>
    <row r="371" spans="1:104" x14ac:dyDescent="0.25">
      <c r="A371" s="1" t="s">
        <v>2272</v>
      </c>
      <c r="B371">
        <v>4564</v>
      </c>
      <c r="C371">
        <v>692</v>
      </c>
      <c r="D371" s="2">
        <v>43772</v>
      </c>
      <c r="E371" s="3">
        <f t="shared" si="15"/>
        <v>2019</v>
      </c>
      <c r="F371" s="3">
        <f t="shared" si="16"/>
        <v>11</v>
      </c>
      <c r="G371" s="3">
        <f t="shared" si="17"/>
        <v>1</v>
      </c>
      <c r="H371" t="s">
        <v>2273</v>
      </c>
      <c r="I371">
        <v>651</v>
      </c>
      <c r="J371" t="s">
        <v>320</v>
      </c>
      <c r="K371" t="s">
        <v>189</v>
      </c>
      <c r="L371">
        <v>2019</v>
      </c>
      <c r="M371" t="s">
        <v>2017</v>
      </c>
      <c r="N371" t="s">
        <v>2274</v>
      </c>
      <c r="O371" t="s">
        <v>2275</v>
      </c>
      <c r="P371">
        <v>8690</v>
      </c>
      <c r="Q371" t="s">
        <v>189</v>
      </c>
      <c r="R371">
        <v>1980</v>
      </c>
      <c r="S371" t="s">
        <v>2276</v>
      </c>
      <c r="T371" t="s">
        <v>2277</v>
      </c>
      <c r="U371">
        <v>37000</v>
      </c>
      <c r="V371" t="s">
        <v>189</v>
      </c>
      <c r="W371">
        <v>1998</v>
      </c>
      <c r="X371">
        <v>2</v>
      </c>
      <c r="Z371">
        <v>-1.5</v>
      </c>
      <c r="AA371">
        <v>-3.5</v>
      </c>
      <c r="AB371">
        <v>10</v>
      </c>
      <c r="AC371">
        <v>45</v>
      </c>
      <c r="AD371">
        <v>45</v>
      </c>
      <c r="AE371">
        <v>41</v>
      </c>
      <c r="AF371">
        <v>59</v>
      </c>
      <c r="AG371">
        <v>33</v>
      </c>
      <c r="AH371">
        <v>67</v>
      </c>
      <c r="AI371">
        <v>44</v>
      </c>
      <c r="AJ371">
        <v>56</v>
      </c>
      <c r="AK371">
        <v>18</v>
      </c>
      <c r="AL371">
        <v>82</v>
      </c>
      <c r="AM371">
        <v>50</v>
      </c>
      <c r="AN371">
        <v>50</v>
      </c>
      <c r="AO371">
        <v>50</v>
      </c>
      <c r="AP371">
        <v>50</v>
      </c>
      <c r="AQ371">
        <v>47</v>
      </c>
      <c r="AR371">
        <v>56</v>
      </c>
      <c r="AS371">
        <v>0</v>
      </c>
      <c r="AT371">
        <v>67</v>
      </c>
      <c r="AU371">
        <v>100</v>
      </c>
      <c r="AV371">
        <v>22</v>
      </c>
      <c r="AW371">
        <v>5</v>
      </c>
      <c r="AX371">
        <v>1</v>
      </c>
      <c r="AY371">
        <v>9</v>
      </c>
      <c r="AZ371">
        <v>1.8</v>
      </c>
      <c r="BA371">
        <v>15</v>
      </c>
      <c r="BB371">
        <v>16</v>
      </c>
      <c r="BC371">
        <v>3</v>
      </c>
      <c r="BD371">
        <v>3</v>
      </c>
      <c r="BE371">
        <v>4</v>
      </c>
      <c r="BF371">
        <v>4</v>
      </c>
      <c r="BG371">
        <v>8</v>
      </c>
      <c r="BH371">
        <v>9</v>
      </c>
      <c r="BI371">
        <v>13</v>
      </c>
      <c r="BJ371">
        <v>10</v>
      </c>
      <c r="BK371">
        <v>28</v>
      </c>
      <c r="BL371">
        <v>25</v>
      </c>
      <c r="BM371">
        <v>0.9</v>
      </c>
      <c r="BN371">
        <v>0.6</v>
      </c>
      <c r="BO371">
        <v>1.9</v>
      </c>
      <c r="BP371">
        <v>1.6</v>
      </c>
      <c r="BQ371">
        <v>11</v>
      </c>
      <c r="BR371">
        <v>12</v>
      </c>
      <c r="BS371">
        <v>1</v>
      </c>
      <c r="BT371">
        <v>2</v>
      </c>
      <c r="BU371">
        <v>6</v>
      </c>
      <c r="BV371">
        <v>4</v>
      </c>
      <c r="BW371">
        <v>4</v>
      </c>
      <c r="BX371">
        <v>6</v>
      </c>
      <c r="BY371">
        <v>10</v>
      </c>
      <c r="BZ371">
        <v>2</v>
      </c>
      <c r="CA371">
        <v>7</v>
      </c>
      <c r="CB371">
        <v>1.4</v>
      </c>
      <c r="CC371">
        <v>16</v>
      </c>
      <c r="CD371">
        <v>15</v>
      </c>
      <c r="CE371">
        <v>10</v>
      </c>
      <c r="CF371">
        <v>7</v>
      </c>
      <c r="CG371">
        <v>4</v>
      </c>
      <c r="CH371">
        <v>4</v>
      </c>
      <c r="CI371">
        <v>2</v>
      </c>
      <c r="CJ371">
        <v>4</v>
      </c>
      <c r="CK371">
        <v>27</v>
      </c>
      <c r="CL371">
        <v>19</v>
      </c>
      <c r="CM371">
        <v>11</v>
      </c>
      <c r="CN371">
        <v>12</v>
      </c>
      <c r="CO371">
        <v>1.7</v>
      </c>
      <c r="CP371">
        <v>1.3</v>
      </c>
      <c r="CQ371">
        <v>0.7</v>
      </c>
      <c r="CR371">
        <v>0.8</v>
      </c>
      <c r="CS371">
        <v>12</v>
      </c>
      <c r="CT371">
        <v>11</v>
      </c>
      <c r="CU371">
        <v>6</v>
      </c>
      <c r="CV371">
        <v>4</v>
      </c>
      <c r="CW371">
        <v>4</v>
      </c>
      <c r="CX371">
        <v>6</v>
      </c>
      <c r="CY371">
        <v>2</v>
      </c>
      <c r="CZ371">
        <v>1</v>
      </c>
    </row>
    <row r="372" spans="1:104" x14ac:dyDescent="0.25">
      <c r="A372" s="1" t="s">
        <v>2278</v>
      </c>
      <c r="B372">
        <v>9325</v>
      </c>
      <c r="C372">
        <v>9327</v>
      </c>
      <c r="D372" s="2">
        <v>43666</v>
      </c>
      <c r="E372" s="3">
        <f t="shared" si="15"/>
        <v>2019</v>
      </c>
      <c r="F372" s="3">
        <f t="shared" si="16"/>
        <v>7</v>
      </c>
      <c r="G372" s="3">
        <f t="shared" si="17"/>
        <v>7</v>
      </c>
      <c r="H372" t="s">
        <v>2279</v>
      </c>
      <c r="I372">
        <v>1240</v>
      </c>
      <c r="J372" t="s">
        <v>2280</v>
      </c>
      <c r="K372" t="s">
        <v>558</v>
      </c>
      <c r="L372">
        <v>2019</v>
      </c>
      <c r="M372" t="s">
        <v>2281</v>
      </c>
      <c r="N372" t="s">
        <v>2279</v>
      </c>
      <c r="O372" t="s">
        <v>2282</v>
      </c>
      <c r="P372">
        <v>21500</v>
      </c>
      <c r="Q372" t="s">
        <v>558</v>
      </c>
      <c r="R372">
        <v>1921</v>
      </c>
      <c r="S372" t="s">
        <v>2283</v>
      </c>
      <c r="T372" t="s">
        <v>2284</v>
      </c>
      <c r="U372">
        <v>4000</v>
      </c>
      <c r="V372" t="s">
        <v>558</v>
      </c>
      <c r="W372">
        <v>1921</v>
      </c>
      <c r="X372" t="s">
        <v>125</v>
      </c>
      <c r="Y372">
        <v>1.5</v>
      </c>
      <c r="AA372">
        <v>-1.5</v>
      </c>
      <c r="AB372">
        <v>10</v>
      </c>
      <c r="AC372">
        <v>45</v>
      </c>
      <c r="AD372">
        <v>45</v>
      </c>
      <c r="AE372">
        <v>0</v>
      </c>
      <c r="AF372">
        <v>0</v>
      </c>
      <c r="AG372">
        <v>0</v>
      </c>
      <c r="AH372">
        <v>100</v>
      </c>
      <c r="AI372">
        <v>43</v>
      </c>
      <c r="AJ372">
        <v>57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71</v>
      </c>
      <c r="AT372">
        <v>0</v>
      </c>
      <c r="AU372">
        <v>7</v>
      </c>
      <c r="AV372">
        <v>79</v>
      </c>
      <c r="AW372">
        <v>0</v>
      </c>
      <c r="AX372">
        <v>0</v>
      </c>
      <c r="AY372">
        <v>4</v>
      </c>
      <c r="AZ372">
        <v>4</v>
      </c>
      <c r="BA372">
        <v>0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1</v>
      </c>
      <c r="BI372">
        <v>0</v>
      </c>
      <c r="BJ372">
        <v>0</v>
      </c>
      <c r="BK372">
        <v>0</v>
      </c>
      <c r="BL372">
        <v>4</v>
      </c>
      <c r="BM372">
        <v>0</v>
      </c>
      <c r="BN372">
        <v>0</v>
      </c>
      <c r="BO372">
        <v>0</v>
      </c>
      <c r="BP372">
        <v>4</v>
      </c>
      <c r="BQ372">
        <v>1</v>
      </c>
      <c r="BR372">
        <v>1</v>
      </c>
      <c r="BS372">
        <v>0</v>
      </c>
      <c r="BT372">
        <v>0</v>
      </c>
      <c r="BU372">
        <v>0</v>
      </c>
      <c r="BV372">
        <v>1</v>
      </c>
      <c r="BW372">
        <v>1</v>
      </c>
      <c r="BX372">
        <v>0</v>
      </c>
      <c r="BY372">
        <v>1</v>
      </c>
      <c r="BZ372">
        <v>1</v>
      </c>
      <c r="CA372">
        <v>3</v>
      </c>
      <c r="CB372">
        <v>3</v>
      </c>
      <c r="CC372">
        <v>1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1</v>
      </c>
      <c r="CJ372">
        <v>0</v>
      </c>
      <c r="CK372">
        <v>1</v>
      </c>
      <c r="CL372">
        <v>0</v>
      </c>
      <c r="CM372">
        <v>3</v>
      </c>
      <c r="CN372">
        <v>0</v>
      </c>
      <c r="CO372">
        <v>1</v>
      </c>
      <c r="CP372">
        <v>0</v>
      </c>
      <c r="CQ372">
        <v>3</v>
      </c>
      <c r="CR372">
        <v>0</v>
      </c>
      <c r="CS372">
        <v>1</v>
      </c>
      <c r="CT372">
        <v>1</v>
      </c>
      <c r="CU372">
        <v>0</v>
      </c>
      <c r="CV372">
        <v>1</v>
      </c>
      <c r="CW372">
        <v>1</v>
      </c>
      <c r="CX372">
        <v>0</v>
      </c>
      <c r="CY372">
        <v>0</v>
      </c>
      <c r="CZ372">
        <v>0</v>
      </c>
    </row>
    <row r="373" spans="1:104" x14ac:dyDescent="0.25">
      <c r="A373" s="1" t="s">
        <v>2285</v>
      </c>
      <c r="B373">
        <v>3114</v>
      </c>
      <c r="C373">
        <v>9935</v>
      </c>
      <c r="D373" s="2">
        <v>44075</v>
      </c>
      <c r="E373" s="3">
        <f t="shared" si="15"/>
        <v>2020</v>
      </c>
      <c r="F373" s="3">
        <f t="shared" si="16"/>
        <v>9</v>
      </c>
      <c r="G373" s="3">
        <f t="shared" si="17"/>
        <v>3</v>
      </c>
      <c r="H373" t="s">
        <v>2286</v>
      </c>
      <c r="I373">
        <v>2894</v>
      </c>
      <c r="J373" t="s">
        <v>806</v>
      </c>
      <c r="K373" t="s">
        <v>158</v>
      </c>
      <c r="L373">
        <v>2020</v>
      </c>
      <c r="M373" t="s">
        <v>2287</v>
      </c>
      <c r="N373" t="s">
        <v>2286</v>
      </c>
      <c r="O373" t="s">
        <v>2288</v>
      </c>
      <c r="P373">
        <v>3000</v>
      </c>
      <c r="Q373" t="s">
        <v>158</v>
      </c>
      <c r="R373">
        <v>1914</v>
      </c>
      <c r="S373" t="s">
        <v>2289</v>
      </c>
      <c r="T373" t="s">
        <v>2290</v>
      </c>
      <c r="U373">
        <v>3000</v>
      </c>
      <c r="V373" t="s">
        <v>158</v>
      </c>
      <c r="W373">
        <v>1905</v>
      </c>
      <c r="X373" t="s">
        <v>109</v>
      </c>
      <c r="Y373">
        <v>-3.5</v>
      </c>
      <c r="Z373">
        <v>-2.5</v>
      </c>
      <c r="AA373">
        <v>-1.5</v>
      </c>
      <c r="AB373">
        <v>45</v>
      </c>
      <c r="AC373">
        <v>45</v>
      </c>
      <c r="AD373">
        <v>10</v>
      </c>
      <c r="AE373">
        <v>50</v>
      </c>
      <c r="AF373">
        <v>50</v>
      </c>
      <c r="AG373">
        <v>50</v>
      </c>
      <c r="AH373">
        <v>50</v>
      </c>
      <c r="AI373">
        <v>50</v>
      </c>
      <c r="AJ373">
        <v>50</v>
      </c>
      <c r="AK373">
        <v>100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50</v>
      </c>
      <c r="AR373">
        <v>29</v>
      </c>
      <c r="AS373">
        <v>71</v>
      </c>
      <c r="AT373">
        <v>50</v>
      </c>
      <c r="AU373">
        <v>29</v>
      </c>
      <c r="AV373">
        <v>71</v>
      </c>
      <c r="AW373">
        <v>2</v>
      </c>
      <c r="AX373">
        <v>1</v>
      </c>
      <c r="AY373">
        <v>2</v>
      </c>
      <c r="AZ373">
        <v>1</v>
      </c>
      <c r="BA373">
        <v>1</v>
      </c>
      <c r="BB373">
        <v>1</v>
      </c>
      <c r="BC373">
        <v>1</v>
      </c>
      <c r="BD373">
        <v>0</v>
      </c>
      <c r="BE373">
        <v>0</v>
      </c>
      <c r="BF373">
        <v>0</v>
      </c>
      <c r="BG373">
        <v>0</v>
      </c>
      <c r="BH373">
        <v>1</v>
      </c>
      <c r="BI373">
        <v>1</v>
      </c>
      <c r="BJ373">
        <v>1</v>
      </c>
      <c r="BK373">
        <v>0</v>
      </c>
      <c r="BL373">
        <v>2</v>
      </c>
      <c r="BM373">
        <v>1</v>
      </c>
      <c r="BN373">
        <v>1</v>
      </c>
      <c r="BO373">
        <v>0</v>
      </c>
      <c r="BP373">
        <v>2</v>
      </c>
      <c r="BQ373">
        <v>1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1</v>
      </c>
      <c r="BX373">
        <v>0</v>
      </c>
      <c r="BY373">
        <v>2</v>
      </c>
      <c r="BZ373">
        <v>1</v>
      </c>
      <c r="CA373">
        <v>2</v>
      </c>
      <c r="CB373">
        <v>1</v>
      </c>
      <c r="CC373">
        <v>1</v>
      </c>
      <c r="CD373">
        <v>1</v>
      </c>
      <c r="CE373">
        <v>1</v>
      </c>
      <c r="CF373">
        <v>0</v>
      </c>
      <c r="CG373">
        <v>0</v>
      </c>
      <c r="CH373">
        <v>0</v>
      </c>
      <c r="CI373">
        <v>0</v>
      </c>
      <c r="CJ373">
        <v>1</v>
      </c>
      <c r="CK373">
        <v>1</v>
      </c>
      <c r="CL373">
        <v>1</v>
      </c>
      <c r="CM373">
        <v>0</v>
      </c>
      <c r="CN373">
        <v>2</v>
      </c>
      <c r="CO373">
        <v>1</v>
      </c>
      <c r="CP373">
        <v>1</v>
      </c>
      <c r="CQ373">
        <v>0</v>
      </c>
      <c r="CR373">
        <v>2</v>
      </c>
      <c r="CS373">
        <v>0</v>
      </c>
      <c r="CT373">
        <v>1</v>
      </c>
      <c r="CU373">
        <v>0</v>
      </c>
      <c r="CV373">
        <v>1</v>
      </c>
      <c r="CW373">
        <v>0</v>
      </c>
      <c r="CX373">
        <v>0</v>
      </c>
      <c r="CY373">
        <v>0</v>
      </c>
      <c r="CZ373">
        <v>0</v>
      </c>
    </row>
    <row r="374" spans="1:104" x14ac:dyDescent="0.25">
      <c r="A374" s="1" t="s">
        <v>2291</v>
      </c>
      <c r="B374">
        <v>9579</v>
      </c>
      <c r="C374">
        <v>9581</v>
      </c>
      <c r="D374" s="2">
        <v>43708</v>
      </c>
      <c r="E374" s="3">
        <f t="shared" si="15"/>
        <v>2019</v>
      </c>
      <c r="F374" s="3">
        <f t="shared" si="16"/>
        <v>8</v>
      </c>
      <c r="G374" s="3">
        <f t="shared" si="17"/>
        <v>7</v>
      </c>
      <c r="H374" t="s">
        <v>411</v>
      </c>
      <c r="I374">
        <v>1266</v>
      </c>
      <c r="J374" t="s">
        <v>412</v>
      </c>
      <c r="K374" t="s">
        <v>380</v>
      </c>
      <c r="L374">
        <v>2019</v>
      </c>
      <c r="M374" t="s">
        <v>2292</v>
      </c>
      <c r="N374" t="s">
        <v>411</v>
      </c>
      <c r="O374" t="s">
        <v>414</v>
      </c>
      <c r="P374">
        <v>2000</v>
      </c>
      <c r="Q374" t="s">
        <v>380</v>
      </c>
      <c r="R374">
        <v>1964</v>
      </c>
      <c r="S374" t="s">
        <v>2293</v>
      </c>
      <c r="T374" t="s">
        <v>2294</v>
      </c>
      <c r="U374">
        <v>5600</v>
      </c>
      <c r="V374" t="s">
        <v>380</v>
      </c>
      <c r="W374">
        <v>1942</v>
      </c>
      <c r="X374">
        <v>1</v>
      </c>
      <c r="Z374">
        <v>-4.5</v>
      </c>
      <c r="AA374">
        <v>-2.5</v>
      </c>
      <c r="AB374">
        <v>35</v>
      </c>
      <c r="AC374">
        <v>35</v>
      </c>
      <c r="AD374">
        <v>30</v>
      </c>
      <c r="AE374">
        <v>50</v>
      </c>
      <c r="AF374">
        <v>50</v>
      </c>
      <c r="AG374">
        <v>67</v>
      </c>
      <c r="AH374">
        <v>33</v>
      </c>
      <c r="AI374">
        <v>0</v>
      </c>
      <c r="AJ374">
        <v>100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100</v>
      </c>
      <c r="AR374">
        <v>21</v>
      </c>
      <c r="AS374">
        <v>95</v>
      </c>
      <c r="AT374">
        <v>100</v>
      </c>
      <c r="AU374">
        <v>11</v>
      </c>
      <c r="AV374">
        <v>100</v>
      </c>
      <c r="AW374">
        <v>4</v>
      </c>
      <c r="AX374">
        <v>4</v>
      </c>
      <c r="AY374">
        <v>1</v>
      </c>
      <c r="AZ374">
        <v>1</v>
      </c>
      <c r="BA374">
        <v>0</v>
      </c>
      <c r="BB374">
        <v>1</v>
      </c>
      <c r="BC374">
        <v>0</v>
      </c>
      <c r="BD374">
        <v>1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4</v>
      </c>
      <c r="BK374">
        <v>0</v>
      </c>
      <c r="BL374">
        <v>1</v>
      </c>
      <c r="BM374">
        <v>0</v>
      </c>
      <c r="BN374">
        <v>4</v>
      </c>
      <c r="BO374">
        <v>0</v>
      </c>
      <c r="BP374">
        <v>1</v>
      </c>
      <c r="BQ374">
        <v>1</v>
      </c>
      <c r="BR374">
        <v>1</v>
      </c>
      <c r="BS374">
        <v>0</v>
      </c>
      <c r="BT374">
        <v>1</v>
      </c>
      <c r="BU374">
        <v>1</v>
      </c>
      <c r="BV374">
        <v>0</v>
      </c>
      <c r="BW374">
        <v>0</v>
      </c>
      <c r="BX374">
        <v>0</v>
      </c>
      <c r="BY374">
        <v>2</v>
      </c>
      <c r="BZ374">
        <v>2</v>
      </c>
      <c r="CA374">
        <v>0</v>
      </c>
      <c r="CB374">
        <v>0</v>
      </c>
      <c r="CC374">
        <v>1</v>
      </c>
      <c r="CD374">
        <v>0</v>
      </c>
      <c r="CE374">
        <v>1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2</v>
      </c>
      <c r="CL374">
        <v>0</v>
      </c>
      <c r="CM374">
        <v>0</v>
      </c>
      <c r="CN374">
        <v>0</v>
      </c>
      <c r="CO374">
        <v>2</v>
      </c>
      <c r="CP374">
        <v>0</v>
      </c>
      <c r="CQ374">
        <v>0</v>
      </c>
      <c r="CR374">
        <v>0</v>
      </c>
      <c r="CS374">
        <v>1</v>
      </c>
      <c r="CT374">
        <v>1</v>
      </c>
      <c r="CU374">
        <v>0</v>
      </c>
      <c r="CV374">
        <v>0</v>
      </c>
      <c r="CW374">
        <v>0</v>
      </c>
      <c r="CX374">
        <v>1</v>
      </c>
      <c r="CY374">
        <v>1</v>
      </c>
      <c r="CZ374">
        <v>0</v>
      </c>
    </row>
    <row r="375" spans="1:104" x14ac:dyDescent="0.25">
      <c r="A375" s="1" t="s">
        <v>2295</v>
      </c>
      <c r="B375">
        <v>8518</v>
      </c>
      <c r="C375">
        <v>15143</v>
      </c>
      <c r="D375" s="2">
        <v>44073</v>
      </c>
      <c r="E375" s="3">
        <f t="shared" si="15"/>
        <v>2020</v>
      </c>
      <c r="F375" s="3">
        <f t="shared" si="16"/>
        <v>8</v>
      </c>
      <c r="G375" s="3">
        <f t="shared" si="17"/>
        <v>1</v>
      </c>
      <c r="H375" t="s">
        <v>2296</v>
      </c>
      <c r="I375">
        <v>2917</v>
      </c>
      <c r="J375" t="s">
        <v>1784</v>
      </c>
      <c r="K375" t="s">
        <v>172</v>
      </c>
      <c r="L375">
        <v>2020</v>
      </c>
      <c r="M375" t="s">
        <v>2297</v>
      </c>
      <c r="N375" t="s">
        <v>2296</v>
      </c>
      <c r="O375" t="s">
        <v>2298</v>
      </c>
      <c r="P375">
        <v>13500</v>
      </c>
      <c r="Q375" t="s">
        <v>172</v>
      </c>
      <c r="S375" t="s">
        <v>2299</v>
      </c>
      <c r="T375" t="s">
        <v>2300</v>
      </c>
      <c r="U375">
        <v>1500</v>
      </c>
      <c r="X375">
        <v>1</v>
      </c>
      <c r="Z375">
        <v>-3.5</v>
      </c>
      <c r="AA375">
        <v>-1.5</v>
      </c>
      <c r="AB375">
        <v>45</v>
      </c>
      <c r="AC375">
        <v>45</v>
      </c>
      <c r="AD375">
        <v>10</v>
      </c>
      <c r="AE375">
        <v>75</v>
      </c>
      <c r="AF375">
        <v>25</v>
      </c>
      <c r="AG375">
        <v>83</v>
      </c>
      <c r="AH375">
        <v>17</v>
      </c>
      <c r="AI375">
        <v>40</v>
      </c>
      <c r="AJ375">
        <v>60</v>
      </c>
      <c r="AK375">
        <v>100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33</v>
      </c>
      <c r="AR375">
        <v>28</v>
      </c>
      <c r="AS375">
        <v>67</v>
      </c>
      <c r="AT375">
        <v>11</v>
      </c>
      <c r="AU375">
        <v>6</v>
      </c>
      <c r="AV375">
        <v>78</v>
      </c>
      <c r="AW375">
        <v>5</v>
      </c>
      <c r="AX375">
        <v>1.7</v>
      </c>
      <c r="AY375">
        <v>6</v>
      </c>
      <c r="AZ375">
        <v>2</v>
      </c>
      <c r="BA375">
        <v>1</v>
      </c>
      <c r="BB375">
        <v>2</v>
      </c>
      <c r="BC375">
        <v>1</v>
      </c>
      <c r="BD375">
        <v>0</v>
      </c>
      <c r="BE375">
        <v>0</v>
      </c>
      <c r="BF375">
        <v>0</v>
      </c>
      <c r="BG375">
        <v>0</v>
      </c>
      <c r="BH375">
        <v>2</v>
      </c>
      <c r="BI375">
        <v>3</v>
      </c>
      <c r="BJ375">
        <v>2</v>
      </c>
      <c r="BK375">
        <v>0</v>
      </c>
      <c r="BL375">
        <v>6</v>
      </c>
      <c r="BM375">
        <v>3</v>
      </c>
      <c r="BN375">
        <v>1</v>
      </c>
      <c r="BO375">
        <v>0</v>
      </c>
      <c r="BP375">
        <v>3</v>
      </c>
      <c r="BQ375">
        <v>1</v>
      </c>
      <c r="BR375">
        <v>0</v>
      </c>
      <c r="BS375">
        <v>1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0.3</v>
      </c>
      <c r="CA375">
        <v>4</v>
      </c>
      <c r="CB375">
        <v>1.3</v>
      </c>
      <c r="CC375">
        <v>2</v>
      </c>
      <c r="CD375">
        <v>1</v>
      </c>
      <c r="CE375">
        <v>0</v>
      </c>
      <c r="CF375">
        <v>0</v>
      </c>
      <c r="CG375">
        <v>1</v>
      </c>
      <c r="CH375">
        <v>0</v>
      </c>
      <c r="CI375">
        <v>1</v>
      </c>
      <c r="CJ375">
        <v>1</v>
      </c>
      <c r="CK375">
        <v>1</v>
      </c>
      <c r="CL375">
        <v>0</v>
      </c>
      <c r="CM375">
        <v>2</v>
      </c>
      <c r="CN375">
        <v>2</v>
      </c>
      <c r="CO375">
        <v>0.5</v>
      </c>
      <c r="CP375">
        <v>0</v>
      </c>
      <c r="CQ375">
        <v>1</v>
      </c>
      <c r="CR375">
        <v>2</v>
      </c>
      <c r="CS375">
        <v>0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1</v>
      </c>
    </row>
    <row r="376" spans="1:104" x14ac:dyDescent="0.25">
      <c r="A376" s="1" t="s">
        <v>2301</v>
      </c>
      <c r="B376">
        <v>7151</v>
      </c>
      <c r="C376">
        <v>7123</v>
      </c>
      <c r="D376" s="2">
        <v>43715</v>
      </c>
      <c r="E376" s="3">
        <f t="shared" si="15"/>
        <v>2019</v>
      </c>
      <c r="F376" s="3">
        <f t="shared" si="16"/>
        <v>9</v>
      </c>
      <c r="G376" s="3">
        <f t="shared" si="17"/>
        <v>7</v>
      </c>
      <c r="H376" t="s">
        <v>2302</v>
      </c>
      <c r="I376">
        <v>1433</v>
      </c>
      <c r="J376" t="s">
        <v>2303</v>
      </c>
      <c r="K376" t="s">
        <v>149</v>
      </c>
      <c r="L376">
        <v>2019</v>
      </c>
      <c r="M376" t="s">
        <v>362</v>
      </c>
      <c r="N376" t="s">
        <v>2304</v>
      </c>
      <c r="O376" t="s">
        <v>2305</v>
      </c>
      <c r="P376">
        <v>5000</v>
      </c>
      <c r="Q376" t="s">
        <v>149</v>
      </c>
      <c r="R376">
        <v>2003</v>
      </c>
      <c r="S376" t="s">
        <v>2306</v>
      </c>
      <c r="T376" t="s">
        <v>2307</v>
      </c>
      <c r="U376">
        <v>4000</v>
      </c>
      <c r="V376" t="s">
        <v>149</v>
      </c>
      <c r="W376">
        <v>1971</v>
      </c>
      <c r="X376" t="s">
        <v>125</v>
      </c>
      <c r="Z376">
        <v>-2.5</v>
      </c>
      <c r="AA376">
        <v>-3.5</v>
      </c>
      <c r="AB376">
        <v>10</v>
      </c>
      <c r="AC376">
        <v>45</v>
      </c>
      <c r="AD376">
        <v>45</v>
      </c>
      <c r="AE376">
        <v>42</v>
      </c>
      <c r="AF376">
        <v>58</v>
      </c>
      <c r="AG376">
        <v>33</v>
      </c>
      <c r="AH376">
        <v>67</v>
      </c>
      <c r="AI376">
        <v>40</v>
      </c>
      <c r="AJ376">
        <v>60</v>
      </c>
      <c r="AK376">
        <v>23</v>
      </c>
      <c r="AL376">
        <v>77</v>
      </c>
      <c r="AM376">
        <v>15</v>
      </c>
      <c r="AN376">
        <v>85</v>
      </c>
      <c r="AO376">
        <v>21</v>
      </c>
      <c r="AP376">
        <v>79</v>
      </c>
      <c r="AQ376">
        <v>53</v>
      </c>
      <c r="AR376">
        <v>37</v>
      </c>
      <c r="AS376">
        <v>68</v>
      </c>
      <c r="AT376">
        <v>73</v>
      </c>
      <c r="AU376">
        <v>74</v>
      </c>
      <c r="AV376">
        <v>79</v>
      </c>
      <c r="AW376">
        <v>7</v>
      </c>
      <c r="AX376">
        <v>1.4</v>
      </c>
      <c r="AY376">
        <v>6</v>
      </c>
      <c r="AZ376">
        <v>1.2</v>
      </c>
      <c r="BA376">
        <v>9</v>
      </c>
      <c r="BB376">
        <v>10</v>
      </c>
      <c r="BC376">
        <v>2</v>
      </c>
      <c r="BD376">
        <v>5</v>
      </c>
      <c r="BE376">
        <v>3</v>
      </c>
      <c r="BF376">
        <v>3</v>
      </c>
      <c r="BG376">
        <v>4</v>
      </c>
      <c r="BH376">
        <v>2</v>
      </c>
      <c r="BI376">
        <v>10</v>
      </c>
      <c r="BJ376">
        <v>13</v>
      </c>
      <c r="BK376">
        <v>14</v>
      </c>
      <c r="BL376">
        <v>8</v>
      </c>
      <c r="BM376">
        <v>1.1000000000000001</v>
      </c>
      <c r="BN376">
        <v>1.3</v>
      </c>
      <c r="BO376">
        <v>1.6</v>
      </c>
      <c r="BP376">
        <v>0.8</v>
      </c>
      <c r="BQ376">
        <v>6</v>
      </c>
      <c r="BR376">
        <v>6</v>
      </c>
      <c r="BS376">
        <v>2</v>
      </c>
      <c r="BT376">
        <v>0</v>
      </c>
      <c r="BU376">
        <v>3</v>
      </c>
      <c r="BV376">
        <v>3</v>
      </c>
      <c r="BW376">
        <v>1</v>
      </c>
      <c r="BX376">
        <v>3</v>
      </c>
      <c r="BY376">
        <v>14</v>
      </c>
      <c r="BZ376">
        <v>2.8</v>
      </c>
      <c r="CA376">
        <v>4</v>
      </c>
      <c r="CB376">
        <v>0.8</v>
      </c>
      <c r="CC376">
        <v>9</v>
      </c>
      <c r="CD376">
        <v>9</v>
      </c>
      <c r="CE376">
        <v>6</v>
      </c>
      <c r="CF376">
        <v>6</v>
      </c>
      <c r="CG376">
        <v>2</v>
      </c>
      <c r="CH376">
        <v>2</v>
      </c>
      <c r="CI376">
        <v>1</v>
      </c>
      <c r="CJ376">
        <v>1</v>
      </c>
      <c r="CK376">
        <v>19</v>
      </c>
      <c r="CL376">
        <v>17</v>
      </c>
      <c r="CM376">
        <v>9</v>
      </c>
      <c r="CN376">
        <v>6</v>
      </c>
      <c r="CO376">
        <v>2.1</v>
      </c>
      <c r="CP376">
        <v>1.9</v>
      </c>
      <c r="CQ376">
        <v>1</v>
      </c>
      <c r="CR376">
        <v>0.7</v>
      </c>
      <c r="CS376">
        <v>6</v>
      </c>
      <c r="CT376">
        <v>6</v>
      </c>
      <c r="CU376">
        <v>3</v>
      </c>
      <c r="CV376">
        <v>1</v>
      </c>
      <c r="CW376">
        <v>3</v>
      </c>
      <c r="CX376">
        <v>3</v>
      </c>
      <c r="CY376">
        <v>0</v>
      </c>
      <c r="CZ376">
        <v>2</v>
      </c>
    </row>
    <row r="377" spans="1:104" x14ac:dyDescent="0.25">
      <c r="A377" s="1" t="s">
        <v>2308</v>
      </c>
      <c r="B377">
        <v>9914</v>
      </c>
      <c r="C377">
        <v>3038</v>
      </c>
      <c r="D377" s="2">
        <v>43702</v>
      </c>
      <c r="E377" s="3">
        <f t="shared" si="15"/>
        <v>2019</v>
      </c>
      <c r="F377" s="3">
        <f t="shared" si="16"/>
        <v>8</v>
      </c>
      <c r="G377" s="3">
        <f t="shared" si="17"/>
        <v>1</v>
      </c>
      <c r="H377" t="s">
        <v>2309</v>
      </c>
      <c r="I377">
        <v>1295</v>
      </c>
      <c r="J377" t="s">
        <v>1827</v>
      </c>
      <c r="K377" t="s">
        <v>158</v>
      </c>
      <c r="L377">
        <v>2019</v>
      </c>
      <c r="M377" t="s">
        <v>2310</v>
      </c>
      <c r="N377" t="s">
        <v>2311</v>
      </c>
      <c r="O377" t="s">
        <v>2312</v>
      </c>
      <c r="P377">
        <v>1000</v>
      </c>
      <c r="Q377" t="s">
        <v>158</v>
      </c>
      <c r="S377" t="s">
        <v>1826</v>
      </c>
      <c r="T377" t="s">
        <v>1829</v>
      </c>
      <c r="U377">
        <v>2000</v>
      </c>
      <c r="V377" t="s">
        <v>158</v>
      </c>
      <c r="X377" t="s">
        <v>109</v>
      </c>
      <c r="Z377">
        <v>-2.5</v>
      </c>
      <c r="AA377">
        <v>-2.5</v>
      </c>
      <c r="AB377">
        <v>45</v>
      </c>
      <c r="AC377">
        <v>45</v>
      </c>
      <c r="AD377">
        <v>10</v>
      </c>
      <c r="AE377">
        <v>75</v>
      </c>
      <c r="AF377">
        <v>25</v>
      </c>
      <c r="AG377">
        <v>50</v>
      </c>
      <c r="AH377">
        <v>50</v>
      </c>
      <c r="AI377">
        <v>100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100</v>
      </c>
      <c r="AR377">
        <v>9</v>
      </c>
      <c r="AS377">
        <v>100</v>
      </c>
      <c r="AT377">
        <v>33</v>
      </c>
      <c r="AU377">
        <v>9</v>
      </c>
      <c r="AV377">
        <v>91</v>
      </c>
      <c r="AW377">
        <v>2</v>
      </c>
      <c r="AX377">
        <v>2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2</v>
      </c>
      <c r="BK377">
        <v>0</v>
      </c>
      <c r="BL377">
        <v>0</v>
      </c>
      <c r="BM377">
        <v>0</v>
      </c>
      <c r="BN377">
        <v>2</v>
      </c>
      <c r="BO377">
        <v>0</v>
      </c>
      <c r="BP377">
        <v>0</v>
      </c>
      <c r="BQ377">
        <v>1</v>
      </c>
      <c r="BR377">
        <v>1</v>
      </c>
      <c r="BS377">
        <v>0</v>
      </c>
      <c r="BT377">
        <v>0</v>
      </c>
      <c r="BU377">
        <v>1</v>
      </c>
      <c r="BV377">
        <v>0</v>
      </c>
      <c r="BW377">
        <v>0</v>
      </c>
      <c r="BX377">
        <v>1</v>
      </c>
      <c r="BY377">
        <v>2</v>
      </c>
      <c r="BZ377">
        <v>2</v>
      </c>
      <c r="CA377">
        <v>2</v>
      </c>
      <c r="CB377">
        <v>2</v>
      </c>
      <c r="CC377">
        <v>1</v>
      </c>
      <c r="CD377">
        <v>0</v>
      </c>
      <c r="CE377">
        <v>0</v>
      </c>
      <c r="CF377">
        <v>0</v>
      </c>
      <c r="CG377">
        <v>1</v>
      </c>
      <c r="CH377">
        <v>0</v>
      </c>
      <c r="CI377">
        <v>0</v>
      </c>
      <c r="CJ377">
        <v>0</v>
      </c>
      <c r="CK377">
        <v>2</v>
      </c>
      <c r="CL377">
        <v>0</v>
      </c>
      <c r="CM377">
        <v>2</v>
      </c>
      <c r="CN377">
        <v>0</v>
      </c>
      <c r="CO377">
        <v>2</v>
      </c>
      <c r="CP377">
        <v>0</v>
      </c>
      <c r="CQ377">
        <v>2</v>
      </c>
      <c r="CR377">
        <v>0</v>
      </c>
      <c r="CS377">
        <v>1</v>
      </c>
      <c r="CT377">
        <v>1</v>
      </c>
      <c r="CU377">
        <v>1</v>
      </c>
      <c r="CV377">
        <v>0</v>
      </c>
      <c r="CW377">
        <v>0</v>
      </c>
      <c r="CX377">
        <v>1</v>
      </c>
      <c r="CY377">
        <v>0</v>
      </c>
      <c r="CZ377">
        <v>0</v>
      </c>
    </row>
    <row r="378" spans="1:104" x14ac:dyDescent="0.25">
      <c r="A378" s="1" t="s">
        <v>2313</v>
      </c>
      <c r="B378">
        <v>2812</v>
      </c>
      <c r="C378">
        <v>2823</v>
      </c>
      <c r="D378" s="2">
        <v>43733</v>
      </c>
      <c r="E378" s="3">
        <f t="shared" si="15"/>
        <v>2019</v>
      </c>
      <c r="F378" s="3">
        <f t="shared" si="16"/>
        <v>9</v>
      </c>
      <c r="G378" s="3">
        <f t="shared" si="17"/>
        <v>4</v>
      </c>
      <c r="H378" t="s">
        <v>2314</v>
      </c>
      <c r="I378">
        <v>398</v>
      </c>
      <c r="J378" t="s">
        <v>344</v>
      </c>
      <c r="K378" t="s">
        <v>665</v>
      </c>
      <c r="L378">
        <v>2019</v>
      </c>
      <c r="M378" t="s">
        <v>2315</v>
      </c>
      <c r="N378" t="s">
        <v>2316</v>
      </c>
      <c r="O378" t="s">
        <v>2317</v>
      </c>
      <c r="P378">
        <v>12480</v>
      </c>
      <c r="Q378" t="s">
        <v>665</v>
      </c>
      <c r="R378">
        <v>2006</v>
      </c>
      <c r="S378" t="s">
        <v>669</v>
      </c>
      <c r="T378" t="s">
        <v>670</v>
      </c>
      <c r="U378">
        <v>13000</v>
      </c>
      <c r="V378" t="s">
        <v>665</v>
      </c>
      <c r="W378">
        <v>1985</v>
      </c>
      <c r="X378" t="s">
        <v>109</v>
      </c>
      <c r="Z378">
        <v>-2.5</v>
      </c>
      <c r="AA378">
        <v>-2.5</v>
      </c>
      <c r="AB378">
        <v>35</v>
      </c>
      <c r="AC378">
        <v>35</v>
      </c>
      <c r="AD378">
        <v>30</v>
      </c>
      <c r="AE378">
        <v>29</v>
      </c>
      <c r="AF378">
        <v>71</v>
      </c>
      <c r="AG378">
        <v>31</v>
      </c>
      <c r="AH378">
        <v>69</v>
      </c>
      <c r="AI378">
        <v>42</v>
      </c>
      <c r="AJ378">
        <v>58</v>
      </c>
      <c r="AK378">
        <v>63</v>
      </c>
      <c r="AL378">
        <v>37</v>
      </c>
      <c r="AM378">
        <v>60</v>
      </c>
      <c r="AN378">
        <v>40</v>
      </c>
      <c r="AO378">
        <v>56</v>
      </c>
      <c r="AP378">
        <v>44</v>
      </c>
      <c r="AQ378">
        <v>27</v>
      </c>
      <c r="AR378">
        <v>27</v>
      </c>
      <c r="AS378">
        <v>53</v>
      </c>
      <c r="AT378">
        <v>67</v>
      </c>
      <c r="AU378">
        <v>60</v>
      </c>
      <c r="AV378">
        <v>67</v>
      </c>
      <c r="AW378">
        <v>4</v>
      </c>
      <c r="AX378">
        <v>0.8</v>
      </c>
      <c r="AY378">
        <v>7</v>
      </c>
      <c r="AZ378">
        <v>1.4</v>
      </c>
      <c r="BA378">
        <v>14</v>
      </c>
      <c r="BB378">
        <v>15</v>
      </c>
      <c r="BC378">
        <v>6</v>
      </c>
      <c r="BD378">
        <v>3</v>
      </c>
      <c r="BE378">
        <v>4</v>
      </c>
      <c r="BF378">
        <v>5</v>
      </c>
      <c r="BG378">
        <v>4</v>
      </c>
      <c r="BH378">
        <v>7</v>
      </c>
      <c r="BI378">
        <v>20</v>
      </c>
      <c r="BJ378">
        <v>14</v>
      </c>
      <c r="BK378">
        <v>13</v>
      </c>
      <c r="BL378">
        <v>19</v>
      </c>
      <c r="BM378">
        <v>1.4</v>
      </c>
      <c r="BN378">
        <v>0.9</v>
      </c>
      <c r="BO378">
        <v>0.9</v>
      </c>
      <c r="BP378">
        <v>1.3</v>
      </c>
      <c r="BQ378">
        <v>8</v>
      </c>
      <c r="BR378">
        <v>7</v>
      </c>
      <c r="BS378">
        <v>7</v>
      </c>
      <c r="BT378">
        <v>3</v>
      </c>
      <c r="BU378">
        <v>1</v>
      </c>
      <c r="BV378">
        <v>2</v>
      </c>
      <c r="BW378">
        <v>0</v>
      </c>
      <c r="BX378">
        <v>2</v>
      </c>
      <c r="BY378">
        <v>9</v>
      </c>
      <c r="BZ378">
        <v>1.8</v>
      </c>
      <c r="CA378">
        <v>5</v>
      </c>
      <c r="CB378">
        <v>1</v>
      </c>
      <c r="CC378">
        <v>14</v>
      </c>
      <c r="CD378">
        <v>15</v>
      </c>
      <c r="CE378">
        <v>4</v>
      </c>
      <c r="CF378">
        <v>4</v>
      </c>
      <c r="CG378">
        <v>4</v>
      </c>
      <c r="CH378">
        <v>3</v>
      </c>
      <c r="CI378">
        <v>6</v>
      </c>
      <c r="CJ378">
        <v>8</v>
      </c>
      <c r="CK378">
        <v>20</v>
      </c>
      <c r="CL378">
        <v>24</v>
      </c>
      <c r="CM378">
        <v>22</v>
      </c>
      <c r="CN378">
        <v>36</v>
      </c>
      <c r="CO378">
        <v>1.4</v>
      </c>
      <c r="CP378">
        <v>1.6</v>
      </c>
      <c r="CQ378">
        <v>1.6</v>
      </c>
      <c r="CR378">
        <v>2.4</v>
      </c>
      <c r="CS378">
        <v>7</v>
      </c>
      <c r="CT378">
        <v>8</v>
      </c>
      <c r="CU378">
        <v>2</v>
      </c>
      <c r="CV378">
        <v>0</v>
      </c>
      <c r="CW378">
        <v>2</v>
      </c>
      <c r="CX378">
        <v>1</v>
      </c>
      <c r="CY378">
        <v>3</v>
      </c>
      <c r="CZ378">
        <v>7</v>
      </c>
    </row>
    <row r="379" spans="1:104" x14ac:dyDescent="0.25">
      <c r="A379" s="1" t="s">
        <v>2318</v>
      </c>
      <c r="B379">
        <v>2659</v>
      </c>
      <c r="C379">
        <v>2644</v>
      </c>
      <c r="D379" s="2">
        <v>43695</v>
      </c>
      <c r="E379" s="3">
        <f t="shared" si="15"/>
        <v>2019</v>
      </c>
      <c r="F379" s="3">
        <f t="shared" si="16"/>
        <v>8</v>
      </c>
      <c r="G379" s="3">
        <f t="shared" si="17"/>
        <v>1</v>
      </c>
      <c r="H379" t="s">
        <v>2319</v>
      </c>
      <c r="I379">
        <v>575</v>
      </c>
      <c r="J379" t="s">
        <v>2320</v>
      </c>
      <c r="K379" t="s">
        <v>445</v>
      </c>
      <c r="L379">
        <v>2019</v>
      </c>
      <c r="M379" t="s">
        <v>306</v>
      </c>
      <c r="N379" t="s">
        <v>2319</v>
      </c>
      <c r="O379" t="s">
        <v>2321</v>
      </c>
      <c r="P379">
        <v>5500</v>
      </c>
      <c r="Q379" t="s">
        <v>445</v>
      </c>
      <c r="R379">
        <v>1945</v>
      </c>
      <c r="S379" t="s">
        <v>2322</v>
      </c>
      <c r="T379" t="s">
        <v>2323</v>
      </c>
      <c r="U379">
        <v>15100</v>
      </c>
      <c r="V379" t="s">
        <v>445</v>
      </c>
      <c r="W379">
        <v>1923</v>
      </c>
      <c r="X379">
        <v>1</v>
      </c>
      <c r="Y379">
        <v>1.5</v>
      </c>
      <c r="Z379">
        <v>-4.5</v>
      </c>
      <c r="AA379">
        <v>-2.5</v>
      </c>
      <c r="AB379">
        <v>45</v>
      </c>
      <c r="AC379">
        <v>45</v>
      </c>
      <c r="AD379">
        <v>10</v>
      </c>
      <c r="AE379">
        <v>67</v>
      </c>
      <c r="AF379">
        <v>33</v>
      </c>
      <c r="AG379">
        <v>55</v>
      </c>
      <c r="AH379">
        <v>45</v>
      </c>
      <c r="AI379">
        <v>70</v>
      </c>
      <c r="AJ379">
        <v>30</v>
      </c>
      <c r="AK379">
        <v>81</v>
      </c>
      <c r="AL379">
        <v>19</v>
      </c>
      <c r="AM379">
        <v>0</v>
      </c>
      <c r="AN379">
        <v>0</v>
      </c>
      <c r="AO379">
        <v>0</v>
      </c>
      <c r="AP379">
        <v>0</v>
      </c>
      <c r="AQ379">
        <v>67</v>
      </c>
      <c r="AR379">
        <v>50</v>
      </c>
      <c r="AS379">
        <v>75</v>
      </c>
      <c r="AT379">
        <v>33</v>
      </c>
      <c r="AU379">
        <v>42</v>
      </c>
      <c r="AV379">
        <v>42</v>
      </c>
      <c r="AW379">
        <v>6</v>
      </c>
      <c r="AX379">
        <v>2</v>
      </c>
      <c r="AY379">
        <v>3</v>
      </c>
      <c r="AZ379">
        <v>1</v>
      </c>
      <c r="BA379">
        <v>2</v>
      </c>
      <c r="BB379">
        <v>1</v>
      </c>
      <c r="BC379">
        <v>2</v>
      </c>
      <c r="BD379">
        <v>0</v>
      </c>
      <c r="BE379">
        <v>0</v>
      </c>
      <c r="BF379">
        <v>0</v>
      </c>
      <c r="BG379">
        <v>0</v>
      </c>
      <c r="BH379">
        <v>1</v>
      </c>
      <c r="BI379">
        <v>5</v>
      </c>
      <c r="BJ379">
        <v>1</v>
      </c>
      <c r="BK379">
        <v>1</v>
      </c>
      <c r="BL379">
        <v>2</v>
      </c>
      <c r="BM379">
        <v>2.5</v>
      </c>
      <c r="BN379">
        <v>1</v>
      </c>
      <c r="BO379">
        <v>0.5</v>
      </c>
      <c r="BP379">
        <v>2</v>
      </c>
      <c r="BQ379">
        <v>1</v>
      </c>
      <c r="BR379">
        <v>1</v>
      </c>
      <c r="BS379">
        <v>0</v>
      </c>
      <c r="BT379">
        <v>0</v>
      </c>
      <c r="BU379">
        <v>1</v>
      </c>
      <c r="BV379">
        <v>0</v>
      </c>
      <c r="BW379">
        <v>0</v>
      </c>
      <c r="BX379">
        <v>1</v>
      </c>
      <c r="BY379">
        <v>5</v>
      </c>
      <c r="BZ379">
        <v>1.7</v>
      </c>
      <c r="CA379">
        <v>7</v>
      </c>
      <c r="CB379">
        <v>2.2999999999999998</v>
      </c>
      <c r="CC379">
        <v>2</v>
      </c>
      <c r="CD379">
        <v>1</v>
      </c>
      <c r="CE379">
        <v>1</v>
      </c>
      <c r="CF379">
        <v>0</v>
      </c>
      <c r="CG379">
        <v>0</v>
      </c>
      <c r="CH379">
        <v>0</v>
      </c>
      <c r="CI379">
        <v>1</v>
      </c>
      <c r="CJ379">
        <v>1</v>
      </c>
      <c r="CK379">
        <v>3</v>
      </c>
      <c r="CL379">
        <v>2</v>
      </c>
      <c r="CM379">
        <v>4</v>
      </c>
      <c r="CN379">
        <v>3</v>
      </c>
      <c r="CO379">
        <v>1.5</v>
      </c>
      <c r="CP379">
        <v>2</v>
      </c>
      <c r="CQ379">
        <v>2</v>
      </c>
      <c r="CR379">
        <v>3</v>
      </c>
      <c r="CS379">
        <v>1</v>
      </c>
      <c r="CT379">
        <v>1</v>
      </c>
      <c r="CU379">
        <v>1</v>
      </c>
      <c r="CV379">
        <v>0</v>
      </c>
      <c r="CW379">
        <v>0</v>
      </c>
      <c r="CX379">
        <v>1</v>
      </c>
      <c r="CY379">
        <v>0</v>
      </c>
      <c r="CZ379">
        <v>0</v>
      </c>
    </row>
    <row r="380" spans="1:104" x14ac:dyDescent="0.25">
      <c r="A380" s="1" t="s">
        <v>2324</v>
      </c>
      <c r="B380">
        <v>4661</v>
      </c>
      <c r="C380">
        <v>4794</v>
      </c>
      <c r="D380" s="2">
        <v>43723</v>
      </c>
      <c r="E380" s="3">
        <f t="shared" si="15"/>
        <v>2019</v>
      </c>
      <c r="F380" s="3">
        <f t="shared" si="16"/>
        <v>9</v>
      </c>
      <c r="G380" s="3">
        <f t="shared" si="17"/>
        <v>1</v>
      </c>
      <c r="H380" t="s">
        <v>2325</v>
      </c>
      <c r="I380">
        <v>1289</v>
      </c>
      <c r="J380" t="s">
        <v>139</v>
      </c>
      <c r="K380" t="s">
        <v>140</v>
      </c>
      <c r="L380">
        <v>2019</v>
      </c>
      <c r="M380" t="s">
        <v>2326</v>
      </c>
      <c r="N380" t="s">
        <v>1948</v>
      </c>
      <c r="O380" t="s">
        <v>1949</v>
      </c>
      <c r="P380">
        <v>30498</v>
      </c>
      <c r="Q380" t="s">
        <v>140</v>
      </c>
      <c r="R380">
        <v>1922</v>
      </c>
      <c r="S380" t="s">
        <v>2327</v>
      </c>
      <c r="T380" t="s">
        <v>2328</v>
      </c>
      <c r="U380">
        <v>7500</v>
      </c>
      <c r="V380" t="s">
        <v>140</v>
      </c>
      <c r="W380">
        <v>1934</v>
      </c>
      <c r="X380" t="s">
        <v>125</v>
      </c>
      <c r="Z380">
        <v>-2.5</v>
      </c>
      <c r="AA380">
        <v>-3.5</v>
      </c>
      <c r="AB380">
        <v>10</v>
      </c>
      <c r="AC380">
        <v>45</v>
      </c>
      <c r="AD380">
        <v>45</v>
      </c>
      <c r="AE380">
        <v>45</v>
      </c>
      <c r="AF380">
        <v>55</v>
      </c>
      <c r="AG380">
        <v>50</v>
      </c>
      <c r="AH380">
        <v>50</v>
      </c>
      <c r="AI380">
        <v>50</v>
      </c>
      <c r="AJ380">
        <v>50</v>
      </c>
      <c r="AK380">
        <v>30</v>
      </c>
      <c r="AL380">
        <v>70</v>
      </c>
      <c r="AM380">
        <v>0</v>
      </c>
      <c r="AN380">
        <v>0</v>
      </c>
      <c r="AO380">
        <v>0</v>
      </c>
      <c r="AP380">
        <v>0</v>
      </c>
      <c r="AQ380">
        <v>56</v>
      </c>
      <c r="AR380">
        <v>40</v>
      </c>
      <c r="AS380">
        <v>70</v>
      </c>
      <c r="AT380">
        <v>67</v>
      </c>
      <c r="AU380">
        <v>40</v>
      </c>
      <c r="AV380">
        <v>70</v>
      </c>
      <c r="AW380">
        <v>4</v>
      </c>
      <c r="AX380">
        <v>1.3</v>
      </c>
      <c r="AY380">
        <v>3</v>
      </c>
      <c r="AZ380">
        <v>1</v>
      </c>
      <c r="BA380">
        <v>1</v>
      </c>
      <c r="BB380">
        <v>2</v>
      </c>
      <c r="BC380">
        <v>0</v>
      </c>
      <c r="BD380">
        <v>1</v>
      </c>
      <c r="BE380">
        <v>1</v>
      </c>
      <c r="BF380">
        <v>1</v>
      </c>
      <c r="BG380">
        <v>0</v>
      </c>
      <c r="BH380">
        <v>0</v>
      </c>
      <c r="BI380">
        <v>2</v>
      </c>
      <c r="BJ380">
        <v>2</v>
      </c>
      <c r="BK380">
        <v>2</v>
      </c>
      <c r="BL380">
        <v>1</v>
      </c>
      <c r="BM380">
        <v>2</v>
      </c>
      <c r="BN380">
        <v>1</v>
      </c>
      <c r="BO380">
        <v>2</v>
      </c>
      <c r="BP380">
        <v>0.5</v>
      </c>
      <c r="BQ380">
        <v>1</v>
      </c>
      <c r="BR380">
        <v>1</v>
      </c>
      <c r="BS380">
        <v>0</v>
      </c>
      <c r="BT380">
        <v>0</v>
      </c>
      <c r="BU380">
        <v>1</v>
      </c>
      <c r="BV380">
        <v>0</v>
      </c>
      <c r="BW380">
        <v>0</v>
      </c>
      <c r="BX380">
        <v>1</v>
      </c>
      <c r="BY380">
        <v>4</v>
      </c>
      <c r="BZ380">
        <v>1.3</v>
      </c>
      <c r="CA380">
        <v>3</v>
      </c>
      <c r="CB380">
        <v>1</v>
      </c>
      <c r="CC380">
        <v>2</v>
      </c>
      <c r="CD380">
        <v>1</v>
      </c>
      <c r="CE380">
        <v>1</v>
      </c>
      <c r="CF380">
        <v>1</v>
      </c>
      <c r="CG380">
        <v>0</v>
      </c>
      <c r="CH380">
        <v>0</v>
      </c>
      <c r="CI380">
        <v>1</v>
      </c>
      <c r="CJ380">
        <v>0</v>
      </c>
      <c r="CK380">
        <v>2</v>
      </c>
      <c r="CL380">
        <v>2</v>
      </c>
      <c r="CM380">
        <v>2</v>
      </c>
      <c r="CN380">
        <v>1</v>
      </c>
      <c r="CO380">
        <v>1</v>
      </c>
      <c r="CP380">
        <v>2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0</v>
      </c>
      <c r="CW380">
        <v>0</v>
      </c>
      <c r="CX380">
        <v>1</v>
      </c>
      <c r="CY380">
        <v>0</v>
      </c>
      <c r="CZ380">
        <v>0</v>
      </c>
    </row>
    <row r="381" spans="1:104" x14ac:dyDescent="0.25">
      <c r="A381" s="1" t="s">
        <v>2329</v>
      </c>
      <c r="B381">
        <v>6653</v>
      </c>
      <c r="C381">
        <v>6616</v>
      </c>
      <c r="D381" s="2">
        <v>43680</v>
      </c>
      <c r="E381" s="3">
        <f t="shared" si="15"/>
        <v>2019</v>
      </c>
      <c r="F381" s="3">
        <f t="shared" si="16"/>
        <v>8</v>
      </c>
      <c r="G381" s="3">
        <f t="shared" si="17"/>
        <v>7</v>
      </c>
      <c r="H381" t="s">
        <v>2330</v>
      </c>
      <c r="I381">
        <v>1466</v>
      </c>
      <c r="J381" t="s">
        <v>997</v>
      </c>
      <c r="K381" t="s">
        <v>442</v>
      </c>
      <c r="L381">
        <v>2019</v>
      </c>
      <c r="M381" t="s">
        <v>1170</v>
      </c>
      <c r="N381" t="s">
        <v>2330</v>
      </c>
      <c r="O381" t="s">
        <v>2331</v>
      </c>
      <c r="P381">
        <v>7600</v>
      </c>
      <c r="Q381" t="s">
        <v>442</v>
      </c>
      <c r="R381">
        <v>1948</v>
      </c>
      <c r="S381" t="s">
        <v>2332</v>
      </c>
      <c r="T381" t="s">
        <v>2333</v>
      </c>
      <c r="U381">
        <v>6000</v>
      </c>
      <c r="V381" t="s">
        <v>442</v>
      </c>
      <c r="W381">
        <v>1904</v>
      </c>
      <c r="X381" t="s">
        <v>109</v>
      </c>
      <c r="AB381">
        <v>50</v>
      </c>
      <c r="AC381">
        <v>50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80</v>
      </c>
      <c r="AN381">
        <v>20</v>
      </c>
      <c r="AO381">
        <v>100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2</v>
      </c>
      <c r="BR381">
        <v>2</v>
      </c>
      <c r="BS381">
        <v>1</v>
      </c>
      <c r="BT381">
        <v>1</v>
      </c>
      <c r="BU381">
        <v>1</v>
      </c>
      <c r="BV381">
        <v>0</v>
      </c>
      <c r="BW381">
        <v>0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</v>
      </c>
      <c r="CT381">
        <v>2</v>
      </c>
      <c r="CU381">
        <v>1</v>
      </c>
      <c r="CV381">
        <v>0</v>
      </c>
      <c r="CW381">
        <v>0</v>
      </c>
      <c r="CX381">
        <v>1</v>
      </c>
      <c r="CY381">
        <v>1</v>
      </c>
      <c r="CZ381">
        <v>1</v>
      </c>
    </row>
    <row r="382" spans="1:104" x14ac:dyDescent="0.25">
      <c r="A382" s="1" t="s">
        <v>2334</v>
      </c>
      <c r="B382">
        <v>7004</v>
      </c>
      <c r="C382">
        <v>2149</v>
      </c>
      <c r="D382" s="2">
        <v>44058</v>
      </c>
      <c r="E382" s="3">
        <f t="shared" si="15"/>
        <v>2020</v>
      </c>
      <c r="F382" s="3">
        <f t="shared" si="16"/>
        <v>8</v>
      </c>
      <c r="G382" s="3">
        <f t="shared" si="17"/>
        <v>7</v>
      </c>
      <c r="H382" t="s">
        <v>2335</v>
      </c>
      <c r="I382">
        <v>1385</v>
      </c>
      <c r="J382" t="s">
        <v>2336</v>
      </c>
      <c r="K382" t="s">
        <v>495</v>
      </c>
      <c r="L382">
        <v>2020</v>
      </c>
      <c r="M382" t="s">
        <v>433</v>
      </c>
      <c r="N382" t="s">
        <v>2335</v>
      </c>
      <c r="O382" t="s">
        <v>2337</v>
      </c>
      <c r="P382">
        <v>5000</v>
      </c>
      <c r="Q382" t="s">
        <v>495</v>
      </c>
      <c r="R382">
        <v>1906</v>
      </c>
      <c r="S382" t="s">
        <v>2338</v>
      </c>
      <c r="T382" t="s">
        <v>2339</v>
      </c>
      <c r="U382">
        <v>12565</v>
      </c>
      <c r="V382" t="s">
        <v>495</v>
      </c>
      <c r="W382">
        <v>1903</v>
      </c>
      <c r="X382">
        <v>1</v>
      </c>
      <c r="Y382">
        <v>1.5</v>
      </c>
      <c r="Z382">
        <v>-4.5</v>
      </c>
      <c r="AA382">
        <v>-2.5</v>
      </c>
      <c r="AB382">
        <v>45</v>
      </c>
      <c r="AC382">
        <v>45</v>
      </c>
      <c r="AD382">
        <v>10</v>
      </c>
      <c r="AE382">
        <v>50</v>
      </c>
      <c r="AF382">
        <v>50</v>
      </c>
      <c r="AG382">
        <v>57</v>
      </c>
      <c r="AH382">
        <v>43</v>
      </c>
      <c r="AI382">
        <v>75</v>
      </c>
      <c r="AJ382">
        <v>25</v>
      </c>
      <c r="AK382">
        <v>78</v>
      </c>
      <c r="AL382">
        <v>22</v>
      </c>
      <c r="AM382">
        <v>50</v>
      </c>
      <c r="AN382">
        <v>50</v>
      </c>
      <c r="AO382">
        <v>33</v>
      </c>
      <c r="AP382">
        <v>67</v>
      </c>
      <c r="AQ382">
        <v>100</v>
      </c>
      <c r="AR382">
        <v>100</v>
      </c>
      <c r="AS382">
        <v>88</v>
      </c>
      <c r="AT382">
        <v>100</v>
      </c>
      <c r="AU382">
        <v>75</v>
      </c>
      <c r="AV382">
        <v>63</v>
      </c>
      <c r="AW382">
        <v>16</v>
      </c>
      <c r="AX382">
        <v>3.2</v>
      </c>
      <c r="AY382">
        <v>2</v>
      </c>
      <c r="AZ382">
        <v>0.4</v>
      </c>
      <c r="BA382">
        <v>2</v>
      </c>
      <c r="BB382">
        <v>3</v>
      </c>
      <c r="BC382">
        <v>2</v>
      </c>
      <c r="BD382">
        <v>3</v>
      </c>
      <c r="BE382">
        <v>0</v>
      </c>
      <c r="BF382">
        <v>0</v>
      </c>
      <c r="BG382">
        <v>0</v>
      </c>
      <c r="BH382">
        <v>0</v>
      </c>
      <c r="BI382">
        <v>7</v>
      </c>
      <c r="BJ382">
        <v>9</v>
      </c>
      <c r="BK382">
        <v>1</v>
      </c>
      <c r="BL382">
        <v>1</v>
      </c>
      <c r="BM382">
        <v>3.5</v>
      </c>
      <c r="BN382">
        <v>3</v>
      </c>
      <c r="BO382">
        <v>0.5</v>
      </c>
      <c r="BP382">
        <v>0.3</v>
      </c>
      <c r="BQ382">
        <v>2</v>
      </c>
      <c r="BR382">
        <v>1</v>
      </c>
      <c r="BS382">
        <v>1</v>
      </c>
      <c r="BT382">
        <v>0</v>
      </c>
      <c r="BU382">
        <v>0</v>
      </c>
      <c r="BV382">
        <v>0</v>
      </c>
      <c r="BW382">
        <v>1</v>
      </c>
      <c r="BX382">
        <v>1</v>
      </c>
      <c r="BY382">
        <v>12</v>
      </c>
      <c r="BZ382">
        <v>2.4</v>
      </c>
      <c r="CA382">
        <v>6</v>
      </c>
      <c r="CB382">
        <v>1.2</v>
      </c>
      <c r="CC382">
        <v>3</v>
      </c>
      <c r="CD382">
        <v>2</v>
      </c>
      <c r="CE382">
        <v>3</v>
      </c>
      <c r="CF382">
        <v>2</v>
      </c>
      <c r="CG382">
        <v>0</v>
      </c>
      <c r="CH382">
        <v>0</v>
      </c>
      <c r="CI382">
        <v>0</v>
      </c>
      <c r="CJ382">
        <v>0</v>
      </c>
      <c r="CK382">
        <v>6</v>
      </c>
      <c r="CL382">
        <v>6</v>
      </c>
      <c r="CM382">
        <v>3</v>
      </c>
      <c r="CN382">
        <v>3</v>
      </c>
      <c r="CO382">
        <v>2</v>
      </c>
      <c r="CP382">
        <v>3</v>
      </c>
      <c r="CQ382">
        <v>1</v>
      </c>
      <c r="CR382">
        <v>1.5</v>
      </c>
      <c r="CS382">
        <v>1</v>
      </c>
      <c r="CT382">
        <v>2</v>
      </c>
      <c r="CU382">
        <v>1</v>
      </c>
      <c r="CV382">
        <v>1</v>
      </c>
      <c r="CW382">
        <v>0</v>
      </c>
      <c r="CX382">
        <v>0</v>
      </c>
      <c r="CY382">
        <v>0</v>
      </c>
      <c r="CZ382">
        <v>1</v>
      </c>
    </row>
    <row r="383" spans="1:104" x14ac:dyDescent="0.25">
      <c r="A383" s="1" t="s">
        <v>2340</v>
      </c>
      <c r="B383">
        <v>2645</v>
      </c>
      <c r="C383">
        <v>12331</v>
      </c>
      <c r="D383" s="2">
        <v>43771</v>
      </c>
      <c r="E383" s="3">
        <f t="shared" si="15"/>
        <v>2019</v>
      </c>
      <c r="F383" s="3">
        <f t="shared" si="16"/>
        <v>11</v>
      </c>
      <c r="G383" s="3">
        <f t="shared" si="17"/>
        <v>7</v>
      </c>
      <c r="H383" t="s">
        <v>2341</v>
      </c>
      <c r="I383">
        <v>2151</v>
      </c>
      <c r="J383" t="s">
        <v>2342</v>
      </c>
      <c r="K383" t="s">
        <v>445</v>
      </c>
      <c r="L383">
        <v>2019</v>
      </c>
      <c r="M383" t="s">
        <v>2343</v>
      </c>
      <c r="Q383" t="s">
        <v>445</v>
      </c>
      <c r="R383">
        <v>1952</v>
      </c>
      <c r="V383" t="s">
        <v>445</v>
      </c>
      <c r="W383">
        <v>1929</v>
      </c>
      <c r="X383" t="s">
        <v>125</v>
      </c>
      <c r="Z383">
        <v>-1.5</v>
      </c>
      <c r="AA383">
        <v>-2.5</v>
      </c>
      <c r="AB383">
        <v>10</v>
      </c>
      <c r="AC383">
        <v>45</v>
      </c>
      <c r="AD383">
        <v>45</v>
      </c>
      <c r="AE383">
        <v>25</v>
      </c>
      <c r="AF383">
        <v>75</v>
      </c>
      <c r="AG383">
        <v>45</v>
      </c>
      <c r="AH383">
        <v>55</v>
      </c>
      <c r="AI383">
        <v>50</v>
      </c>
      <c r="AJ383">
        <v>50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13</v>
      </c>
      <c r="AR383">
        <v>42</v>
      </c>
      <c r="AS383">
        <v>25</v>
      </c>
      <c r="AT383">
        <v>40</v>
      </c>
      <c r="AU383">
        <v>50</v>
      </c>
      <c r="AV383">
        <v>25</v>
      </c>
      <c r="AW383">
        <v>5</v>
      </c>
      <c r="AX383">
        <v>1</v>
      </c>
      <c r="AY383">
        <v>9</v>
      </c>
      <c r="AZ383">
        <v>1.8</v>
      </c>
      <c r="BA383">
        <v>6</v>
      </c>
      <c r="BB383">
        <v>5</v>
      </c>
      <c r="BC383">
        <v>2</v>
      </c>
      <c r="BD383">
        <v>0</v>
      </c>
      <c r="BE383">
        <v>3</v>
      </c>
      <c r="BF383">
        <v>0</v>
      </c>
      <c r="BG383">
        <v>1</v>
      </c>
      <c r="BH383">
        <v>5</v>
      </c>
      <c r="BI383">
        <v>7</v>
      </c>
      <c r="BJ383">
        <v>3</v>
      </c>
      <c r="BK383">
        <v>6</v>
      </c>
      <c r="BL383">
        <v>11</v>
      </c>
      <c r="BM383">
        <v>1.2</v>
      </c>
      <c r="BN383">
        <v>0.6</v>
      </c>
      <c r="BO383">
        <v>1</v>
      </c>
      <c r="BP383">
        <v>2.2000000000000002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0</v>
      </c>
      <c r="BX383">
        <v>0</v>
      </c>
      <c r="BY383">
        <v>6</v>
      </c>
      <c r="BZ383">
        <v>1.2</v>
      </c>
      <c r="CA383">
        <v>9</v>
      </c>
      <c r="CB383">
        <v>1.8</v>
      </c>
      <c r="CC383">
        <v>6</v>
      </c>
      <c r="CD383">
        <v>5</v>
      </c>
      <c r="CE383">
        <v>2</v>
      </c>
      <c r="CF383">
        <v>2</v>
      </c>
      <c r="CG383">
        <v>1</v>
      </c>
      <c r="CH383">
        <v>1</v>
      </c>
      <c r="CI383">
        <v>3</v>
      </c>
      <c r="CJ383">
        <v>2</v>
      </c>
      <c r="CK383">
        <v>8</v>
      </c>
      <c r="CL383">
        <v>3</v>
      </c>
      <c r="CM383">
        <v>10</v>
      </c>
      <c r="CN383">
        <v>3</v>
      </c>
      <c r="CO383">
        <v>1.3</v>
      </c>
      <c r="CP383">
        <v>0.6</v>
      </c>
      <c r="CQ383">
        <v>1.7</v>
      </c>
      <c r="CR383">
        <v>0.6</v>
      </c>
      <c r="CS383">
        <v>1</v>
      </c>
      <c r="CT383">
        <v>1</v>
      </c>
      <c r="CU383">
        <v>0</v>
      </c>
      <c r="CV383">
        <v>0</v>
      </c>
      <c r="CW383">
        <v>0</v>
      </c>
      <c r="CX383">
        <v>0</v>
      </c>
      <c r="CY383">
        <v>1</v>
      </c>
      <c r="CZ383">
        <v>1</v>
      </c>
    </row>
    <row r="384" spans="1:104" x14ac:dyDescent="0.25">
      <c r="A384" s="1" t="s">
        <v>2344</v>
      </c>
      <c r="B384">
        <v>9777</v>
      </c>
      <c r="C384">
        <v>8151</v>
      </c>
      <c r="D384" s="2">
        <v>43748</v>
      </c>
      <c r="E384" s="3">
        <f t="shared" si="15"/>
        <v>2019</v>
      </c>
      <c r="F384" s="3">
        <f t="shared" si="16"/>
        <v>10</v>
      </c>
      <c r="G384" s="3">
        <f t="shared" si="17"/>
        <v>5</v>
      </c>
      <c r="H384" t="s">
        <v>1979</v>
      </c>
      <c r="I384">
        <v>1279</v>
      </c>
      <c r="J384" t="s">
        <v>1975</v>
      </c>
      <c r="K384" t="s">
        <v>380</v>
      </c>
      <c r="L384">
        <v>2019</v>
      </c>
      <c r="M384" t="s">
        <v>2345</v>
      </c>
      <c r="N384" t="s">
        <v>1979</v>
      </c>
      <c r="O384" t="s">
        <v>1980</v>
      </c>
      <c r="P384">
        <v>1000</v>
      </c>
      <c r="Q384" t="s">
        <v>380</v>
      </c>
      <c r="S384" t="s">
        <v>2346</v>
      </c>
      <c r="T384" t="s">
        <v>2347</v>
      </c>
      <c r="U384">
        <v>600</v>
      </c>
      <c r="V384" t="s">
        <v>380</v>
      </c>
      <c r="X384" t="s">
        <v>125</v>
      </c>
      <c r="Z384">
        <v>-1.5</v>
      </c>
      <c r="AA384">
        <v>-2.5</v>
      </c>
      <c r="AB384">
        <v>10</v>
      </c>
      <c r="AC384">
        <v>45</v>
      </c>
      <c r="AD384">
        <v>45</v>
      </c>
      <c r="AE384">
        <v>25</v>
      </c>
      <c r="AF384">
        <v>75</v>
      </c>
      <c r="AG384">
        <v>15</v>
      </c>
      <c r="AH384">
        <v>85</v>
      </c>
      <c r="AI384">
        <v>58</v>
      </c>
      <c r="AJ384">
        <v>42</v>
      </c>
      <c r="AK384">
        <v>56</v>
      </c>
      <c r="AL384">
        <v>44</v>
      </c>
      <c r="AM384">
        <v>0</v>
      </c>
      <c r="AN384">
        <v>0</v>
      </c>
      <c r="AO384">
        <v>0</v>
      </c>
      <c r="AP384">
        <v>0</v>
      </c>
      <c r="AQ384">
        <v>13</v>
      </c>
      <c r="AR384">
        <v>17</v>
      </c>
      <c r="AS384">
        <v>33</v>
      </c>
      <c r="AT384">
        <v>40</v>
      </c>
      <c r="AU384">
        <v>92</v>
      </c>
      <c r="AV384">
        <v>8</v>
      </c>
      <c r="AW384">
        <v>2</v>
      </c>
      <c r="AX384">
        <v>0.4</v>
      </c>
      <c r="AY384">
        <v>8</v>
      </c>
      <c r="AZ384">
        <v>1.6</v>
      </c>
      <c r="BA384">
        <v>3</v>
      </c>
      <c r="BB384">
        <v>4</v>
      </c>
      <c r="BC384">
        <v>0</v>
      </c>
      <c r="BD384">
        <v>0</v>
      </c>
      <c r="BE384">
        <v>2</v>
      </c>
      <c r="BF384">
        <v>1</v>
      </c>
      <c r="BG384">
        <v>1</v>
      </c>
      <c r="BH384">
        <v>3</v>
      </c>
      <c r="BI384">
        <v>2</v>
      </c>
      <c r="BJ384">
        <v>1</v>
      </c>
      <c r="BK384">
        <v>3</v>
      </c>
      <c r="BL384">
        <v>8</v>
      </c>
      <c r="BM384">
        <v>0.7</v>
      </c>
      <c r="BN384">
        <v>0.3</v>
      </c>
      <c r="BO384">
        <v>1</v>
      </c>
      <c r="BP384">
        <v>2</v>
      </c>
      <c r="BQ384">
        <v>1</v>
      </c>
      <c r="BR384">
        <v>1</v>
      </c>
      <c r="BS384">
        <v>0</v>
      </c>
      <c r="BT384">
        <v>0</v>
      </c>
      <c r="BU384">
        <v>0</v>
      </c>
      <c r="BV384">
        <v>0</v>
      </c>
      <c r="BW384">
        <v>1</v>
      </c>
      <c r="BX384">
        <v>1</v>
      </c>
      <c r="BY384">
        <v>11</v>
      </c>
      <c r="BZ384">
        <v>2.2000000000000002</v>
      </c>
      <c r="CA384">
        <v>11</v>
      </c>
      <c r="CB384">
        <v>2.2000000000000002</v>
      </c>
      <c r="CC384">
        <v>4</v>
      </c>
      <c r="CD384">
        <v>3</v>
      </c>
      <c r="CE384">
        <v>2</v>
      </c>
      <c r="CF384">
        <v>0</v>
      </c>
      <c r="CG384">
        <v>1</v>
      </c>
      <c r="CH384">
        <v>0</v>
      </c>
      <c r="CI384">
        <v>1</v>
      </c>
      <c r="CJ384">
        <v>3</v>
      </c>
      <c r="CK384">
        <v>8</v>
      </c>
      <c r="CL384">
        <v>4</v>
      </c>
      <c r="CM384">
        <v>5</v>
      </c>
      <c r="CN384">
        <v>9</v>
      </c>
      <c r="CO384">
        <v>2</v>
      </c>
      <c r="CP384">
        <v>1.3</v>
      </c>
      <c r="CQ384">
        <v>1.3</v>
      </c>
      <c r="CR384">
        <v>3</v>
      </c>
      <c r="CS384">
        <v>1</v>
      </c>
      <c r="CT384">
        <v>1</v>
      </c>
      <c r="CU384">
        <v>1</v>
      </c>
      <c r="CV384">
        <v>1</v>
      </c>
      <c r="CW384">
        <v>0</v>
      </c>
      <c r="CX384">
        <v>0</v>
      </c>
      <c r="CY384">
        <v>0</v>
      </c>
      <c r="CZ384">
        <v>0</v>
      </c>
    </row>
    <row r="385" spans="1:104" x14ac:dyDescent="0.25">
      <c r="A385" s="1" t="s">
        <v>2348</v>
      </c>
      <c r="B385">
        <v>3051</v>
      </c>
      <c r="C385">
        <v>3199</v>
      </c>
      <c r="D385" s="2">
        <v>43799</v>
      </c>
      <c r="E385" s="3">
        <f t="shared" si="15"/>
        <v>2019</v>
      </c>
      <c r="F385" s="3">
        <f t="shared" si="16"/>
        <v>11</v>
      </c>
      <c r="G385" s="3">
        <f t="shared" si="17"/>
        <v>7</v>
      </c>
      <c r="H385" t="s">
        <v>2349</v>
      </c>
      <c r="I385">
        <v>1223</v>
      </c>
      <c r="J385" t="s">
        <v>2350</v>
      </c>
      <c r="K385" t="s">
        <v>158</v>
      </c>
      <c r="L385">
        <v>2019</v>
      </c>
      <c r="M385" t="s">
        <v>2351</v>
      </c>
      <c r="N385" t="s">
        <v>2349</v>
      </c>
      <c r="O385" t="s">
        <v>2352</v>
      </c>
      <c r="P385">
        <v>3000</v>
      </c>
      <c r="Q385" t="s">
        <v>158</v>
      </c>
      <c r="R385">
        <v>2009</v>
      </c>
      <c r="S385" t="s">
        <v>2353</v>
      </c>
      <c r="T385" t="s">
        <v>2354</v>
      </c>
      <c r="U385">
        <v>2000</v>
      </c>
      <c r="V385" t="s">
        <v>158</v>
      </c>
      <c r="W385">
        <v>1925</v>
      </c>
      <c r="X385" t="s">
        <v>109</v>
      </c>
      <c r="Z385">
        <v>-2.5</v>
      </c>
      <c r="AA385">
        <v>-1.5</v>
      </c>
      <c r="AB385">
        <v>45</v>
      </c>
      <c r="AC385">
        <v>45</v>
      </c>
      <c r="AD385">
        <v>10</v>
      </c>
      <c r="AE385">
        <v>80</v>
      </c>
      <c r="AF385">
        <v>20</v>
      </c>
      <c r="AG385">
        <v>58</v>
      </c>
      <c r="AH385">
        <v>42</v>
      </c>
      <c r="AI385">
        <v>62</v>
      </c>
      <c r="AJ385">
        <v>38</v>
      </c>
      <c r="AK385">
        <v>71</v>
      </c>
      <c r="AL385">
        <v>29</v>
      </c>
      <c r="AM385">
        <v>100</v>
      </c>
      <c r="AN385">
        <v>0</v>
      </c>
      <c r="AO385">
        <v>75</v>
      </c>
      <c r="AP385">
        <v>25</v>
      </c>
      <c r="AQ385">
        <v>53</v>
      </c>
      <c r="AR385">
        <v>100</v>
      </c>
      <c r="AS385">
        <v>29</v>
      </c>
      <c r="AT385">
        <v>13</v>
      </c>
      <c r="AU385">
        <v>71</v>
      </c>
      <c r="AV385">
        <v>0</v>
      </c>
      <c r="AW385">
        <v>7</v>
      </c>
      <c r="AX385">
        <v>1.4</v>
      </c>
      <c r="AY385">
        <v>5</v>
      </c>
      <c r="AZ385">
        <v>1</v>
      </c>
      <c r="BA385">
        <v>5</v>
      </c>
      <c r="BB385">
        <v>6</v>
      </c>
      <c r="BC385">
        <v>2</v>
      </c>
      <c r="BD385">
        <v>1</v>
      </c>
      <c r="BE385">
        <v>2</v>
      </c>
      <c r="BF385">
        <v>2</v>
      </c>
      <c r="BG385">
        <v>1</v>
      </c>
      <c r="BH385">
        <v>3</v>
      </c>
      <c r="BI385">
        <v>6</v>
      </c>
      <c r="BJ385">
        <v>7</v>
      </c>
      <c r="BK385">
        <v>4</v>
      </c>
      <c r="BL385">
        <v>10</v>
      </c>
      <c r="BM385">
        <v>1.2</v>
      </c>
      <c r="BN385">
        <v>1.2</v>
      </c>
      <c r="BO385">
        <v>0.8</v>
      </c>
      <c r="BP385">
        <v>1.7</v>
      </c>
      <c r="BQ385">
        <v>2</v>
      </c>
      <c r="BR385">
        <v>1</v>
      </c>
      <c r="BS385">
        <v>2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5</v>
      </c>
      <c r="BZ385">
        <v>1</v>
      </c>
      <c r="CA385">
        <v>8</v>
      </c>
      <c r="CB385">
        <v>1.6</v>
      </c>
      <c r="CC385">
        <v>7</v>
      </c>
      <c r="CD385">
        <v>5</v>
      </c>
      <c r="CE385">
        <v>2</v>
      </c>
      <c r="CF385">
        <v>0</v>
      </c>
      <c r="CG385">
        <v>3</v>
      </c>
      <c r="CH385">
        <v>2</v>
      </c>
      <c r="CI385">
        <v>2</v>
      </c>
      <c r="CJ385">
        <v>3</v>
      </c>
      <c r="CK385">
        <v>8</v>
      </c>
      <c r="CL385">
        <v>5</v>
      </c>
      <c r="CM385">
        <v>7</v>
      </c>
      <c r="CN385">
        <v>11</v>
      </c>
      <c r="CO385">
        <v>1.1000000000000001</v>
      </c>
      <c r="CP385">
        <v>1</v>
      </c>
      <c r="CQ385">
        <v>1</v>
      </c>
      <c r="CR385">
        <v>2.2000000000000002</v>
      </c>
      <c r="CS385">
        <v>1</v>
      </c>
      <c r="CT385">
        <v>2</v>
      </c>
      <c r="CU385">
        <v>0</v>
      </c>
      <c r="CV385">
        <v>0</v>
      </c>
      <c r="CW385">
        <v>0</v>
      </c>
      <c r="CX385">
        <v>0</v>
      </c>
      <c r="CY385">
        <v>1</v>
      </c>
      <c r="CZ385">
        <v>2</v>
      </c>
    </row>
    <row r="386" spans="1:104" x14ac:dyDescent="0.25">
      <c r="A386" s="1" t="s">
        <v>2355</v>
      </c>
      <c r="B386">
        <v>9588</v>
      </c>
      <c r="C386">
        <v>9580</v>
      </c>
      <c r="D386" s="2">
        <v>43877</v>
      </c>
      <c r="E386" s="3">
        <f t="shared" si="15"/>
        <v>2020</v>
      </c>
      <c r="F386" s="3">
        <f t="shared" si="16"/>
        <v>2</v>
      </c>
      <c r="G386" s="3">
        <f t="shared" si="17"/>
        <v>1</v>
      </c>
      <c r="H386" t="s">
        <v>2356</v>
      </c>
      <c r="I386">
        <v>1266</v>
      </c>
      <c r="J386" t="s">
        <v>412</v>
      </c>
      <c r="K386" t="s">
        <v>380</v>
      </c>
      <c r="L386">
        <v>2019</v>
      </c>
      <c r="M386" t="s">
        <v>2357</v>
      </c>
      <c r="N386" t="s">
        <v>2356</v>
      </c>
      <c r="O386" t="s">
        <v>2358</v>
      </c>
      <c r="P386">
        <v>17341</v>
      </c>
      <c r="Q386" t="s">
        <v>380</v>
      </c>
      <c r="R386">
        <v>2013</v>
      </c>
      <c r="S386" t="s">
        <v>1575</v>
      </c>
      <c r="T386" t="s">
        <v>1578</v>
      </c>
      <c r="U386">
        <v>12200</v>
      </c>
      <c r="V386" t="s">
        <v>380</v>
      </c>
      <c r="W386">
        <v>1922</v>
      </c>
      <c r="X386" t="s">
        <v>125</v>
      </c>
      <c r="Z386">
        <v>-2.5</v>
      </c>
      <c r="AA386">
        <v>-2.5</v>
      </c>
      <c r="AB386">
        <v>10</v>
      </c>
      <c r="AC386">
        <v>45</v>
      </c>
      <c r="AD386">
        <v>45</v>
      </c>
      <c r="AE386">
        <v>33</v>
      </c>
      <c r="AF386">
        <v>67</v>
      </c>
      <c r="AG386">
        <v>27</v>
      </c>
      <c r="AH386">
        <v>73</v>
      </c>
      <c r="AI386">
        <v>42</v>
      </c>
      <c r="AJ386">
        <v>58</v>
      </c>
      <c r="AK386">
        <v>61</v>
      </c>
      <c r="AL386">
        <v>39</v>
      </c>
      <c r="AM386">
        <v>0</v>
      </c>
      <c r="AN386">
        <v>100</v>
      </c>
      <c r="AO386">
        <v>0</v>
      </c>
      <c r="AP386">
        <v>100</v>
      </c>
      <c r="AQ386">
        <v>27</v>
      </c>
      <c r="AR386">
        <v>43</v>
      </c>
      <c r="AS386">
        <v>0</v>
      </c>
      <c r="AT386">
        <v>53</v>
      </c>
      <c r="AU386">
        <v>100</v>
      </c>
      <c r="AV386">
        <v>29</v>
      </c>
      <c r="AW386">
        <v>3</v>
      </c>
      <c r="AX386">
        <v>0.6</v>
      </c>
      <c r="AY386">
        <v>7</v>
      </c>
      <c r="AZ386">
        <v>1.4</v>
      </c>
      <c r="BA386">
        <v>11</v>
      </c>
      <c r="BB386">
        <v>13</v>
      </c>
      <c r="BC386">
        <v>5</v>
      </c>
      <c r="BD386">
        <v>4</v>
      </c>
      <c r="BE386">
        <v>3</v>
      </c>
      <c r="BF386">
        <v>1</v>
      </c>
      <c r="BG386">
        <v>3</v>
      </c>
      <c r="BH386">
        <v>8</v>
      </c>
      <c r="BI386">
        <v>15</v>
      </c>
      <c r="BJ386">
        <v>13</v>
      </c>
      <c r="BK386">
        <v>12</v>
      </c>
      <c r="BL386">
        <v>24</v>
      </c>
      <c r="BM386">
        <v>1.4</v>
      </c>
      <c r="BN386">
        <v>1</v>
      </c>
      <c r="BO386">
        <v>1.1000000000000001</v>
      </c>
      <c r="BP386">
        <v>1.8</v>
      </c>
      <c r="BQ386">
        <v>1</v>
      </c>
      <c r="BR386">
        <v>1</v>
      </c>
      <c r="BS386">
        <v>0</v>
      </c>
      <c r="BT386">
        <v>0</v>
      </c>
      <c r="BU386">
        <v>0</v>
      </c>
      <c r="BV386">
        <v>0</v>
      </c>
      <c r="BW386">
        <v>1</v>
      </c>
      <c r="BX386">
        <v>1</v>
      </c>
      <c r="BY386">
        <v>8</v>
      </c>
      <c r="BZ386">
        <v>1.6</v>
      </c>
      <c r="CA386">
        <v>5</v>
      </c>
      <c r="CB386">
        <v>1</v>
      </c>
      <c r="CC386">
        <v>13</v>
      </c>
      <c r="CD386">
        <v>11</v>
      </c>
      <c r="CE386">
        <v>5</v>
      </c>
      <c r="CF386">
        <v>3</v>
      </c>
      <c r="CG386">
        <v>3</v>
      </c>
      <c r="CH386">
        <v>4</v>
      </c>
      <c r="CI386">
        <v>5</v>
      </c>
      <c r="CJ386">
        <v>4</v>
      </c>
      <c r="CK386">
        <v>13</v>
      </c>
      <c r="CL386">
        <v>12</v>
      </c>
      <c r="CM386">
        <v>14</v>
      </c>
      <c r="CN386">
        <v>21</v>
      </c>
      <c r="CO386">
        <v>1</v>
      </c>
      <c r="CP386">
        <v>1.1000000000000001</v>
      </c>
      <c r="CQ386">
        <v>1.1000000000000001</v>
      </c>
      <c r="CR386">
        <v>1.9</v>
      </c>
      <c r="CS386">
        <v>1</v>
      </c>
      <c r="CT386">
        <v>1</v>
      </c>
      <c r="CU386">
        <v>1</v>
      </c>
      <c r="CV386">
        <v>1</v>
      </c>
      <c r="CW386">
        <v>0</v>
      </c>
      <c r="CX386">
        <v>0</v>
      </c>
      <c r="CY386">
        <v>0</v>
      </c>
      <c r="CZ386">
        <v>0</v>
      </c>
    </row>
    <row r="387" spans="1:104" x14ac:dyDescent="0.25">
      <c r="A387" s="1" t="s">
        <v>2359</v>
      </c>
      <c r="B387">
        <v>4002</v>
      </c>
      <c r="C387">
        <v>3990</v>
      </c>
      <c r="D387" s="2">
        <v>43702</v>
      </c>
      <c r="E387" s="3">
        <f t="shared" ref="E387:E450" si="18">YEAR(D387)</f>
        <v>2019</v>
      </c>
      <c r="F387" s="3">
        <f t="shared" ref="F387:F450" si="19">MONTH(D387)</f>
        <v>8</v>
      </c>
      <c r="G387" s="3">
        <f t="shared" ref="G387:G450" si="20">WEEKDAY(D387)</f>
        <v>1</v>
      </c>
      <c r="H387" t="s">
        <v>2360</v>
      </c>
      <c r="I387">
        <v>518</v>
      </c>
      <c r="J387" t="s">
        <v>1905</v>
      </c>
      <c r="K387" t="s">
        <v>612</v>
      </c>
      <c r="L387">
        <v>2019</v>
      </c>
      <c r="M387" t="s">
        <v>1461</v>
      </c>
      <c r="Q387" t="s">
        <v>612</v>
      </c>
      <c r="S387" t="s">
        <v>2361</v>
      </c>
      <c r="T387" t="s">
        <v>2362</v>
      </c>
      <c r="U387">
        <v>5000</v>
      </c>
      <c r="V387" t="s">
        <v>612</v>
      </c>
      <c r="W387">
        <v>1993</v>
      </c>
      <c r="X387" t="s">
        <v>109</v>
      </c>
      <c r="Z387">
        <v>-2.5</v>
      </c>
      <c r="AA387">
        <v>-2.5</v>
      </c>
      <c r="AB387">
        <v>45</v>
      </c>
      <c r="AC387">
        <v>45</v>
      </c>
      <c r="AD387">
        <v>10</v>
      </c>
      <c r="AE387">
        <v>59</v>
      </c>
      <c r="AF387">
        <v>41</v>
      </c>
      <c r="AG387">
        <v>59</v>
      </c>
      <c r="AH387">
        <v>41</v>
      </c>
      <c r="AI387">
        <v>79</v>
      </c>
      <c r="AJ387">
        <v>21</v>
      </c>
      <c r="AK387">
        <v>68</v>
      </c>
      <c r="AL387">
        <v>32</v>
      </c>
      <c r="AM387">
        <v>33</v>
      </c>
      <c r="AN387">
        <v>67</v>
      </c>
      <c r="AO387">
        <v>40</v>
      </c>
      <c r="AP387">
        <v>60</v>
      </c>
      <c r="AQ387">
        <v>67</v>
      </c>
      <c r="AR387">
        <v>59</v>
      </c>
      <c r="AS387">
        <v>82</v>
      </c>
      <c r="AT387">
        <v>47</v>
      </c>
      <c r="AU387">
        <v>41</v>
      </c>
      <c r="AV387">
        <v>35</v>
      </c>
      <c r="AW387">
        <v>10</v>
      </c>
      <c r="AX387">
        <v>2</v>
      </c>
      <c r="AY387">
        <v>3</v>
      </c>
      <c r="AZ387">
        <v>0.6</v>
      </c>
      <c r="BA387">
        <v>11</v>
      </c>
      <c r="BB387">
        <v>14</v>
      </c>
      <c r="BC387">
        <v>5</v>
      </c>
      <c r="BD387">
        <v>8</v>
      </c>
      <c r="BE387">
        <v>3</v>
      </c>
      <c r="BF387">
        <v>3</v>
      </c>
      <c r="BG387">
        <v>3</v>
      </c>
      <c r="BH387">
        <v>3</v>
      </c>
      <c r="BI387">
        <v>20</v>
      </c>
      <c r="BJ387">
        <v>25</v>
      </c>
      <c r="BK387">
        <v>9</v>
      </c>
      <c r="BL387">
        <v>13</v>
      </c>
      <c r="BM387">
        <v>1.8</v>
      </c>
      <c r="BN387">
        <v>1.8</v>
      </c>
      <c r="BO387">
        <v>0.8</v>
      </c>
      <c r="BP387">
        <v>0.9</v>
      </c>
      <c r="BQ387">
        <v>4</v>
      </c>
      <c r="BR387">
        <v>2</v>
      </c>
      <c r="BS387">
        <v>2</v>
      </c>
      <c r="BT387">
        <v>0</v>
      </c>
      <c r="BU387">
        <v>2</v>
      </c>
      <c r="BV387">
        <v>1</v>
      </c>
      <c r="BW387">
        <v>0</v>
      </c>
      <c r="BX387">
        <v>1</v>
      </c>
      <c r="BY387">
        <v>7</v>
      </c>
      <c r="BZ387">
        <v>1.4</v>
      </c>
      <c r="CA387">
        <v>11</v>
      </c>
      <c r="CB387">
        <v>2.2000000000000002</v>
      </c>
      <c r="CC387">
        <v>12</v>
      </c>
      <c r="CD387">
        <v>10</v>
      </c>
      <c r="CE387">
        <v>4</v>
      </c>
      <c r="CF387">
        <v>3</v>
      </c>
      <c r="CG387">
        <v>6</v>
      </c>
      <c r="CH387">
        <v>3</v>
      </c>
      <c r="CI387">
        <v>2</v>
      </c>
      <c r="CJ387">
        <v>4</v>
      </c>
      <c r="CK387">
        <v>17</v>
      </c>
      <c r="CL387">
        <v>13</v>
      </c>
      <c r="CM387">
        <v>16</v>
      </c>
      <c r="CN387">
        <v>17</v>
      </c>
      <c r="CO387">
        <v>1.4</v>
      </c>
      <c r="CP387">
        <v>1.3</v>
      </c>
      <c r="CQ387">
        <v>1.3</v>
      </c>
      <c r="CR387">
        <v>1.7</v>
      </c>
      <c r="CS387">
        <v>2</v>
      </c>
      <c r="CT387">
        <v>4</v>
      </c>
      <c r="CU387">
        <v>1</v>
      </c>
      <c r="CV387">
        <v>0</v>
      </c>
      <c r="CW387">
        <v>1</v>
      </c>
      <c r="CX387">
        <v>2</v>
      </c>
      <c r="CY387">
        <v>0</v>
      </c>
      <c r="CZ387">
        <v>2</v>
      </c>
    </row>
    <row r="388" spans="1:104" x14ac:dyDescent="0.25">
      <c r="A388" s="1" t="s">
        <v>2363</v>
      </c>
      <c r="B388">
        <v>500</v>
      </c>
      <c r="C388">
        <v>505</v>
      </c>
      <c r="D388" s="2">
        <v>43771</v>
      </c>
      <c r="E388" s="3">
        <f t="shared" si="18"/>
        <v>2019</v>
      </c>
      <c r="F388" s="3">
        <f t="shared" si="19"/>
        <v>11</v>
      </c>
      <c r="G388" s="3">
        <f t="shared" si="20"/>
        <v>7</v>
      </c>
      <c r="H388" t="s">
        <v>2364</v>
      </c>
      <c r="I388">
        <v>891</v>
      </c>
      <c r="J388" t="s">
        <v>648</v>
      </c>
      <c r="K388" t="s">
        <v>338</v>
      </c>
      <c r="L388">
        <v>2019</v>
      </c>
      <c r="M388" t="s">
        <v>780</v>
      </c>
      <c r="N388" t="s">
        <v>2364</v>
      </c>
      <c r="O388" t="s">
        <v>2365</v>
      </c>
      <c r="P388">
        <v>39279</v>
      </c>
      <c r="Q388" t="s">
        <v>338</v>
      </c>
      <c r="R388">
        <v>1909</v>
      </c>
      <c r="S388" t="s">
        <v>2366</v>
      </c>
      <c r="T388" t="s">
        <v>2367</v>
      </c>
      <c r="U388">
        <v>80018</v>
      </c>
      <c r="V388" t="s">
        <v>338</v>
      </c>
      <c r="W388">
        <v>1908</v>
      </c>
      <c r="X388" t="s">
        <v>125</v>
      </c>
      <c r="Z388">
        <v>-2.5</v>
      </c>
      <c r="AA388">
        <v>-3.5</v>
      </c>
      <c r="AB388">
        <v>10</v>
      </c>
      <c r="AC388">
        <v>45</v>
      </c>
      <c r="AD388">
        <v>45</v>
      </c>
      <c r="AE388">
        <v>29</v>
      </c>
      <c r="AF388">
        <v>71</v>
      </c>
      <c r="AG388">
        <v>37</v>
      </c>
      <c r="AH388">
        <v>63</v>
      </c>
      <c r="AI388">
        <v>50</v>
      </c>
      <c r="AJ388">
        <v>50</v>
      </c>
      <c r="AK388">
        <v>32</v>
      </c>
      <c r="AL388">
        <v>68</v>
      </c>
      <c r="AM388">
        <v>29</v>
      </c>
      <c r="AN388">
        <v>71</v>
      </c>
      <c r="AO388">
        <v>30</v>
      </c>
      <c r="AP388">
        <v>70</v>
      </c>
      <c r="AQ388">
        <v>27</v>
      </c>
      <c r="AR388">
        <v>44</v>
      </c>
      <c r="AS388">
        <v>44</v>
      </c>
      <c r="AT388">
        <v>67</v>
      </c>
      <c r="AU388">
        <v>75</v>
      </c>
      <c r="AV388">
        <v>44</v>
      </c>
      <c r="AW388">
        <v>7</v>
      </c>
      <c r="AX388">
        <v>1.4</v>
      </c>
      <c r="AY388">
        <v>9</v>
      </c>
      <c r="AZ388">
        <v>1.8</v>
      </c>
      <c r="BA388">
        <v>4</v>
      </c>
      <c r="BB388">
        <v>6</v>
      </c>
      <c r="BC388">
        <v>2</v>
      </c>
      <c r="BD388">
        <v>1</v>
      </c>
      <c r="BE388">
        <v>1</v>
      </c>
      <c r="BF388">
        <v>2</v>
      </c>
      <c r="BG388">
        <v>1</v>
      </c>
      <c r="BH388">
        <v>3</v>
      </c>
      <c r="BI388">
        <v>6</v>
      </c>
      <c r="BJ388">
        <v>8</v>
      </c>
      <c r="BK388">
        <v>5</v>
      </c>
      <c r="BL388">
        <v>10</v>
      </c>
      <c r="BM388">
        <v>1.5</v>
      </c>
      <c r="BN388">
        <v>1.3</v>
      </c>
      <c r="BO388">
        <v>1.3</v>
      </c>
      <c r="BP388">
        <v>1.7</v>
      </c>
      <c r="BQ388">
        <v>9</v>
      </c>
      <c r="BR388">
        <v>10</v>
      </c>
      <c r="BS388">
        <v>0</v>
      </c>
      <c r="BT388">
        <v>4</v>
      </c>
      <c r="BU388">
        <v>3</v>
      </c>
      <c r="BV388">
        <v>2</v>
      </c>
      <c r="BW388">
        <v>6</v>
      </c>
      <c r="BX388">
        <v>4</v>
      </c>
      <c r="BY388">
        <v>12</v>
      </c>
      <c r="BZ388">
        <v>2.4</v>
      </c>
      <c r="CA388">
        <v>9</v>
      </c>
      <c r="CB388">
        <v>1.8</v>
      </c>
      <c r="CC388">
        <v>5</v>
      </c>
      <c r="CD388">
        <v>5</v>
      </c>
      <c r="CE388">
        <v>3</v>
      </c>
      <c r="CF388">
        <v>5</v>
      </c>
      <c r="CG388">
        <v>1</v>
      </c>
      <c r="CH388">
        <v>0</v>
      </c>
      <c r="CI388">
        <v>1</v>
      </c>
      <c r="CJ388">
        <v>0</v>
      </c>
      <c r="CK388">
        <v>9</v>
      </c>
      <c r="CL388">
        <v>13</v>
      </c>
      <c r="CM388">
        <v>4</v>
      </c>
      <c r="CN388">
        <v>6</v>
      </c>
      <c r="CO388">
        <v>1.8</v>
      </c>
      <c r="CP388">
        <v>2.6</v>
      </c>
      <c r="CQ388">
        <v>0.8</v>
      </c>
      <c r="CR388">
        <v>1.2</v>
      </c>
      <c r="CS388">
        <v>10</v>
      </c>
      <c r="CT388">
        <v>9</v>
      </c>
      <c r="CU388">
        <v>4</v>
      </c>
      <c r="CV388">
        <v>6</v>
      </c>
      <c r="CW388">
        <v>2</v>
      </c>
      <c r="CX388">
        <v>3</v>
      </c>
      <c r="CY388">
        <v>4</v>
      </c>
      <c r="CZ388">
        <v>0</v>
      </c>
    </row>
    <row r="389" spans="1:104" x14ac:dyDescent="0.25">
      <c r="A389" s="1" t="s">
        <v>2368</v>
      </c>
      <c r="B389">
        <v>2298</v>
      </c>
      <c r="C389">
        <v>2294</v>
      </c>
      <c r="D389" s="2">
        <v>43731</v>
      </c>
      <c r="E389" s="3">
        <f t="shared" si="18"/>
        <v>2019</v>
      </c>
      <c r="F389" s="3">
        <f t="shared" si="19"/>
        <v>9</v>
      </c>
      <c r="G389" s="3">
        <f t="shared" si="20"/>
        <v>2</v>
      </c>
      <c r="H389" t="s">
        <v>2369</v>
      </c>
      <c r="I389">
        <v>584</v>
      </c>
      <c r="J389" t="s">
        <v>1379</v>
      </c>
      <c r="K389" t="s">
        <v>1380</v>
      </c>
      <c r="L389">
        <v>2019</v>
      </c>
      <c r="M389" t="s">
        <v>2370</v>
      </c>
      <c r="Q389" t="s">
        <v>1380</v>
      </c>
      <c r="R389">
        <v>2015</v>
      </c>
      <c r="S389" t="s">
        <v>2371</v>
      </c>
      <c r="T389" t="s">
        <v>2372</v>
      </c>
      <c r="U389">
        <v>26316</v>
      </c>
      <c r="V389" t="s">
        <v>1380</v>
      </c>
      <c r="W389">
        <v>1943</v>
      </c>
      <c r="X389" t="s">
        <v>109</v>
      </c>
      <c r="Z389">
        <v>-2.5</v>
      </c>
      <c r="AA389">
        <v>-1.5</v>
      </c>
      <c r="AB389">
        <v>45</v>
      </c>
      <c r="AC389">
        <v>45</v>
      </c>
      <c r="AD389">
        <v>10</v>
      </c>
      <c r="AE389">
        <v>75</v>
      </c>
      <c r="AF389">
        <v>25</v>
      </c>
      <c r="AG389">
        <v>75</v>
      </c>
      <c r="AH389">
        <v>25</v>
      </c>
      <c r="AI389">
        <v>53</v>
      </c>
      <c r="AJ389">
        <v>47</v>
      </c>
      <c r="AK389">
        <v>100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20</v>
      </c>
      <c r="AR389">
        <v>14</v>
      </c>
      <c r="AS389">
        <v>59</v>
      </c>
      <c r="AT389">
        <v>7</v>
      </c>
      <c r="AU389">
        <v>5</v>
      </c>
      <c r="AV389">
        <v>55</v>
      </c>
      <c r="AW389">
        <v>3</v>
      </c>
      <c r="AX389">
        <v>0.6</v>
      </c>
      <c r="AY389">
        <v>9</v>
      </c>
      <c r="AZ389">
        <v>1.8</v>
      </c>
      <c r="BA389">
        <v>3</v>
      </c>
      <c r="BB389">
        <v>5</v>
      </c>
      <c r="BC389">
        <v>2</v>
      </c>
      <c r="BD389">
        <v>0</v>
      </c>
      <c r="BE389">
        <v>0</v>
      </c>
      <c r="BF389">
        <v>0</v>
      </c>
      <c r="BG389">
        <v>1</v>
      </c>
      <c r="BH389">
        <v>5</v>
      </c>
      <c r="BI389">
        <v>3</v>
      </c>
      <c r="BJ389">
        <v>2</v>
      </c>
      <c r="BK389">
        <v>2</v>
      </c>
      <c r="BL389">
        <v>11</v>
      </c>
      <c r="BM389">
        <v>1</v>
      </c>
      <c r="BN389">
        <v>0.4</v>
      </c>
      <c r="BO389">
        <v>0.7</v>
      </c>
      <c r="BP389">
        <v>2.2000000000000002</v>
      </c>
      <c r="BQ389">
        <v>1</v>
      </c>
      <c r="BR389">
        <v>0</v>
      </c>
      <c r="BS389">
        <v>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</v>
      </c>
      <c r="BZ389">
        <v>0.2</v>
      </c>
      <c r="CA389">
        <v>10</v>
      </c>
      <c r="CB389">
        <v>2</v>
      </c>
      <c r="CC389">
        <v>5</v>
      </c>
      <c r="CD389">
        <v>3</v>
      </c>
      <c r="CE389">
        <v>0</v>
      </c>
      <c r="CF389">
        <v>0</v>
      </c>
      <c r="CG389">
        <v>2</v>
      </c>
      <c r="CH389">
        <v>0</v>
      </c>
      <c r="CI389">
        <v>3</v>
      </c>
      <c r="CJ389">
        <v>3</v>
      </c>
      <c r="CK389">
        <v>5</v>
      </c>
      <c r="CL389">
        <v>0</v>
      </c>
      <c r="CM389">
        <v>12</v>
      </c>
      <c r="CN389">
        <v>10</v>
      </c>
      <c r="CO389">
        <v>1</v>
      </c>
      <c r="CP389">
        <v>0</v>
      </c>
      <c r="CQ389">
        <v>2.4</v>
      </c>
      <c r="CR389">
        <v>3.3</v>
      </c>
      <c r="CS389">
        <v>0</v>
      </c>
      <c r="CT389">
        <v>1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1</v>
      </c>
    </row>
    <row r="390" spans="1:104" x14ac:dyDescent="0.25">
      <c r="A390" s="1" t="s">
        <v>2373</v>
      </c>
      <c r="B390">
        <v>9388</v>
      </c>
      <c r="C390">
        <v>5279</v>
      </c>
      <c r="D390" s="2">
        <v>43897</v>
      </c>
      <c r="E390" s="3">
        <f t="shared" si="18"/>
        <v>2020</v>
      </c>
      <c r="F390" s="3">
        <f t="shared" si="19"/>
        <v>3</v>
      </c>
      <c r="G390" s="3">
        <f t="shared" si="20"/>
        <v>7</v>
      </c>
      <c r="H390" t="s">
        <v>2374</v>
      </c>
      <c r="I390">
        <v>1266</v>
      </c>
      <c r="J390" t="s">
        <v>412</v>
      </c>
      <c r="K390" t="s">
        <v>380</v>
      </c>
      <c r="L390">
        <v>2019</v>
      </c>
      <c r="M390" t="s">
        <v>2375</v>
      </c>
      <c r="N390" t="s">
        <v>2374</v>
      </c>
      <c r="O390" t="s">
        <v>2376</v>
      </c>
      <c r="P390">
        <v>1700</v>
      </c>
      <c r="Q390" t="s">
        <v>380</v>
      </c>
      <c r="R390">
        <v>1974</v>
      </c>
      <c r="S390" t="s">
        <v>2377</v>
      </c>
      <c r="T390" t="s">
        <v>2378</v>
      </c>
      <c r="U390">
        <v>11000</v>
      </c>
      <c r="V390" t="s">
        <v>380</v>
      </c>
      <c r="W390">
        <v>1935</v>
      </c>
      <c r="X390" t="s">
        <v>109</v>
      </c>
      <c r="Z390">
        <v>-2.5</v>
      </c>
      <c r="AA390">
        <v>-1.5</v>
      </c>
      <c r="AB390">
        <v>45</v>
      </c>
      <c r="AC390">
        <v>45</v>
      </c>
      <c r="AD390">
        <v>10</v>
      </c>
      <c r="AE390">
        <v>71</v>
      </c>
      <c r="AF390">
        <v>29</v>
      </c>
      <c r="AG390">
        <v>58</v>
      </c>
      <c r="AH390">
        <v>42</v>
      </c>
      <c r="AI390">
        <v>67</v>
      </c>
      <c r="AJ390">
        <v>33</v>
      </c>
      <c r="AK390">
        <v>83</v>
      </c>
      <c r="AL390">
        <v>17</v>
      </c>
      <c r="AM390">
        <v>50</v>
      </c>
      <c r="AN390">
        <v>50</v>
      </c>
      <c r="AO390">
        <v>50</v>
      </c>
      <c r="AP390">
        <v>50</v>
      </c>
      <c r="AQ390">
        <v>67</v>
      </c>
      <c r="AR390">
        <v>70</v>
      </c>
      <c r="AS390">
        <v>60</v>
      </c>
      <c r="AT390">
        <v>27</v>
      </c>
      <c r="AU390">
        <v>50</v>
      </c>
      <c r="AV390">
        <v>20</v>
      </c>
      <c r="AW390">
        <v>7</v>
      </c>
      <c r="AX390">
        <v>1.4</v>
      </c>
      <c r="AY390">
        <v>4</v>
      </c>
      <c r="AZ390">
        <v>0.8</v>
      </c>
      <c r="BA390">
        <v>13</v>
      </c>
      <c r="BB390">
        <v>14</v>
      </c>
      <c r="BC390">
        <v>7</v>
      </c>
      <c r="BD390">
        <v>3</v>
      </c>
      <c r="BE390">
        <v>2</v>
      </c>
      <c r="BF390">
        <v>4</v>
      </c>
      <c r="BG390">
        <v>4</v>
      </c>
      <c r="BH390">
        <v>7</v>
      </c>
      <c r="BI390">
        <v>20</v>
      </c>
      <c r="BJ390">
        <v>10</v>
      </c>
      <c r="BK390">
        <v>8</v>
      </c>
      <c r="BL390">
        <v>18</v>
      </c>
      <c r="BM390">
        <v>1.5</v>
      </c>
      <c r="BN390">
        <v>0.7</v>
      </c>
      <c r="BO390">
        <v>0.6</v>
      </c>
      <c r="BP390">
        <v>1.3</v>
      </c>
      <c r="BQ390">
        <v>1</v>
      </c>
      <c r="BR390">
        <v>1</v>
      </c>
      <c r="BS390">
        <v>0</v>
      </c>
      <c r="BT390">
        <v>0</v>
      </c>
      <c r="BU390">
        <v>1</v>
      </c>
      <c r="BV390">
        <v>1</v>
      </c>
      <c r="BW390">
        <v>0</v>
      </c>
      <c r="BX390">
        <v>0</v>
      </c>
      <c r="BY390">
        <v>5</v>
      </c>
      <c r="BZ390">
        <v>1</v>
      </c>
      <c r="CA390">
        <v>8</v>
      </c>
      <c r="CB390">
        <v>1.6</v>
      </c>
      <c r="CC390">
        <v>14</v>
      </c>
      <c r="CD390">
        <v>13</v>
      </c>
      <c r="CE390">
        <v>3</v>
      </c>
      <c r="CF390">
        <v>1</v>
      </c>
      <c r="CG390">
        <v>7</v>
      </c>
      <c r="CH390">
        <v>4</v>
      </c>
      <c r="CI390">
        <v>4</v>
      </c>
      <c r="CJ390">
        <v>8</v>
      </c>
      <c r="CK390">
        <v>17</v>
      </c>
      <c r="CL390">
        <v>9</v>
      </c>
      <c r="CM390">
        <v>19</v>
      </c>
      <c r="CN390">
        <v>25</v>
      </c>
      <c r="CO390">
        <v>1.2</v>
      </c>
      <c r="CP390">
        <v>0.7</v>
      </c>
      <c r="CQ390">
        <v>1.4</v>
      </c>
      <c r="CR390">
        <v>1.9</v>
      </c>
      <c r="CS390">
        <v>1</v>
      </c>
      <c r="CT390">
        <v>1</v>
      </c>
      <c r="CU390">
        <v>0</v>
      </c>
      <c r="CV390">
        <v>0</v>
      </c>
      <c r="CW390">
        <v>1</v>
      </c>
      <c r="CX390">
        <v>1</v>
      </c>
      <c r="CY390">
        <v>0</v>
      </c>
      <c r="CZ390">
        <v>0</v>
      </c>
    </row>
    <row r="391" spans="1:104" x14ac:dyDescent="0.25">
      <c r="A391" s="1" t="s">
        <v>2379</v>
      </c>
      <c r="B391">
        <v>1159</v>
      </c>
      <c r="C391">
        <v>1152</v>
      </c>
      <c r="D391" s="2">
        <v>43736</v>
      </c>
      <c r="E391" s="3">
        <f t="shared" si="18"/>
        <v>2019</v>
      </c>
      <c r="F391" s="3">
        <f t="shared" si="19"/>
        <v>9</v>
      </c>
      <c r="G391" s="3">
        <f t="shared" si="20"/>
        <v>7</v>
      </c>
      <c r="H391" t="s">
        <v>2380</v>
      </c>
      <c r="I391">
        <v>292</v>
      </c>
      <c r="J391" t="s">
        <v>648</v>
      </c>
      <c r="K391" t="s">
        <v>649</v>
      </c>
      <c r="L391">
        <v>2019</v>
      </c>
      <c r="M391" t="s">
        <v>339</v>
      </c>
      <c r="N391" t="s">
        <v>2381</v>
      </c>
      <c r="O391" t="s">
        <v>652</v>
      </c>
      <c r="P391">
        <v>10152</v>
      </c>
      <c r="Q391" t="s">
        <v>649</v>
      </c>
      <c r="R391">
        <v>2007</v>
      </c>
      <c r="S391" t="s">
        <v>2382</v>
      </c>
      <c r="T391" t="s">
        <v>652</v>
      </c>
      <c r="U391">
        <v>57267</v>
      </c>
      <c r="V391" t="s">
        <v>649</v>
      </c>
      <c r="W391">
        <v>1925</v>
      </c>
      <c r="X391" t="s">
        <v>125</v>
      </c>
      <c r="Z391">
        <v>-2.5</v>
      </c>
      <c r="AA391">
        <v>-2.5</v>
      </c>
      <c r="AB391">
        <v>10</v>
      </c>
      <c r="AC391">
        <v>45</v>
      </c>
      <c r="AD391">
        <v>45</v>
      </c>
      <c r="AE391">
        <v>41</v>
      </c>
      <c r="AF391">
        <v>59</v>
      </c>
      <c r="AG391">
        <v>55</v>
      </c>
      <c r="AH391">
        <v>45</v>
      </c>
      <c r="AI391">
        <v>29</v>
      </c>
      <c r="AJ391">
        <v>71</v>
      </c>
      <c r="AK391">
        <v>57</v>
      </c>
      <c r="AL391">
        <v>43</v>
      </c>
      <c r="AM391">
        <v>29</v>
      </c>
      <c r="AN391">
        <v>71</v>
      </c>
      <c r="AO391">
        <v>33</v>
      </c>
      <c r="AP391">
        <v>67</v>
      </c>
      <c r="AQ391">
        <v>47</v>
      </c>
      <c r="AR391">
        <v>100</v>
      </c>
      <c r="AS391">
        <v>0</v>
      </c>
      <c r="AT391">
        <v>67</v>
      </c>
      <c r="AU391">
        <v>90</v>
      </c>
      <c r="AV391">
        <v>50</v>
      </c>
      <c r="AW391">
        <v>11</v>
      </c>
      <c r="AX391">
        <v>2.2000000000000002</v>
      </c>
      <c r="AY391">
        <v>12</v>
      </c>
      <c r="AZ391">
        <v>2.4</v>
      </c>
      <c r="BA391">
        <v>12</v>
      </c>
      <c r="BB391">
        <v>14</v>
      </c>
      <c r="BC391">
        <v>6</v>
      </c>
      <c r="BD391">
        <v>2</v>
      </c>
      <c r="BE391">
        <v>4</v>
      </c>
      <c r="BF391">
        <v>3</v>
      </c>
      <c r="BG391">
        <v>2</v>
      </c>
      <c r="BH391">
        <v>9</v>
      </c>
      <c r="BI391">
        <v>19</v>
      </c>
      <c r="BJ391">
        <v>13</v>
      </c>
      <c r="BK391">
        <v>12</v>
      </c>
      <c r="BL391">
        <v>27</v>
      </c>
      <c r="BM391">
        <v>1.6</v>
      </c>
      <c r="BN391">
        <v>0.9</v>
      </c>
      <c r="BO391">
        <v>1</v>
      </c>
      <c r="BP391">
        <v>1.9</v>
      </c>
      <c r="BQ391">
        <v>5</v>
      </c>
      <c r="BR391">
        <v>5</v>
      </c>
      <c r="BS391">
        <v>1</v>
      </c>
      <c r="BT391">
        <v>1</v>
      </c>
      <c r="BU391">
        <v>1</v>
      </c>
      <c r="BV391">
        <v>1</v>
      </c>
      <c r="BW391">
        <v>3</v>
      </c>
      <c r="BX391">
        <v>3</v>
      </c>
      <c r="BY391">
        <v>9</v>
      </c>
      <c r="BZ391">
        <v>1.8</v>
      </c>
      <c r="CA391">
        <v>5</v>
      </c>
      <c r="CB391">
        <v>1</v>
      </c>
      <c r="CC391">
        <v>13</v>
      </c>
      <c r="CD391">
        <v>13</v>
      </c>
      <c r="CE391">
        <v>10</v>
      </c>
      <c r="CF391">
        <v>5</v>
      </c>
      <c r="CG391">
        <v>1</v>
      </c>
      <c r="CH391">
        <v>3</v>
      </c>
      <c r="CI391">
        <v>2</v>
      </c>
      <c r="CJ391">
        <v>5</v>
      </c>
      <c r="CK391">
        <v>34</v>
      </c>
      <c r="CL391">
        <v>18</v>
      </c>
      <c r="CM391">
        <v>13</v>
      </c>
      <c r="CN391">
        <v>20</v>
      </c>
      <c r="CO391">
        <v>2.6</v>
      </c>
      <c r="CP391">
        <v>1.4</v>
      </c>
      <c r="CQ391">
        <v>1</v>
      </c>
      <c r="CR391">
        <v>1.5</v>
      </c>
      <c r="CS391">
        <v>5</v>
      </c>
      <c r="CT391">
        <v>5</v>
      </c>
      <c r="CU391">
        <v>3</v>
      </c>
      <c r="CV391">
        <v>3</v>
      </c>
      <c r="CW391">
        <v>1</v>
      </c>
      <c r="CX391">
        <v>1</v>
      </c>
      <c r="CY391">
        <v>1</v>
      </c>
      <c r="CZ391">
        <v>1</v>
      </c>
    </row>
    <row r="392" spans="1:104" x14ac:dyDescent="0.25">
      <c r="A392" s="1" t="s">
        <v>2383</v>
      </c>
      <c r="B392">
        <v>1380</v>
      </c>
      <c r="C392">
        <v>1367</v>
      </c>
      <c r="D392" s="2">
        <v>43725</v>
      </c>
      <c r="E392" s="3">
        <f t="shared" si="18"/>
        <v>2019</v>
      </c>
      <c r="F392" s="3">
        <f t="shared" si="19"/>
        <v>9</v>
      </c>
      <c r="G392" s="3">
        <f t="shared" si="20"/>
        <v>3</v>
      </c>
      <c r="H392" t="s">
        <v>2384</v>
      </c>
      <c r="I392">
        <v>582</v>
      </c>
      <c r="J392" t="s">
        <v>248</v>
      </c>
      <c r="K392" t="s">
        <v>241</v>
      </c>
      <c r="L392">
        <v>2019</v>
      </c>
      <c r="M392" t="s">
        <v>168</v>
      </c>
      <c r="N392" t="s">
        <v>2384</v>
      </c>
      <c r="O392" t="s">
        <v>2385</v>
      </c>
      <c r="P392">
        <v>6355</v>
      </c>
      <c r="Q392" t="s">
        <v>241</v>
      </c>
      <c r="R392">
        <v>1874</v>
      </c>
      <c r="S392" t="s">
        <v>2386</v>
      </c>
      <c r="T392" t="s">
        <v>2387</v>
      </c>
      <c r="U392">
        <v>11676</v>
      </c>
      <c r="V392" t="s">
        <v>931</v>
      </c>
      <c r="W392">
        <v>1912</v>
      </c>
      <c r="X392" t="s">
        <v>125</v>
      </c>
      <c r="Y392">
        <v>-3.5</v>
      </c>
      <c r="Z392">
        <v>-1.5</v>
      </c>
      <c r="AA392">
        <v>-1.5</v>
      </c>
      <c r="AB392">
        <v>10</v>
      </c>
      <c r="AC392">
        <v>45</v>
      </c>
      <c r="AD392">
        <v>45</v>
      </c>
      <c r="AE392">
        <v>33</v>
      </c>
      <c r="AF392">
        <v>67</v>
      </c>
      <c r="AG392">
        <v>50</v>
      </c>
      <c r="AH392">
        <v>50</v>
      </c>
      <c r="AI392">
        <v>22</v>
      </c>
      <c r="AJ392">
        <v>78</v>
      </c>
      <c r="AK392">
        <v>68</v>
      </c>
      <c r="AL392">
        <v>32</v>
      </c>
      <c r="AM392">
        <v>33</v>
      </c>
      <c r="AN392">
        <v>67</v>
      </c>
      <c r="AO392">
        <v>38</v>
      </c>
      <c r="AP392">
        <v>62</v>
      </c>
      <c r="AQ392">
        <v>33</v>
      </c>
      <c r="AR392">
        <v>27</v>
      </c>
      <c r="AS392">
        <v>53</v>
      </c>
      <c r="AT392">
        <v>67</v>
      </c>
      <c r="AU392">
        <v>27</v>
      </c>
      <c r="AV392">
        <v>87</v>
      </c>
      <c r="AW392">
        <v>4</v>
      </c>
      <c r="AX392">
        <v>0.8</v>
      </c>
      <c r="AY392">
        <v>7</v>
      </c>
      <c r="AZ392">
        <v>1.4</v>
      </c>
      <c r="BA392">
        <v>4</v>
      </c>
      <c r="BB392">
        <v>4</v>
      </c>
      <c r="BC392">
        <v>2</v>
      </c>
      <c r="BD392">
        <v>1</v>
      </c>
      <c r="BE392">
        <v>1</v>
      </c>
      <c r="BF392">
        <v>1</v>
      </c>
      <c r="BG392">
        <v>1</v>
      </c>
      <c r="BH392">
        <v>2</v>
      </c>
      <c r="BI392">
        <v>5</v>
      </c>
      <c r="BJ392">
        <v>4</v>
      </c>
      <c r="BK392">
        <v>2</v>
      </c>
      <c r="BL392">
        <v>7</v>
      </c>
      <c r="BM392">
        <v>1.3</v>
      </c>
      <c r="BN392">
        <v>1</v>
      </c>
      <c r="BO392">
        <v>0.5</v>
      </c>
      <c r="BP392">
        <v>1.8</v>
      </c>
      <c r="BQ392">
        <v>3</v>
      </c>
      <c r="BR392">
        <v>3</v>
      </c>
      <c r="BS392">
        <v>0</v>
      </c>
      <c r="BT392">
        <v>0</v>
      </c>
      <c r="BU392">
        <v>3</v>
      </c>
      <c r="BV392">
        <v>1</v>
      </c>
      <c r="BW392">
        <v>0</v>
      </c>
      <c r="BX392">
        <v>2</v>
      </c>
      <c r="BY392">
        <v>4</v>
      </c>
      <c r="BZ392">
        <v>0.8</v>
      </c>
      <c r="CA392">
        <v>2</v>
      </c>
      <c r="CB392">
        <v>0.4</v>
      </c>
      <c r="CC392">
        <v>4</v>
      </c>
      <c r="CD392">
        <v>4</v>
      </c>
      <c r="CE392">
        <v>3</v>
      </c>
      <c r="CF392">
        <v>1</v>
      </c>
      <c r="CG392">
        <v>1</v>
      </c>
      <c r="CH392">
        <v>2</v>
      </c>
      <c r="CI392">
        <v>0</v>
      </c>
      <c r="CJ392">
        <v>1</v>
      </c>
      <c r="CK392">
        <v>5</v>
      </c>
      <c r="CL392">
        <v>2</v>
      </c>
      <c r="CM392">
        <v>2</v>
      </c>
      <c r="CN392">
        <v>2</v>
      </c>
      <c r="CO392">
        <v>1.3</v>
      </c>
      <c r="CP392">
        <v>0.5</v>
      </c>
      <c r="CQ392">
        <v>0.5</v>
      </c>
      <c r="CR392">
        <v>0.5</v>
      </c>
      <c r="CS392">
        <v>3</v>
      </c>
      <c r="CT392">
        <v>3</v>
      </c>
      <c r="CU392">
        <v>2</v>
      </c>
      <c r="CV392">
        <v>0</v>
      </c>
      <c r="CW392">
        <v>1</v>
      </c>
      <c r="CX392">
        <v>3</v>
      </c>
      <c r="CY392">
        <v>0</v>
      </c>
      <c r="CZ392">
        <v>0</v>
      </c>
    </row>
    <row r="393" spans="1:104" x14ac:dyDescent="0.25">
      <c r="A393" s="1" t="s">
        <v>2388</v>
      </c>
      <c r="B393">
        <v>513</v>
      </c>
      <c r="C393">
        <v>6379</v>
      </c>
      <c r="D393" s="2">
        <v>43715</v>
      </c>
      <c r="E393" s="3">
        <f t="shared" si="18"/>
        <v>2019</v>
      </c>
      <c r="F393" s="3">
        <f t="shared" si="19"/>
        <v>9</v>
      </c>
      <c r="G393" s="3">
        <f t="shared" si="20"/>
        <v>7</v>
      </c>
      <c r="H393" t="s">
        <v>2389</v>
      </c>
      <c r="I393">
        <v>922</v>
      </c>
      <c r="J393" t="s">
        <v>2011</v>
      </c>
      <c r="K393" t="s">
        <v>338</v>
      </c>
      <c r="L393">
        <v>2019</v>
      </c>
      <c r="M393" t="s">
        <v>2103</v>
      </c>
      <c r="N393" t="s">
        <v>2389</v>
      </c>
      <c r="O393" t="s">
        <v>2390</v>
      </c>
      <c r="P393">
        <v>17875</v>
      </c>
      <c r="Q393" t="s">
        <v>338</v>
      </c>
      <c r="R393">
        <v>1908</v>
      </c>
      <c r="S393" t="s">
        <v>2391</v>
      </c>
      <c r="T393" t="s">
        <v>2392</v>
      </c>
      <c r="U393">
        <v>4997</v>
      </c>
      <c r="V393" t="s">
        <v>338</v>
      </c>
      <c r="W393">
        <v>1912</v>
      </c>
      <c r="X393" t="s">
        <v>109</v>
      </c>
      <c r="Z393">
        <v>-3.5</v>
      </c>
      <c r="AA393">
        <v>-2.5</v>
      </c>
      <c r="AB393">
        <v>45</v>
      </c>
      <c r="AC393">
        <v>45</v>
      </c>
      <c r="AD393">
        <v>10</v>
      </c>
      <c r="AE393">
        <v>50</v>
      </c>
      <c r="AF393">
        <v>50</v>
      </c>
      <c r="AG393">
        <v>40</v>
      </c>
      <c r="AH393">
        <v>60</v>
      </c>
      <c r="AI393">
        <v>60</v>
      </c>
      <c r="AJ393">
        <v>40</v>
      </c>
      <c r="AK393">
        <v>100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50</v>
      </c>
      <c r="AR393">
        <v>14</v>
      </c>
      <c r="AS393">
        <v>86</v>
      </c>
      <c r="AT393">
        <v>50</v>
      </c>
      <c r="AU393">
        <v>21</v>
      </c>
      <c r="AV393">
        <v>79</v>
      </c>
      <c r="AW393">
        <v>2</v>
      </c>
      <c r="AX393">
        <v>1</v>
      </c>
      <c r="AY393">
        <v>2</v>
      </c>
      <c r="AZ393">
        <v>1</v>
      </c>
      <c r="BA393">
        <v>1</v>
      </c>
      <c r="BB393">
        <v>1</v>
      </c>
      <c r="BC393">
        <v>1</v>
      </c>
      <c r="BD393">
        <v>0</v>
      </c>
      <c r="BE393">
        <v>0</v>
      </c>
      <c r="BF393">
        <v>0</v>
      </c>
      <c r="BG393">
        <v>0</v>
      </c>
      <c r="BH393">
        <v>1</v>
      </c>
      <c r="BI393">
        <v>2</v>
      </c>
      <c r="BJ393">
        <v>0</v>
      </c>
      <c r="BK393">
        <v>0</v>
      </c>
      <c r="BL393">
        <v>2</v>
      </c>
      <c r="BM393">
        <v>2</v>
      </c>
      <c r="BN393">
        <v>0</v>
      </c>
      <c r="BO393">
        <v>0</v>
      </c>
      <c r="BP393">
        <v>2</v>
      </c>
      <c r="BQ393">
        <v>1</v>
      </c>
      <c r="BR393">
        <v>1</v>
      </c>
      <c r="BS393">
        <v>1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3</v>
      </c>
      <c r="BZ393">
        <v>1.5</v>
      </c>
      <c r="CA393">
        <v>3</v>
      </c>
      <c r="CB393">
        <v>1.5</v>
      </c>
      <c r="CC393">
        <v>1</v>
      </c>
      <c r="CD393">
        <v>1</v>
      </c>
      <c r="CE393">
        <v>1</v>
      </c>
      <c r="CF393">
        <v>0</v>
      </c>
      <c r="CG393">
        <v>0</v>
      </c>
      <c r="CH393">
        <v>0</v>
      </c>
      <c r="CI393">
        <v>0</v>
      </c>
      <c r="CJ393">
        <v>1</v>
      </c>
      <c r="CK393">
        <v>2</v>
      </c>
      <c r="CL393">
        <v>1</v>
      </c>
      <c r="CM393">
        <v>0</v>
      </c>
      <c r="CN393">
        <v>3</v>
      </c>
      <c r="CO393">
        <v>2</v>
      </c>
      <c r="CP393">
        <v>1</v>
      </c>
      <c r="CQ393">
        <v>0</v>
      </c>
      <c r="CR393">
        <v>3</v>
      </c>
      <c r="CS393">
        <v>1</v>
      </c>
      <c r="CT393">
        <v>1</v>
      </c>
      <c r="CU393">
        <v>1</v>
      </c>
      <c r="CV393">
        <v>0</v>
      </c>
      <c r="CW393">
        <v>0</v>
      </c>
      <c r="CX393">
        <v>0</v>
      </c>
      <c r="CY393">
        <v>0</v>
      </c>
      <c r="CZ393">
        <v>1</v>
      </c>
    </row>
    <row r="394" spans="1:104" x14ac:dyDescent="0.25">
      <c r="A394" s="1" t="s">
        <v>2393</v>
      </c>
      <c r="B394">
        <v>8028</v>
      </c>
      <c r="C394">
        <v>12540</v>
      </c>
      <c r="D394" s="2">
        <v>44031</v>
      </c>
      <c r="E394" s="3">
        <f t="shared" si="18"/>
        <v>2020</v>
      </c>
      <c r="F394" s="3">
        <f t="shared" si="19"/>
        <v>7</v>
      </c>
      <c r="G394" s="3">
        <f t="shared" si="20"/>
        <v>1</v>
      </c>
      <c r="H394" t="s">
        <v>2394</v>
      </c>
      <c r="I394">
        <v>2193</v>
      </c>
      <c r="J394" t="s">
        <v>2395</v>
      </c>
      <c r="K394" t="s">
        <v>2396</v>
      </c>
      <c r="L394">
        <v>2020</v>
      </c>
      <c r="M394" t="s">
        <v>591</v>
      </c>
      <c r="N394" t="s">
        <v>2397</v>
      </c>
      <c r="O394" t="s">
        <v>2398</v>
      </c>
      <c r="P394">
        <v>2000</v>
      </c>
      <c r="Q394" t="s">
        <v>2396</v>
      </c>
      <c r="S394" t="s">
        <v>2399</v>
      </c>
      <c r="T394" t="s">
        <v>2400</v>
      </c>
      <c r="U394">
        <v>21000</v>
      </c>
      <c r="V394" t="s">
        <v>2396</v>
      </c>
      <c r="X394" t="s">
        <v>109</v>
      </c>
      <c r="Z394">
        <v>-1.5</v>
      </c>
      <c r="AA394">
        <v>-2.5</v>
      </c>
      <c r="AB394">
        <v>45</v>
      </c>
      <c r="AC394">
        <v>45</v>
      </c>
      <c r="AD394">
        <v>10</v>
      </c>
      <c r="AE394">
        <v>73</v>
      </c>
      <c r="AF394">
        <v>27</v>
      </c>
      <c r="AG394">
        <v>36</v>
      </c>
      <c r="AH394">
        <v>64</v>
      </c>
      <c r="AI394">
        <v>82</v>
      </c>
      <c r="AJ394">
        <v>18</v>
      </c>
      <c r="AK394">
        <v>0</v>
      </c>
      <c r="AL394">
        <v>0</v>
      </c>
      <c r="AM394">
        <v>100</v>
      </c>
      <c r="AN394">
        <v>0</v>
      </c>
      <c r="AO394">
        <v>81</v>
      </c>
      <c r="AP394">
        <v>19</v>
      </c>
      <c r="AQ394">
        <v>53</v>
      </c>
      <c r="AR394">
        <v>36</v>
      </c>
      <c r="AS394">
        <v>73</v>
      </c>
      <c r="AT394">
        <v>20</v>
      </c>
      <c r="AU394">
        <v>64</v>
      </c>
      <c r="AV394">
        <v>0</v>
      </c>
      <c r="AW394">
        <v>4</v>
      </c>
      <c r="AX394">
        <v>0.8</v>
      </c>
      <c r="AY394">
        <v>3</v>
      </c>
      <c r="AZ394">
        <v>0.6</v>
      </c>
      <c r="BA394">
        <v>6</v>
      </c>
      <c r="BB394">
        <v>4</v>
      </c>
      <c r="BC394">
        <v>3</v>
      </c>
      <c r="BD394">
        <v>2</v>
      </c>
      <c r="BE394">
        <v>2</v>
      </c>
      <c r="BF394">
        <v>1</v>
      </c>
      <c r="BG394">
        <v>1</v>
      </c>
      <c r="BH394">
        <v>1</v>
      </c>
      <c r="BI394">
        <v>8</v>
      </c>
      <c r="BJ394">
        <v>4</v>
      </c>
      <c r="BK394">
        <v>2</v>
      </c>
      <c r="BL394">
        <v>5</v>
      </c>
      <c r="BM394">
        <v>1.3</v>
      </c>
      <c r="BN394">
        <v>1</v>
      </c>
      <c r="BO394">
        <v>0.3</v>
      </c>
      <c r="BP394">
        <v>1.3</v>
      </c>
      <c r="BQ394">
        <v>7</v>
      </c>
      <c r="BR394">
        <v>2</v>
      </c>
      <c r="BS394">
        <v>5</v>
      </c>
      <c r="BT394">
        <v>2</v>
      </c>
      <c r="BU394">
        <v>2</v>
      </c>
      <c r="BV394">
        <v>0</v>
      </c>
      <c r="BW394">
        <v>0</v>
      </c>
      <c r="BX394">
        <v>0</v>
      </c>
      <c r="BY394">
        <v>7</v>
      </c>
      <c r="BZ394">
        <v>1.4</v>
      </c>
      <c r="CA394">
        <v>14</v>
      </c>
      <c r="CB394">
        <v>2.8</v>
      </c>
      <c r="CC394">
        <v>6</v>
      </c>
      <c r="CD394">
        <v>3</v>
      </c>
      <c r="CE394">
        <v>1</v>
      </c>
      <c r="CF394">
        <v>0</v>
      </c>
      <c r="CG394">
        <v>0</v>
      </c>
      <c r="CH394">
        <v>1</v>
      </c>
      <c r="CI394">
        <v>5</v>
      </c>
      <c r="CJ394">
        <v>2</v>
      </c>
      <c r="CK394">
        <v>9</v>
      </c>
      <c r="CL394">
        <v>2</v>
      </c>
      <c r="CM394">
        <v>14</v>
      </c>
      <c r="CN394">
        <v>9</v>
      </c>
      <c r="CO394">
        <v>1.5</v>
      </c>
      <c r="CP394">
        <v>0.7</v>
      </c>
      <c r="CQ394">
        <v>2.2999999999999998</v>
      </c>
      <c r="CR394">
        <v>3</v>
      </c>
      <c r="CS394">
        <v>2</v>
      </c>
      <c r="CT394">
        <v>7</v>
      </c>
      <c r="CU394">
        <v>0</v>
      </c>
      <c r="CV394">
        <v>0</v>
      </c>
      <c r="CW394">
        <v>0</v>
      </c>
      <c r="CX394">
        <v>2</v>
      </c>
      <c r="CY394">
        <v>2</v>
      </c>
      <c r="CZ394">
        <v>5</v>
      </c>
    </row>
    <row r="395" spans="1:104" x14ac:dyDescent="0.25">
      <c r="A395" s="1" t="s">
        <v>2401</v>
      </c>
      <c r="B395">
        <v>7575</v>
      </c>
      <c r="C395">
        <v>5313</v>
      </c>
      <c r="D395" s="2">
        <v>43775</v>
      </c>
      <c r="E395" s="3">
        <f t="shared" si="18"/>
        <v>2019</v>
      </c>
      <c r="F395" s="3">
        <f t="shared" si="19"/>
        <v>11</v>
      </c>
      <c r="G395" s="3">
        <f t="shared" si="20"/>
        <v>4</v>
      </c>
      <c r="H395" t="s">
        <v>2402</v>
      </c>
      <c r="I395">
        <v>980</v>
      </c>
      <c r="J395" t="s">
        <v>2403</v>
      </c>
      <c r="K395" t="s">
        <v>2404</v>
      </c>
      <c r="L395">
        <v>2019</v>
      </c>
      <c r="M395" t="s">
        <v>828</v>
      </c>
      <c r="N395" t="s">
        <v>2402</v>
      </c>
      <c r="O395" t="s">
        <v>2405</v>
      </c>
      <c r="P395">
        <v>10000</v>
      </c>
      <c r="Q395" t="s">
        <v>2404</v>
      </c>
      <c r="S395" t="s">
        <v>2406</v>
      </c>
      <c r="T395" t="s">
        <v>2407</v>
      </c>
      <c r="U395">
        <v>3000</v>
      </c>
      <c r="V395" t="s">
        <v>2404</v>
      </c>
      <c r="X395" t="s">
        <v>125</v>
      </c>
      <c r="Z395">
        <v>-1.5</v>
      </c>
      <c r="AA395">
        <v>-2.5</v>
      </c>
      <c r="AB395">
        <v>10</v>
      </c>
      <c r="AC395">
        <v>45</v>
      </c>
      <c r="AD395">
        <v>45</v>
      </c>
      <c r="AE395">
        <v>40</v>
      </c>
      <c r="AF395">
        <v>60</v>
      </c>
      <c r="AG395">
        <v>33</v>
      </c>
      <c r="AH395">
        <v>67</v>
      </c>
      <c r="AI395">
        <v>61</v>
      </c>
      <c r="AJ395">
        <v>39</v>
      </c>
      <c r="AK395">
        <v>40</v>
      </c>
      <c r="AL395">
        <v>60</v>
      </c>
      <c r="AM395">
        <v>0</v>
      </c>
      <c r="AN395">
        <v>0</v>
      </c>
      <c r="AO395">
        <v>0</v>
      </c>
      <c r="AP395">
        <v>0</v>
      </c>
      <c r="AQ395">
        <v>27</v>
      </c>
      <c r="AR395">
        <v>22</v>
      </c>
      <c r="AS395">
        <v>61</v>
      </c>
      <c r="AT395">
        <v>40</v>
      </c>
      <c r="AU395">
        <v>44</v>
      </c>
      <c r="AV395">
        <v>39</v>
      </c>
      <c r="AW395">
        <v>4</v>
      </c>
      <c r="AX395">
        <v>0.8</v>
      </c>
      <c r="AY395">
        <v>7</v>
      </c>
      <c r="AZ395">
        <v>1.4</v>
      </c>
      <c r="BA395">
        <v>3</v>
      </c>
      <c r="BB395">
        <v>4</v>
      </c>
      <c r="BC395">
        <v>1</v>
      </c>
      <c r="BD395">
        <v>0</v>
      </c>
      <c r="BE395">
        <v>0</v>
      </c>
      <c r="BF395">
        <v>1</v>
      </c>
      <c r="BG395">
        <v>2</v>
      </c>
      <c r="BH395">
        <v>3</v>
      </c>
      <c r="BI395">
        <v>2</v>
      </c>
      <c r="BJ395">
        <v>2</v>
      </c>
      <c r="BK395">
        <v>5</v>
      </c>
      <c r="BL395">
        <v>7</v>
      </c>
      <c r="BM395">
        <v>0.7</v>
      </c>
      <c r="BN395">
        <v>0.5</v>
      </c>
      <c r="BO395">
        <v>1.7</v>
      </c>
      <c r="BP395">
        <v>1.8</v>
      </c>
      <c r="BQ395">
        <v>1</v>
      </c>
      <c r="BR395">
        <v>1</v>
      </c>
      <c r="BS395">
        <v>0</v>
      </c>
      <c r="BT395">
        <v>0</v>
      </c>
      <c r="BU395">
        <v>0</v>
      </c>
      <c r="BV395">
        <v>1</v>
      </c>
      <c r="BW395">
        <v>1</v>
      </c>
      <c r="BX395">
        <v>0</v>
      </c>
      <c r="BY395">
        <v>8</v>
      </c>
      <c r="BZ395">
        <v>1.6</v>
      </c>
      <c r="CA395">
        <v>11</v>
      </c>
      <c r="CB395">
        <v>2.2000000000000002</v>
      </c>
      <c r="CC395">
        <v>4</v>
      </c>
      <c r="CD395">
        <v>3</v>
      </c>
      <c r="CE395">
        <v>2</v>
      </c>
      <c r="CF395">
        <v>0</v>
      </c>
      <c r="CG395">
        <v>0</v>
      </c>
      <c r="CH395">
        <v>1</v>
      </c>
      <c r="CI395">
        <v>2</v>
      </c>
      <c r="CJ395">
        <v>2</v>
      </c>
      <c r="CK395">
        <v>6</v>
      </c>
      <c r="CL395">
        <v>3</v>
      </c>
      <c r="CM395">
        <v>6</v>
      </c>
      <c r="CN395">
        <v>7</v>
      </c>
      <c r="CO395">
        <v>1.5</v>
      </c>
      <c r="CP395">
        <v>1</v>
      </c>
      <c r="CQ395">
        <v>1.5</v>
      </c>
      <c r="CR395">
        <v>2.2999999999999998</v>
      </c>
      <c r="CS395">
        <v>1</v>
      </c>
      <c r="CT395">
        <v>1</v>
      </c>
      <c r="CU395">
        <v>0</v>
      </c>
      <c r="CV395">
        <v>1</v>
      </c>
      <c r="CW395">
        <v>1</v>
      </c>
      <c r="CX395">
        <v>0</v>
      </c>
      <c r="CY395">
        <v>0</v>
      </c>
      <c r="CZ395">
        <v>0</v>
      </c>
    </row>
    <row r="396" spans="1:104" x14ac:dyDescent="0.25">
      <c r="A396" s="1" t="s">
        <v>2408</v>
      </c>
      <c r="B396">
        <v>9922</v>
      </c>
      <c r="C396">
        <v>9927</v>
      </c>
      <c r="D396" s="2">
        <v>43792</v>
      </c>
      <c r="E396" s="3">
        <f t="shared" si="18"/>
        <v>2019</v>
      </c>
      <c r="F396" s="3">
        <f t="shared" si="19"/>
        <v>11</v>
      </c>
      <c r="G396" s="3">
        <f t="shared" si="20"/>
        <v>7</v>
      </c>
      <c r="H396" t="s">
        <v>2409</v>
      </c>
      <c r="I396">
        <v>1297</v>
      </c>
      <c r="J396" t="s">
        <v>2410</v>
      </c>
      <c r="K396" t="s">
        <v>158</v>
      </c>
      <c r="L396">
        <v>2019</v>
      </c>
      <c r="M396" t="s">
        <v>2411</v>
      </c>
      <c r="N396" t="s">
        <v>293</v>
      </c>
      <c r="O396" t="s">
        <v>294</v>
      </c>
      <c r="P396">
        <v>17072</v>
      </c>
      <c r="Q396" t="s">
        <v>158</v>
      </c>
      <c r="R396">
        <v>1916</v>
      </c>
      <c r="S396" t="s">
        <v>2412</v>
      </c>
      <c r="T396" t="s">
        <v>2413</v>
      </c>
      <c r="U396">
        <v>1500</v>
      </c>
      <c r="V396" t="s">
        <v>158</v>
      </c>
      <c r="X396" t="s">
        <v>109</v>
      </c>
      <c r="Z396">
        <v>-2.5</v>
      </c>
      <c r="AA396">
        <v>-2.5</v>
      </c>
      <c r="AB396">
        <v>45</v>
      </c>
      <c r="AC396">
        <v>45</v>
      </c>
      <c r="AD396">
        <v>10</v>
      </c>
      <c r="AE396">
        <v>60</v>
      </c>
      <c r="AF396">
        <v>40</v>
      </c>
      <c r="AG396">
        <v>64</v>
      </c>
      <c r="AH396">
        <v>36</v>
      </c>
      <c r="AI396">
        <v>41</v>
      </c>
      <c r="AJ396">
        <v>59</v>
      </c>
      <c r="AK396">
        <v>49</v>
      </c>
      <c r="AL396">
        <v>51</v>
      </c>
      <c r="AM396">
        <v>0</v>
      </c>
      <c r="AN396">
        <v>0</v>
      </c>
      <c r="AO396">
        <v>0</v>
      </c>
      <c r="AP396">
        <v>0</v>
      </c>
      <c r="AQ396">
        <v>40</v>
      </c>
      <c r="AR396">
        <v>75</v>
      </c>
      <c r="AS396">
        <v>17</v>
      </c>
      <c r="AT396">
        <v>27</v>
      </c>
      <c r="AU396">
        <v>42</v>
      </c>
      <c r="AV396">
        <v>42</v>
      </c>
      <c r="AW396">
        <v>9</v>
      </c>
      <c r="AX396">
        <v>1.8</v>
      </c>
      <c r="AY396">
        <v>10</v>
      </c>
      <c r="AZ396">
        <v>2</v>
      </c>
      <c r="BA396">
        <v>4</v>
      </c>
      <c r="BB396">
        <v>4</v>
      </c>
      <c r="BC396">
        <v>1</v>
      </c>
      <c r="BD396">
        <v>2</v>
      </c>
      <c r="BE396">
        <v>0</v>
      </c>
      <c r="BF396">
        <v>0</v>
      </c>
      <c r="BG396">
        <v>3</v>
      </c>
      <c r="BH396">
        <v>2</v>
      </c>
      <c r="BI396">
        <v>6</v>
      </c>
      <c r="BJ396">
        <v>6</v>
      </c>
      <c r="BK396">
        <v>10</v>
      </c>
      <c r="BL396">
        <v>7</v>
      </c>
      <c r="BM396">
        <v>1.5</v>
      </c>
      <c r="BN396">
        <v>1.5</v>
      </c>
      <c r="BO396">
        <v>2.5</v>
      </c>
      <c r="BP396">
        <v>1.8</v>
      </c>
      <c r="BQ396">
        <v>1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1</v>
      </c>
      <c r="BX396">
        <v>0</v>
      </c>
      <c r="BY396">
        <v>5</v>
      </c>
      <c r="BZ396">
        <v>1</v>
      </c>
      <c r="CA396">
        <v>7</v>
      </c>
      <c r="CB396">
        <v>1.4</v>
      </c>
      <c r="CC396">
        <v>5</v>
      </c>
      <c r="CD396">
        <v>4</v>
      </c>
      <c r="CE396">
        <v>2</v>
      </c>
      <c r="CF396">
        <v>0</v>
      </c>
      <c r="CG396">
        <v>1</v>
      </c>
      <c r="CH396">
        <v>2</v>
      </c>
      <c r="CI396">
        <v>2</v>
      </c>
      <c r="CJ396">
        <v>2</v>
      </c>
      <c r="CK396">
        <v>8</v>
      </c>
      <c r="CL396">
        <v>4</v>
      </c>
      <c r="CM396">
        <v>6</v>
      </c>
      <c r="CN396">
        <v>7</v>
      </c>
      <c r="CO396">
        <v>1.6</v>
      </c>
      <c r="CP396">
        <v>1</v>
      </c>
      <c r="CQ396">
        <v>1.2</v>
      </c>
      <c r="CR396">
        <v>1.8</v>
      </c>
      <c r="CS396">
        <v>0</v>
      </c>
      <c r="CT396">
        <v>1</v>
      </c>
      <c r="CU396">
        <v>0</v>
      </c>
      <c r="CV396">
        <v>1</v>
      </c>
      <c r="CW396">
        <v>0</v>
      </c>
      <c r="CX396">
        <v>0</v>
      </c>
      <c r="CY396">
        <v>0</v>
      </c>
      <c r="CZ396">
        <v>0</v>
      </c>
    </row>
    <row r="397" spans="1:104" x14ac:dyDescent="0.25">
      <c r="A397" s="1" t="s">
        <v>2414</v>
      </c>
      <c r="B397">
        <v>7252</v>
      </c>
      <c r="C397">
        <v>7239</v>
      </c>
      <c r="D397" s="2">
        <v>43732</v>
      </c>
      <c r="E397" s="3">
        <f t="shared" si="18"/>
        <v>2019</v>
      </c>
      <c r="F397" s="3">
        <f t="shared" si="19"/>
        <v>9</v>
      </c>
      <c r="G397" s="3">
        <f t="shared" si="20"/>
        <v>3</v>
      </c>
      <c r="H397" t="s">
        <v>2415</v>
      </c>
      <c r="I397">
        <v>1173</v>
      </c>
      <c r="J397" t="s">
        <v>2038</v>
      </c>
      <c r="K397" t="s">
        <v>241</v>
      </c>
      <c r="L397">
        <v>2019</v>
      </c>
      <c r="M397" t="s">
        <v>2416</v>
      </c>
      <c r="N397" t="s">
        <v>2417</v>
      </c>
      <c r="O397" t="s">
        <v>2418</v>
      </c>
      <c r="P397">
        <v>3500</v>
      </c>
      <c r="Q397" t="s">
        <v>241</v>
      </c>
      <c r="R397">
        <v>1986</v>
      </c>
      <c r="S397" t="s">
        <v>2419</v>
      </c>
      <c r="T397" t="s">
        <v>2420</v>
      </c>
      <c r="U397">
        <v>3600</v>
      </c>
      <c r="V397" t="s">
        <v>241</v>
      </c>
      <c r="X397" t="s">
        <v>125</v>
      </c>
      <c r="Z397">
        <v>-2.5</v>
      </c>
      <c r="AA397">
        <v>-3.5</v>
      </c>
      <c r="AB397">
        <v>10</v>
      </c>
      <c r="AC397">
        <v>45</v>
      </c>
      <c r="AD397">
        <v>45</v>
      </c>
      <c r="AE397">
        <v>40</v>
      </c>
      <c r="AF397">
        <v>60</v>
      </c>
      <c r="AG397">
        <v>47</v>
      </c>
      <c r="AH397">
        <v>53</v>
      </c>
      <c r="AI397">
        <v>43</v>
      </c>
      <c r="AJ397">
        <v>57</v>
      </c>
      <c r="AK397">
        <v>40</v>
      </c>
      <c r="AL397">
        <v>60</v>
      </c>
      <c r="AM397">
        <v>0</v>
      </c>
      <c r="AN397">
        <v>0</v>
      </c>
      <c r="AO397">
        <v>0</v>
      </c>
      <c r="AP397">
        <v>0</v>
      </c>
      <c r="AQ397">
        <v>53</v>
      </c>
      <c r="AR397">
        <v>60</v>
      </c>
      <c r="AS397">
        <v>47</v>
      </c>
      <c r="AT397">
        <v>80</v>
      </c>
      <c r="AU397">
        <v>67</v>
      </c>
      <c r="AV397">
        <v>60</v>
      </c>
      <c r="AW397">
        <v>9</v>
      </c>
      <c r="AX397">
        <v>1.8</v>
      </c>
      <c r="AY397">
        <v>8</v>
      </c>
      <c r="AZ397">
        <v>1.6</v>
      </c>
      <c r="BA397">
        <v>4</v>
      </c>
      <c r="BB397">
        <v>3</v>
      </c>
      <c r="BC397">
        <v>2</v>
      </c>
      <c r="BD397">
        <v>2</v>
      </c>
      <c r="BE397">
        <v>1</v>
      </c>
      <c r="BF397">
        <v>1</v>
      </c>
      <c r="BG397">
        <v>1</v>
      </c>
      <c r="BH397">
        <v>0</v>
      </c>
      <c r="BI397">
        <v>7</v>
      </c>
      <c r="BJ397">
        <v>9</v>
      </c>
      <c r="BK397">
        <v>7</v>
      </c>
      <c r="BL397">
        <v>3</v>
      </c>
      <c r="BM397">
        <v>1.8</v>
      </c>
      <c r="BN397">
        <v>3</v>
      </c>
      <c r="BO397">
        <v>1.8</v>
      </c>
      <c r="BP397">
        <v>1</v>
      </c>
      <c r="BQ397">
        <v>1</v>
      </c>
      <c r="BR397">
        <v>0</v>
      </c>
      <c r="BS397">
        <v>0</v>
      </c>
      <c r="BT397">
        <v>0</v>
      </c>
      <c r="BU397">
        <v>1</v>
      </c>
      <c r="BV397">
        <v>0</v>
      </c>
      <c r="BW397">
        <v>0</v>
      </c>
      <c r="BX397">
        <v>0</v>
      </c>
      <c r="BY397">
        <v>10</v>
      </c>
      <c r="BZ397">
        <v>2</v>
      </c>
      <c r="CA397">
        <v>6</v>
      </c>
      <c r="CB397">
        <v>1.2</v>
      </c>
      <c r="CC397">
        <v>3</v>
      </c>
      <c r="CD397">
        <v>4</v>
      </c>
      <c r="CE397">
        <v>3</v>
      </c>
      <c r="CF397">
        <v>3</v>
      </c>
      <c r="CG397">
        <v>0</v>
      </c>
      <c r="CH397">
        <v>0</v>
      </c>
      <c r="CI397">
        <v>0</v>
      </c>
      <c r="CJ397">
        <v>1</v>
      </c>
      <c r="CK397">
        <v>6</v>
      </c>
      <c r="CL397">
        <v>8</v>
      </c>
      <c r="CM397">
        <v>2</v>
      </c>
      <c r="CN397">
        <v>5</v>
      </c>
      <c r="CO397">
        <v>2</v>
      </c>
      <c r="CP397">
        <v>2</v>
      </c>
      <c r="CQ397">
        <v>0.7</v>
      </c>
      <c r="CR397">
        <v>1.3</v>
      </c>
      <c r="CS397">
        <v>0</v>
      </c>
      <c r="CT397">
        <v>1</v>
      </c>
      <c r="CU397">
        <v>0</v>
      </c>
      <c r="CV397">
        <v>0</v>
      </c>
      <c r="CW397">
        <v>0</v>
      </c>
      <c r="CX397">
        <v>1</v>
      </c>
      <c r="CY397">
        <v>0</v>
      </c>
      <c r="CZ397">
        <v>0</v>
      </c>
    </row>
    <row r="398" spans="1:104" x14ac:dyDescent="0.25">
      <c r="A398" s="1" t="s">
        <v>2421</v>
      </c>
      <c r="B398">
        <v>9814</v>
      </c>
      <c r="C398">
        <v>9816</v>
      </c>
      <c r="D398" s="2">
        <v>43898</v>
      </c>
      <c r="E398" s="3">
        <f t="shared" si="18"/>
        <v>2020</v>
      </c>
      <c r="F398" s="3">
        <f t="shared" si="19"/>
        <v>3</v>
      </c>
      <c r="G398" s="3">
        <f t="shared" si="20"/>
        <v>1</v>
      </c>
      <c r="H398" t="s">
        <v>2422</v>
      </c>
      <c r="I398">
        <v>1281</v>
      </c>
      <c r="J398" t="s">
        <v>749</v>
      </c>
      <c r="K398" t="s">
        <v>380</v>
      </c>
      <c r="L398">
        <v>2019</v>
      </c>
      <c r="M398" t="s">
        <v>2423</v>
      </c>
      <c r="N398" t="s">
        <v>2422</v>
      </c>
      <c r="O398" t="s">
        <v>774</v>
      </c>
      <c r="P398">
        <v>1000</v>
      </c>
      <c r="Q398" t="s">
        <v>380</v>
      </c>
      <c r="S398" t="s">
        <v>2424</v>
      </c>
      <c r="T398" t="s">
        <v>2425</v>
      </c>
      <c r="U398">
        <v>1000</v>
      </c>
      <c r="V398" t="s">
        <v>380</v>
      </c>
      <c r="W398">
        <v>2010</v>
      </c>
      <c r="X398" t="s">
        <v>109</v>
      </c>
      <c r="Z398">
        <v>-2.5</v>
      </c>
      <c r="AA398">
        <v>-2.5</v>
      </c>
      <c r="AB398">
        <v>45</v>
      </c>
      <c r="AC398">
        <v>45</v>
      </c>
      <c r="AD398">
        <v>10</v>
      </c>
      <c r="AE398">
        <v>44</v>
      </c>
      <c r="AF398">
        <v>56</v>
      </c>
      <c r="AG398">
        <v>50</v>
      </c>
      <c r="AH398">
        <v>50</v>
      </c>
      <c r="AI398">
        <v>56</v>
      </c>
      <c r="AJ398">
        <v>44</v>
      </c>
      <c r="AK398">
        <v>27</v>
      </c>
      <c r="AL398">
        <v>73</v>
      </c>
      <c r="AM398">
        <v>100</v>
      </c>
      <c r="AN398">
        <v>0</v>
      </c>
      <c r="AO398">
        <v>67</v>
      </c>
      <c r="AP398">
        <v>33</v>
      </c>
      <c r="AQ398">
        <v>53</v>
      </c>
      <c r="AR398">
        <v>44</v>
      </c>
      <c r="AS398">
        <v>75</v>
      </c>
      <c r="AT398">
        <v>67</v>
      </c>
      <c r="AU398">
        <v>44</v>
      </c>
      <c r="AV398">
        <v>69</v>
      </c>
      <c r="AW398">
        <v>7</v>
      </c>
      <c r="AX398">
        <v>1.4</v>
      </c>
      <c r="AY398">
        <v>4</v>
      </c>
      <c r="AZ398">
        <v>0.8</v>
      </c>
      <c r="BA398">
        <v>13</v>
      </c>
      <c r="BB398">
        <v>14</v>
      </c>
      <c r="BC398">
        <v>2</v>
      </c>
      <c r="BD398">
        <v>7</v>
      </c>
      <c r="BE398">
        <v>5</v>
      </c>
      <c r="BF398">
        <v>3</v>
      </c>
      <c r="BG398">
        <v>6</v>
      </c>
      <c r="BH398">
        <v>4</v>
      </c>
      <c r="BI398">
        <v>11</v>
      </c>
      <c r="BJ398">
        <v>22</v>
      </c>
      <c r="BK398">
        <v>16</v>
      </c>
      <c r="BL398">
        <v>12</v>
      </c>
      <c r="BM398">
        <v>0.8</v>
      </c>
      <c r="BN398">
        <v>1.6</v>
      </c>
      <c r="BO398">
        <v>1.2</v>
      </c>
      <c r="BP398">
        <v>0.9</v>
      </c>
      <c r="BQ398">
        <v>1</v>
      </c>
      <c r="BR398">
        <v>1</v>
      </c>
      <c r="BS398">
        <v>0</v>
      </c>
      <c r="BT398">
        <v>1</v>
      </c>
      <c r="BU398">
        <v>0</v>
      </c>
      <c r="BV398">
        <v>0</v>
      </c>
      <c r="BW398">
        <v>1</v>
      </c>
      <c r="BX398">
        <v>0</v>
      </c>
      <c r="BY398">
        <v>7</v>
      </c>
      <c r="BZ398">
        <v>1.4</v>
      </c>
      <c r="CA398">
        <v>5</v>
      </c>
      <c r="CB398">
        <v>1</v>
      </c>
      <c r="CC398">
        <v>13</v>
      </c>
      <c r="CD398">
        <v>14</v>
      </c>
      <c r="CE398">
        <v>6</v>
      </c>
      <c r="CF398">
        <v>9</v>
      </c>
      <c r="CG398">
        <v>4</v>
      </c>
      <c r="CH398">
        <v>2</v>
      </c>
      <c r="CI398">
        <v>3</v>
      </c>
      <c r="CJ398">
        <v>3</v>
      </c>
      <c r="CK398">
        <v>18</v>
      </c>
      <c r="CL398">
        <v>24</v>
      </c>
      <c r="CM398">
        <v>15</v>
      </c>
      <c r="CN398">
        <v>16</v>
      </c>
      <c r="CO398">
        <v>1.4</v>
      </c>
      <c r="CP398">
        <v>1.7</v>
      </c>
      <c r="CQ398">
        <v>1.2</v>
      </c>
      <c r="CR398">
        <v>1.1000000000000001</v>
      </c>
      <c r="CS398">
        <v>1</v>
      </c>
      <c r="CT398">
        <v>1</v>
      </c>
      <c r="CU398">
        <v>0</v>
      </c>
      <c r="CV398">
        <v>1</v>
      </c>
      <c r="CW398">
        <v>0</v>
      </c>
      <c r="CX398">
        <v>0</v>
      </c>
      <c r="CY398">
        <v>1</v>
      </c>
      <c r="CZ398">
        <v>0</v>
      </c>
    </row>
    <row r="399" spans="1:104" x14ac:dyDescent="0.25">
      <c r="A399" s="1" t="s">
        <v>2426</v>
      </c>
      <c r="B399">
        <v>4686</v>
      </c>
      <c r="C399">
        <v>1819</v>
      </c>
      <c r="D399" s="2">
        <v>43690</v>
      </c>
      <c r="E399" s="3">
        <f t="shared" si="18"/>
        <v>2019</v>
      </c>
      <c r="F399" s="3">
        <f t="shared" si="19"/>
        <v>8</v>
      </c>
      <c r="G399" s="3">
        <f t="shared" si="20"/>
        <v>3</v>
      </c>
      <c r="H399" t="s">
        <v>2427</v>
      </c>
      <c r="I399">
        <v>764</v>
      </c>
      <c r="J399" t="s">
        <v>1048</v>
      </c>
      <c r="K399" t="s">
        <v>241</v>
      </c>
      <c r="L399">
        <v>2019</v>
      </c>
      <c r="M399" t="s">
        <v>458</v>
      </c>
      <c r="N399" t="s">
        <v>2427</v>
      </c>
      <c r="O399" t="s">
        <v>2428</v>
      </c>
      <c r="P399">
        <v>10852</v>
      </c>
      <c r="Q399" t="s">
        <v>241</v>
      </c>
      <c r="R399">
        <v>1883</v>
      </c>
      <c r="S399" t="s">
        <v>2429</v>
      </c>
      <c r="T399" t="s">
        <v>2430</v>
      </c>
      <c r="U399">
        <v>4414</v>
      </c>
      <c r="V399" t="s">
        <v>241</v>
      </c>
      <c r="W399">
        <v>1901</v>
      </c>
      <c r="X399" t="s">
        <v>109</v>
      </c>
      <c r="Y399">
        <v>-3.5</v>
      </c>
      <c r="Z399">
        <v>-1.5</v>
      </c>
      <c r="AA399">
        <v>-1.5</v>
      </c>
      <c r="AB399">
        <v>35</v>
      </c>
      <c r="AC399">
        <v>35</v>
      </c>
      <c r="AD399">
        <v>30</v>
      </c>
      <c r="AE399">
        <v>40</v>
      </c>
      <c r="AF399">
        <v>60</v>
      </c>
      <c r="AG399">
        <v>40</v>
      </c>
      <c r="AH399">
        <v>60</v>
      </c>
      <c r="AI399">
        <v>63</v>
      </c>
      <c r="AJ399">
        <v>38</v>
      </c>
      <c r="AK399">
        <v>0</v>
      </c>
      <c r="AL399">
        <v>100</v>
      </c>
      <c r="AM399">
        <v>71</v>
      </c>
      <c r="AN399">
        <v>29</v>
      </c>
      <c r="AO399">
        <v>60</v>
      </c>
      <c r="AP399">
        <v>40</v>
      </c>
      <c r="AQ399">
        <v>22</v>
      </c>
      <c r="AR399">
        <v>15</v>
      </c>
      <c r="AS399">
        <v>77</v>
      </c>
      <c r="AT399">
        <v>33</v>
      </c>
      <c r="AU399">
        <v>23</v>
      </c>
      <c r="AV399">
        <v>62</v>
      </c>
      <c r="AW399">
        <v>2</v>
      </c>
      <c r="AX399">
        <v>0.7</v>
      </c>
      <c r="AY399">
        <v>3</v>
      </c>
      <c r="AZ399">
        <v>1</v>
      </c>
      <c r="BA399">
        <v>1</v>
      </c>
      <c r="BB399">
        <v>2</v>
      </c>
      <c r="BC399">
        <v>0</v>
      </c>
      <c r="BD399">
        <v>0</v>
      </c>
      <c r="BE399">
        <v>0</v>
      </c>
      <c r="BF399">
        <v>2</v>
      </c>
      <c r="BG399">
        <v>1</v>
      </c>
      <c r="BH399">
        <v>0</v>
      </c>
      <c r="BI399">
        <v>0</v>
      </c>
      <c r="BJ399">
        <v>2</v>
      </c>
      <c r="BK399">
        <v>1</v>
      </c>
      <c r="BL399">
        <v>2</v>
      </c>
      <c r="BM399">
        <v>0</v>
      </c>
      <c r="BN399">
        <v>1</v>
      </c>
      <c r="BO399">
        <v>1</v>
      </c>
      <c r="BP399">
        <v>1</v>
      </c>
      <c r="BQ399">
        <v>4</v>
      </c>
      <c r="BR399">
        <v>3</v>
      </c>
      <c r="BS399">
        <v>3</v>
      </c>
      <c r="BT399">
        <v>1</v>
      </c>
      <c r="BU399">
        <v>0</v>
      </c>
      <c r="BV399">
        <v>1</v>
      </c>
      <c r="BW399">
        <v>1</v>
      </c>
      <c r="BX399">
        <v>1</v>
      </c>
      <c r="BY399">
        <v>3</v>
      </c>
      <c r="BZ399">
        <v>1</v>
      </c>
      <c r="CA399">
        <v>5</v>
      </c>
      <c r="CB399">
        <v>1.7</v>
      </c>
      <c r="CC399">
        <v>2</v>
      </c>
      <c r="CD399">
        <v>1</v>
      </c>
      <c r="CE399">
        <v>1</v>
      </c>
      <c r="CF399">
        <v>0</v>
      </c>
      <c r="CG399">
        <v>0</v>
      </c>
      <c r="CH399">
        <v>0</v>
      </c>
      <c r="CI399">
        <v>1</v>
      </c>
      <c r="CJ399">
        <v>1</v>
      </c>
      <c r="CK399">
        <v>2</v>
      </c>
      <c r="CL399">
        <v>1</v>
      </c>
      <c r="CM399">
        <v>3</v>
      </c>
      <c r="CN399">
        <v>2</v>
      </c>
      <c r="CO399">
        <v>1</v>
      </c>
      <c r="CP399">
        <v>1</v>
      </c>
      <c r="CQ399">
        <v>1.5</v>
      </c>
      <c r="CR399">
        <v>2</v>
      </c>
      <c r="CS399">
        <v>3</v>
      </c>
      <c r="CT399">
        <v>4</v>
      </c>
      <c r="CU399">
        <v>1</v>
      </c>
      <c r="CV399">
        <v>1</v>
      </c>
      <c r="CW399">
        <v>1</v>
      </c>
      <c r="CX399">
        <v>0</v>
      </c>
      <c r="CY399">
        <v>1</v>
      </c>
      <c r="CZ399">
        <v>3</v>
      </c>
    </row>
    <row r="400" spans="1:104" x14ac:dyDescent="0.25">
      <c r="A400" s="1" t="s">
        <v>2431</v>
      </c>
      <c r="B400">
        <v>97</v>
      </c>
      <c r="C400">
        <v>110</v>
      </c>
      <c r="D400" s="2">
        <v>43764</v>
      </c>
      <c r="E400" s="3">
        <f t="shared" si="18"/>
        <v>2019</v>
      </c>
      <c r="F400" s="3">
        <f t="shared" si="19"/>
        <v>10</v>
      </c>
      <c r="G400" s="3">
        <f t="shared" si="20"/>
        <v>7</v>
      </c>
      <c r="H400" t="s">
        <v>2432</v>
      </c>
      <c r="I400">
        <v>526</v>
      </c>
      <c r="J400" t="s">
        <v>290</v>
      </c>
      <c r="K400" t="s">
        <v>158</v>
      </c>
      <c r="L400">
        <v>2019</v>
      </c>
      <c r="M400" t="s">
        <v>272</v>
      </c>
      <c r="N400" t="s">
        <v>2433</v>
      </c>
      <c r="O400" t="s">
        <v>2434</v>
      </c>
      <c r="P400">
        <v>18970</v>
      </c>
      <c r="Q400" t="s">
        <v>158</v>
      </c>
      <c r="R400">
        <v>1926</v>
      </c>
      <c r="S400" t="s">
        <v>291</v>
      </c>
      <c r="T400" t="s">
        <v>292</v>
      </c>
      <c r="U400">
        <v>21877</v>
      </c>
      <c r="V400" t="s">
        <v>158</v>
      </c>
      <c r="W400">
        <v>1986</v>
      </c>
      <c r="X400" t="s">
        <v>109</v>
      </c>
      <c r="Z400">
        <v>-2.5</v>
      </c>
      <c r="AA400">
        <v>-2.5</v>
      </c>
      <c r="AB400">
        <v>45</v>
      </c>
      <c r="AC400">
        <v>45</v>
      </c>
      <c r="AD400">
        <v>10</v>
      </c>
      <c r="AE400">
        <v>55</v>
      </c>
      <c r="AF400">
        <v>45</v>
      </c>
      <c r="AG400">
        <v>50</v>
      </c>
      <c r="AH400">
        <v>50</v>
      </c>
      <c r="AI400">
        <v>67</v>
      </c>
      <c r="AJ400">
        <v>33</v>
      </c>
      <c r="AK400">
        <v>0</v>
      </c>
      <c r="AL400">
        <v>0</v>
      </c>
      <c r="AM400">
        <v>60</v>
      </c>
      <c r="AN400">
        <v>40</v>
      </c>
      <c r="AO400">
        <v>50</v>
      </c>
      <c r="AP400">
        <v>50</v>
      </c>
      <c r="AQ400">
        <v>73</v>
      </c>
      <c r="AR400">
        <v>78</v>
      </c>
      <c r="AS400">
        <v>67</v>
      </c>
      <c r="AT400">
        <v>60</v>
      </c>
      <c r="AU400">
        <v>78</v>
      </c>
      <c r="AV400">
        <v>33</v>
      </c>
      <c r="AW400">
        <v>7</v>
      </c>
      <c r="AX400">
        <v>1.4</v>
      </c>
      <c r="AY400">
        <v>3</v>
      </c>
      <c r="AZ400">
        <v>0.6</v>
      </c>
      <c r="BA400">
        <v>5</v>
      </c>
      <c r="BB400">
        <v>6</v>
      </c>
      <c r="BC400">
        <v>3</v>
      </c>
      <c r="BD400">
        <v>4</v>
      </c>
      <c r="BE400">
        <v>1</v>
      </c>
      <c r="BF400">
        <v>2</v>
      </c>
      <c r="BG400">
        <v>1</v>
      </c>
      <c r="BH400">
        <v>0</v>
      </c>
      <c r="BI400">
        <v>6</v>
      </c>
      <c r="BJ400">
        <v>10</v>
      </c>
      <c r="BK400">
        <v>2</v>
      </c>
      <c r="BL400">
        <v>5</v>
      </c>
      <c r="BM400">
        <v>1.2</v>
      </c>
      <c r="BN400">
        <v>1.7</v>
      </c>
      <c r="BO400">
        <v>0.4</v>
      </c>
      <c r="BP400">
        <v>0.8</v>
      </c>
      <c r="BQ400">
        <v>4</v>
      </c>
      <c r="BR400">
        <v>3</v>
      </c>
      <c r="BS400">
        <v>2</v>
      </c>
      <c r="BT400">
        <v>1</v>
      </c>
      <c r="BU400">
        <v>0</v>
      </c>
      <c r="BV400">
        <v>1</v>
      </c>
      <c r="BW400">
        <v>2</v>
      </c>
      <c r="BX400">
        <v>1</v>
      </c>
      <c r="BY400">
        <v>7</v>
      </c>
      <c r="BZ400">
        <v>1.4</v>
      </c>
      <c r="CA400">
        <v>6</v>
      </c>
      <c r="CB400">
        <v>1.2</v>
      </c>
      <c r="CC400">
        <v>6</v>
      </c>
      <c r="CD400">
        <v>5</v>
      </c>
      <c r="CE400">
        <v>3</v>
      </c>
      <c r="CF400">
        <v>3</v>
      </c>
      <c r="CG400">
        <v>0</v>
      </c>
      <c r="CH400">
        <v>1</v>
      </c>
      <c r="CI400">
        <v>3</v>
      </c>
      <c r="CJ400">
        <v>1</v>
      </c>
      <c r="CK400">
        <v>9</v>
      </c>
      <c r="CL400">
        <v>6</v>
      </c>
      <c r="CM400">
        <v>8</v>
      </c>
      <c r="CN400">
        <v>3</v>
      </c>
      <c r="CO400">
        <v>1.5</v>
      </c>
      <c r="CP400">
        <v>1.2</v>
      </c>
      <c r="CQ400">
        <v>1.3</v>
      </c>
      <c r="CR400">
        <v>0.6</v>
      </c>
      <c r="CS400">
        <v>3</v>
      </c>
      <c r="CT400">
        <v>4</v>
      </c>
      <c r="CU400">
        <v>1</v>
      </c>
      <c r="CV400">
        <v>2</v>
      </c>
      <c r="CW400">
        <v>1</v>
      </c>
      <c r="CX400">
        <v>0</v>
      </c>
      <c r="CY400">
        <v>1</v>
      </c>
      <c r="CZ400">
        <v>2</v>
      </c>
    </row>
    <row r="401" spans="1:104" x14ac:dyDescent="0.25">
      <c r="A401" s="1" t="s">
        <v>2435</v>
      </c>
      <c r="B401">
        <v>3114</v>
      </c>
      <c r="C401">
        <v>3110</v>
      </c>
      <c r="D401" s="2">
        <v>43799</v>
      </c>
      <c r="E401" s="3">
        <f t="shared" si="18"/>
        <v>2019</v>
      </c>
      <c r="F401" s="3">
        <f t="shared" si="19"/>
        <v>11</v>
      </c>
      <c r="G401" s="3">
        <f t="shared" si="20"/>
        <v>7</v>
      </c>
      <c r="H401" t="s">
        <v>2286</v>
      </c>
      <c r="I401">
        <v>1220</v>
      </c>
      <c r="J401" t="s">
        <v>157</v>
      </c>
      <c r="K401" t="s">
        <v>158</v>
      </c>
      <c r="L401">
        <v>2019</v>
      </c>
      <c r="M401" t="s">
        <v>159</v>
      </c>
      <c r="N401" t="s">
        <v>2286</v>
      </c>
      <c r="O401" t="s">
        <v>2288</v>
      </c>
      <c r="P401">
        <v>3000</v>
      </c>
      <c r="Q401" t="s">
        <v>158</v>
      </c>
      <c r="R401">
        <v>1914</v>
      </c>
      <c r="S401" t="s">
        <v>2436</v>
      </c>
      <c r="T401" t="s">
        <v>2437</v>
      </c>
      <c r="U401">
        <v>3000</v>
      </c>
      <c r="V401" t="s">
        <v>158</v>
      </c>
      <c r="W401">
        <v>1936</v>
      </c>
      <c r="X401" t="s">
        <v>125</v>
      </c>
      <c r="Y401">
        <v>-3.5</v>
      </c>
      <c r="Z401">
        <v>-1.5</v>
      </c>
      <c r="AA401">
        <v>-1.5</v>
      </c>
      <c r="AB401">
        <v>10</v>
      </c>
      <c r="AC401">
        <v>45</v>
      </c>
      <c r="AD401">
        <v>45</v>
      </c>
      <c r="AE401">
        <v>44</v>
      </c>
      <c r="AF401">
        <v>56</v>
      </c>
      <c r="AG401">
        <v>57</v>
      </c>
      <c r="AH401">
        <v>43</v>
      </c>
      <c r="AI401">
        <v>42</v>
      </c>
      <c r="AJ401">
        <v>58</v>
      </c>
      <c r="AK401">
        <v>0</v>
      </c>
      <c r="AL401">
        <v>0</v>
      </c>
      <c r="AM401">
        <v>20</v>
      </c>
      <c r="AN401">
        <v>80</v>
      </c>
      <c r="AO401">
        <v>40</v>
      </c>
      <c r="AP401">
        <v>60</v>
      </c>
      <c r="AQ401">
        <v>27</v>
      </c>
      <c r="AR401">
        <v>57</v>
      </c>
      <c r="AS401">
        <v>0</v>
      </c>
      <c r="AT401">
        <v>33</v>
      </c>
      <c r="AU401">
        <v>43</v>
      </c>
      <c r="AV401">
        <v>29</v>
      </c>
      <c r="AW401">
        <v>4</v>
      </c>
      <c r="AX401">
        <v>0.8</v>
      </c>
      <c r="AY401">
        <v>7</v>
      </c>
      <c r="AZ401">
        <v>1.4</v>
      </c>
      <c r="BA401">
        <v>5</v>
      </c>
      <c r="BB401">
        <v>7</v>
      </c>
      <c r="BC401">
        <v>2</v>
      </c>
      <c r="BD401">
        <v>1</v>
      </c>
      <c r="BE401">
        <v>0</v>
      </c>
      <c r="BF401">
        <v>2</v>
      </c>
      <c r="BG401">
        <v>3</v>
      </c>
      <c r="BH401">
        <v>4</v>
      </c>
      <c r="BI401">
        <v>9</v>
      </c>
      <c r="BJ401">
        <v>7</v>
      </c>
      <c r="BK401">
        <v>7</v>
      </c>
      <c r="BL401">
        <v>17</v>
      </c>
      <c r="BM401">
        <v>1.8</v>
      </c>
      <c r="BN401">
        <v>1</v>
      </c>
      <c r="BO401">
        <v>1.4</v>
      </c>
      <c r="BP401">
        <v>2.4</v>
      </c>
      <c r="BQ401">
        <v>2</v>
      </c>
      <c r="BR401">
        <v>1</v>
      </c>
      <c r="BS401">
        <v>0</v>
      </c>
      <c r="BT401">
        <v>0</v>
      </c>
      <c r="BU401">
        <v>1</v>
      </c>
      <c r="BV401">
        <v>0</v>
      </c>
      <c r="BW401">
        <v>1</v>
      </c>
      <c r="BX401">
        <v>1</v>
      </c>
      <c r="BY401">
        <v>3</v>
      </c>
      <c r="BZ401">
        <v>0.6</v>
      </c>
      <c r="CA401">
        <v>5</v>
      </c>
      <c r="CB401">
        <v>1</v>
      </c>
      <c r="CC401">
        <v>6</v>
      </c>
      <c r="CD401">
        <v>5</v>
      </c>
      <c r="CE401">
        <v>3</v>
      </c>
      <c r="CF401">
        <v>1</v>
      </c>
      <c r="CG401">
        <v>2</v>
      </c>
      <c r="CH401">
        <v>2</v>
      </c>
      <c r="CI401">
        <v>1</v>
      </c>
      <c r="CJ401">
        <v>2</v>
      </c>
      <c r="CK401">
        <v>7</v>
      </c>
      <c r="CL401">
        <v>5</v>
      </c>
      <c r="CM401">
        <v>5</v>
      </c>
      <c r="CN401">
        <v>6</v>
      </c>
      <c r="CO401">
        <v>1.2</v>
      </c>
      <c r="CP401">
        <v>1</v>
      </c>
      <c r="CQ401">
        <v>0.8</v>
      </c>
      <c r="CR401">
        <v>1.2</v>
      </c>
      <c r="CS401">
        <v>1</v>
      </c>
      <c r="CT401">
        <v>2</v>
      </c>
      <c r="CU401">
        <v>1</v>
      </c>
      <c r="CV401">
        <v>1</v>
      </c>
      <c r="CW401">
        <v>0</v>
      </c>
      <c r="CX401">
        <v>1</v>
      </c>
      <c r="CY401">
        <v>0</v>
      </c>
      <c r="CZ401">
        <v>0</v>
      </c>
    </row>
    <row r="402" spans="1:104" x14ac:dyDescent="0.25">
      <c r="A402" s="1" t="s">
        <v>2438</v>
      </c>
      <c r="B402">
        <v>718</v>
      </c>
      <c r="C402">
        <v>860</v>
      </c>
      <c r="D402" s="2">
        <v>43727</v>
      </c>
      <c r="E402" s="3">
        <f t="shared" si="18"/>
        <v>2019</v>
      </c>
      <c r="F402" s="3">
        <f t="shared" si="19"/>
        <v>9</v>
      </c>
      <c r="G402" s="3">
        <f t="shared" si="20"/>
        <v>5</v>
      </c>
      <c r="H402" t="s">
        <v>2439</v>
      </c>
      <c r="I402">
        <v>776</v>
      </c>
      <c r="J402" t="s">
        <v>578</v>
      </c>
      <c r="K402" t="s">
        <v>380</v>
      </c>
      <c r="L402">
        <v>2019</v>
      </c>
      <c r="M402" t="s">
        <v>458</v>
      </c>
      <c r="N402" t="s">
        <v>2439</v>
      </c>
      <c r="O402" t="s">
        <v>2440</v>
      </c>
      <c r="P402">
        <v>29862</v>
      </c>
      <c r="Q402" t="s">
        <v>380</v>
      </c>
      <c r="R402">
        <v>1926</v>
      </c>
      <c r="S402" t="s">
        <v>2441</v>
      </c>
      <c r="T402" t="s">
        <v>1846</v>
      </c>
      <c r="U402">
        <v>11580</v>
      </c>
      <c r="V402" t="s">
        <v>380</v>
      </c>
      <c r="W402">
        <v>2007</v>
      </c>
      <c r="X402" t="s">
        <v>109</v>
      </c>
      <c r="Z402">
        <v>-1.5</v>
      </c>
      <c r="AA402">
        <v>-1.5</v>
      </c>
      <c r="AB402">
        <v>35</v>
      </c>
      <c r="AC402">
        <v>35</v>
      </c>
      <c r="AD402">
        <v>30</v>
      </c>
      <c r="AE402">
        <v>33</v>
      </c>
      <c r="AF402">
        <v>67</v>
      </c>
      <c r="AG402">
        <v>63</v>
      </c>
      <c r="AH402">
        <v>38</v>
      </c>
      <c r="AI402">
        <v>41</v>
      </c>
      <c r="AJ402">
        <v>59</v>
      </c>
      <c r="AK402">
        <v>38</v>
      </c>
      <c r="AL402">
        <v>62</v>
      </c>
      <c r="AM402">
        <v>80</v>
      </c>
      <c r="AN402">
        <v>20</v>
      </c>
      <c r="AO402">
        <v>75</v>
      </c>
      <c r="AP402">
        <v>25</v>
      </c>
      <c r="AQ402">
        <v>7</v>
      </c>
      <c r="AR402">
        <v>28</v>
      </c>
      <c r="AS402">
        <v>44</v>
      </c>
      <c r="AT402">
        <v>13</v>
      </c>
      <c r="AU402">
        <v>17</v>
      </c>
      <c r="AV402">
        <v>61</v>
      </c>
      <c r="AW402">
        <v>5</v>
      </c>
      <c r="AX402">
        <v>1</v>
      </c>
      <c r="AY402">
        <v>10</v>
      </c>
      <c r="AZ402">
        <v>2</v>
      </c>
      <c r="BA402">
        <v>2</v>
      </c>
      <c r="BB402">
        <v>3</v>
      </c>
      <c r="BC402">
        <v>0</v>
      </c>
      <c r="BD402">
        <v>0</v>
      </c>
      <c r="BE402">
        <v>1</v>
      </c>
      <c r="BF402">
        <v>0</v>
      </c>
      <c r="BG402">
        <v>1</v>
      </c>
      <c r="BH402">
        <v>3</v>
      </c>
      <c r="BI402">
        <v>1</v>
      </c>
      <c r="BJ402">
        <v>4</v>
      </c>
      <c r="BK402">
        <v>3</v>
      </c>
      <c r="BL402">
        <v>7</v>
      </c>
      <c r="BM402">
        <v>0.5</v>
      </c>
      <c r="BN402">
        <v>1.3</v>
      </c>
      <c r="BO402">
        <v>1.5</v>
      </c>
      <c r="BP402">
        <v>2.2999999999999998</v>
      </c>
      <c r="BQ402">
        <v>2</v>
      </c>
      <c r="BR402">
        <v>2</v>
      </c>
      <c r="BS402">
        <v>0</v>
      </c>
      <c r="BT402">
        <v>2</v>
      </c>
      <c r="BU402">
        <v>2</v>
      </c>
      <c r="BV402">
        <v>0</v>
      </c>
      <c r="BW402">
        <v>0</v>
      </c>
      <c r="BX402">
        <v>0</v>
      </c>
      <c r="BY402">
        <v>3</v>
      </c>
      <c r="BZ402">
        <v>0.6</v>
      </c>
      <c r="CA402">
        <v>7</v>
      </c>
      <c r="CB402">
        <v>1.4</v>
      </c>
      <c r="CC402">
        <v>2</v>
      </c>
      <c r="CD402">
        <v>3</v>
      </c>
      <c r="CE402">
        <v>0</v>
      </c>
      <c r="CF402">
        <v>0</v>
      </c>
      <c r="CG402">
        <v>1</v>
      </c>
      <c r="CH402">
        <v>1</v>
      </c>
      <c r="CI402">
        <v>1</v>
      </c>
      <c r="CJ402">
        <v>2</v>
      </c>
      <c r="CK402">
        <v>1</v>
      </c>
      <c r="CL402">
        <v>2</v>
      </c>
      <c r="CM402">
        <v>2</v>
      </c>
      <c r="CN402">
        <v>5</v>
      </c>
      <c r="CO402">
        <v>0.5</v>
      </c>
      <c r="CP402">
        <v>0.7</v>
      </c>
      <c r="CQ402">
        <v>1</v>
      </c>
      <c r="CR402">
        <v>1.7</v>
      </c>
      <c r="CS402">
        <v>2</v>
      </c>
      <c r="CT402">
        <v>2</v>
      </c>
      <c r="CU402">
        <v>0</v>
      </c>
      <c r="CV402">
        <v>0</v>
      </c>
      <c r="CW402">
        <v>0</v>
      </c>
      <c r="CX402">
        <v>2</v>
      </c>
      <c r="CY402">
        <v>2</v>
      </c>
      <c r="CZ402">
        <v>0</v>
      </c>
    </row>
    <row r="403" spans="1:104" x14ac:dyDescent="0.25">
      <c r="A403" s="1" t="s">
        <v>2442</v>
      </c>
      <c r="B403">
        <v>7150</v>
      </c>
      <c r="C403">
        <v>10411</v>
      </c>
      <c r="D403" s="2">
        <v>43660</v>
      </c>
      <c r="E403" s="3">
        <f t="shared" si="18"/>
        <v>2019</v>
      </c>
      <c r="F403" s="3">
        <f t="shared" si="19"/>
        <v>7</v>
      </c>
      <c r="G403" s="3">
        <f t="shared" si="20"/>
        <v>1</v>
      </c>
      <c r="H403" t="s">
        <v>2443</v>
      </c>
      <c r="I403">
        <v>1433</v>
      </c>
      <c r="J403" t="s">
        <v>2303</v>
      </c>
      <c r="K403" t="s">
        <v>149</v>
      </c>
      <c r="L403">
        <v>2019</v>
      </c>
      <c r="M403" t="s">
        <v>906</v>
      </c>
      <c r="N403" t="s">
        <v>2443</v>
      </c>
      <c r="O403" t="s">
        <v>2444</v>
      </c>
      <c r="P403">
        <v>5000</v>
      </c>
      <c r="Q403" t="s">
        <v>149</v>
      </c>
      <c r="R403">
        <v>2012</v>
      </c>
      <c r="S403" t="s">
        <v>2445</v>
      </c>
      <c r="T403" t="s">
        <v>2446</v>
      </c>
      <c r="U403">
        <v>2162</v>
      </c>
      <c r="V403" t="s">
        <v>149</v>
      </c>
      <c r="W403">
        <v>2001</v>
      </c>
      <c r="X403" t="s">
        <v>125</v>
      </c>
      <c r="Z403">
        <v>-1.5</v>
      </c>
      <c r="AA403">
        <v>-2.5</v>
      </c>
      <c r="AB403">
        <v>10</v>
      </c>
      <c r="AC403">
        <v>45</v>
      </c>
      <c r="AD403">
        <v>45</v>
      </c>
      <c r="AE403">
        <v>56</v>
      </c>
      <c r="AF403">
        <v>44</v>
      </c>
      <c r="AG403">
        <v>43</v>
      </c>
      <c r="AH403">
        <v>57</v>
      </c>
      <c r="AI403">
        <v>67</v>
      </c>
      <c r="AJ403">
        <v>33</v>
      </c>
      <c r="AK403">
        <v>36</v>
      </c>
      <c r="AL403">
        <v>64</v>
      </c>
      <c r="AM403">
        <v>36</v>
      </c>
      <c r="AN403">
        <v>64</v>
      </c>
      <c r="AO403">
        <v>40</v>
      </c>
      <c r="AP403">
        <v>60</v>
      </c>
      <c r="AQ403">
        <v>33</v>
      </c>
      <c r="AR403">
        <v>43</v>
      </c>
      <c r="AS403">
        <v>57</v>
      </c>
      <c r="AT403">
        <v>27</v>
      </c>
      <c r="AU403">
        <v>57</v>
      </c>
      <c r="AV403">
        <v>14</v>
      </c>
      <c r="AW403">
        <v>6</v>
      </c>
      <c r="AX403">
        <v>1.2</v>
      </c>
      <c r="AY403">
        <v>6</v>
      </c>
      <c r="AZ403">
        <v>1.2</v>
      </c>
      <c r="BA403">
        <v>5</v>
      </c>
      <c r="BB403">
        <v>9</v>
      </c>
      <c r="BC403">
        <v>0</v>
      </c>
      <c r="BD403">
        <v>5</v>
      </c>
      <c r="BE403">
        <v>1</v>
      </c>
      <c r="BF403">
        <v>3</v>
      </c>
      <c r="BG403">
        <v>4</v>
      </c>
      <c r="BH403">
        <v>1</v>
      </c>
      <c r="BI403">
        <v>2</v>
      </c>
      <c r="BJ403">
        <v>15</v>
      </c>
      <c r="BK403">
        <v>7</v>
      </c>
      <c r="BL403">
        <v>7</v>
      </c>
      <c r="BM403">
        <v>0.4</v>
      </c>
      <c r="BN403">
        <v>1.7</v>
      </c>
      <c r="BO403">
        <v>1.4</v>
      </c>
      <c r="BP403">
        <v>0.8</v>
      </c>
      <c r="BQ403">
        <v>3</v>
      </c>
      <c r="BR403">
        <v>3</v>
      </c>
      <c r="BS403">
        <v>1</v>
      </c>
      <c r="BT403">
        <v>2</v>
      </c>
      <c r="BU403">
        <v>1</v>
      </c>
      <c r="BV403">
        <v>0</v>
      </c>
      <c r="BW403">
        <v>1</v>
      </c>
      <c r="BX403">
        <v>1</v>
      </c>
      <c r="BY403">
        <v>8</v>
      </c>
      <c r="BZ403">
        <v>1.6</v>
      </c>
      <c r="CA403">
        <v>12</v>
      </c>
      <c r="CB403">
        <v>2.4</v>
      </c>
      <c r="CC403">
        <v>8</v>
      </c>
      <c r="CD403">
        <v>6</v>
      </c>
      <c r="CE403">
        <v>1</v>
      </c>
      <c r="CF403">
        <v>2</v>
      </c>
      <c r="CG403">
        <v>0</v>
      </c>
      <c r="CH403">
        <v>1</v>
      </c>
      <c r="CI403">
        <v>7</v>
      </c>
      <c r="CJ403">
        <v>3</v>
      </c>
      <c r="CK403">
        <v>8</v>
      </c>
      <c r="CL403">
        <v>7</v>
      </c>
      <c r="CM403">
        <v>20</v>
      </c>
      <c r="CN403">
        <v>11</v>
      </c>
      <c r="CO403">
        <v>1</v>
      </c>
      <c r="CP403">
        <v>1.2</v>
      </c>
      <c r="CQ403">
        <v>2.5</v>
      </c>
      <c r="CR403">
        <v>1.8</v>
      </c>
      <c r="CS403">
        <v>3</v>
      </c>
      <c r="CT403">
        <v>3</v>
      </c>
      <c r="CU403">
        <v>1</v>
      </c>
      <c r="CV403">
        <v>1</v>
      </c>
      <c r="CW403">
        <v>0</v>
      </c>
      <c r="CX403">
        <v>1</v>
      </c>
      <c r="CY403">
        <v>2</v>
      </c>
      <c r="CZ403">
        <v>1</v>
      </c>
    </row>
    <row r="404" spans="1:104" x14ac:dyDescent="0.25">
      <c r="A404" s="1" t="s">
        <v>2447</v>
      </c>
      <c r="B404">
        <v>4328</v>
      </c>
      <c r="C404">
        <v>6291</v>
      </c>
      <c r="D404" s="2">
        <v>43897</v>
      </c>
      <c r="E404" s="3">
        <f t="shared" si="18"/>
        <v>2020</v>
      </c>
      <c r="F404" s="3">
        <f t="shared" si="19"/>
        <v>3</v>
      </c>
      <c r="G404" s="3">
        <f t="shared" si="20"/>
        <v>7</v>
      </c>
      <c r="H404" t="s">
        <v>2448</v>
      </c>
      <c r="I404">
        <v>908</v>
      </c>
      <c r="J404" t="s">
        <v>1088</v>
      </c>
      <c r="K404" t="s">
        <v>1297</v>
      </c>
      <c r="L404">
        <v>2019</v>
      </c>
      <c r="M404" t="s">
        <v>2449</v>
      </c>
      <c r="N404" t="s">
        <v>2448</v>
      </c>
      <c r="O404" t="s">
        <v>2450</v>
      </c>
      <c r="P404">
        <v>6370</v>
      </c>
      <c r="Q404" t="s">
        <v>1297</v>
      </c>
      <c r="R404">
        <v>1922</v>
      </c>
      <c r="S404" t="s">
        <v>2451</v>
      </c>
      <c r="T404" t="s">
        <v>2452</v>
      </c>
      <c r="U404">
        <v>2000</v>
      </c>
      <c r="V404" t="s">
        <v>1297</v>
      </c>
      <c r="W404">
        <v>1945</v>
      </c>
      <c r="X404">
        <v>1</v>
      </c>
      <c r="Z404">
        <v>-4.5</v>
      </c>
      <c r="AA404">
        <v>-1.5</v>
      </c>
      <c r="AB404">
        <v>50</v>
      </c>
      <c r="AC404">
        <v>50</v>
      </c>
      <c r="AD404">
        <v>0</v>
      </c>
      <c r="AE404">
        <v>94</v>
      </c>
      <c r="AF404">
        <v>6</v>
      </c>
      <c r="AG404">
        <v>80</v>
      </c>
      <c r="AH404">
        <v>20</v>
      </c>
      <c r="AI404">
        <v>81</v>
      </c>
      <c r="AJ404">
        <v>19</v>
      </c>
      <c r="AK404">
        <v>88</v>
      </c>
      <c r="AL404">
        <v>12</v>
      </c>
      <c r="AM404">
        <v>100</v>
      </c>
      <c r="AN404">
        <v>0</v>
      </c>
      <c r="AO404">
        <v>100</v>
      </c>
      <c r="AP404">
        <v>0</v>
      </c>
      <c r="AQ404">
        <v>100</v>
      </c>
      <c r="AR404">
        <v>86</v>
      </c>
      <c r="AS404">
        <v>79</v>
      </c>
      <c r="AT404">
        <v>7</v>
      </c>
      <c r="AU404">
        <v>21</v>
      </c>
      <c r="AV404">
        <v>7</v>
      </c>
      <c r="AW404">
        <v>12</v>
      </c>
      <c r="AX404">
        <v>2.4</v>
      </c>
      <c r="AY404">
        <v>3</v>
      </c>
      <c r="AZ404">
        <v>0.6</v>
      </c>
      <c r="BA404">
        <v>7</v>
      </c>
      <c r="BB404">
        <v>8</v>
      </c>
      <c r="BC404">
        <v>5</v>
      </c>
      <c r="BD404">
        <v>7</v>
      </c>
      <c r="BE404">
        <v>1</v>
      </c>
      <c r="BF404">
        <v>0</v>
      </c>
      <c r="BG404">
        <v>1</v>
      </c>
      <c r="BH404">
        <v>1</v>
      </c>
      <c r="BI404">
        <v>14</v>
      </c>
      <c r="BJ404">
        <v>21</v>
      </c>
      <c r="BK404">
        <v>5</v>
      </c>
      <c r="BL404">
        <v>4</v>
      </c>
      <c r="BM404">
        <v>2</v>
      </c>
      <c r="BN404">
        <v>2.6</v>
      </c>
      <c r="BO404">
        <v>0.7</v>
      </c>
      <c r="BP404">
        <v>0.5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0</v>
      </c>
      <c r="BY404">
        <v>3</v>
      </c>
      <c r="BZ404">
        <v>0.6</v>
      </c>
      <c r="CA404">
        <v>13</v>
      </c>
      <c r="CB404">
        <v>2.6</v>
      </c>
      <c r="CC404">
        <v>8</v>
      </c>
      <c r="CD404">
        <v>7</v>
      </c>
      <c r="CE404">
        <v>0</v>
      </c>
      <c r="CF404">
        <v>1</v>
      </c>
      <c r="CG404">
        <v>1</v>
      </c>
      <c r="CH404">
        <v>0</v>
      </c>
      <c r="CI404">
        <v>7</v>
      </c>
      <c r="CJ404">
        <v>6</v>
      </c>
      <c r="CK404">
        <v>4</v>
      </c>
      <c r="CL404">
        <v>7</v>
      </c>
      <c r="CM404">
        <v>25</v>
      </c>
      <c r="CN404">
        <v>26</v>
      </c>
      <c r="CO404">
        <v>0.5</v>
      </c>
      <c r="CP404">
        <v>1</v>
      </c>
      <c r="CQ404">
        <v>3.1</v>
      </c>
      <c r="CR404">
        <v>3.7</v>
      </c>
      <c r="CS404">
        <v>1</v>
      </c>
      <c r="CT404">
        <v>1</v>
      </c>
      <c r="CU404">
        <v>0</v>
      </c>
      <c r="CV404">
        <v>0</v>
      </c>
      <c r="CW404">
        <v>0</v>
      </c>
      <c r="CX404">
        <v>0</v>
      </c>
      <c r="CY404">
        <v>1</v>
      </c>
      <c r="CZ404">
        <v>1</v>
      </c>
    </row>
    <row r="405" spans="1:104" x14ac:dyDescent="0.25">
      <c r="A405" s="1" t="s">
        <v>2453</v>
      </c>
      <c r="B405">
        <v>6959</v>
      </c>
      <c r="C405">
        <v>6945</v>
      </c>
      <c r="D405" s="2">
        <v>43737</v>
      </c>
      <c r="E405" s="3">
        <f t="shared" si="18"/>
        <v>2019</v>
      </c>
      <c r="F405" s="3">
        <f t="shared" si="19"/>
        <v>9</v>
      </c>
      <c r="G405" s="3">
        <f t="shared" si="20"/>
        <v>1</v>
      </c>
      <c r="H405" t="s">
        <v>974</v>
      </c>
      <c r="I405">
        <v>1191</v>
      </c>
      <c r="J405" t="s">
        <v>166</v>
      </c>
      <c r="K405" t="s">
        <v>167</v>
      </c>
      <c r="L405">
        <v>2019</v>
      </c>
      <c r="M405" t="s">
        <v>780</v>
      </c>
      <c r="Q405" t="s">
        <v>167</v>
      </c>
      <c r="V405" t="s">
        <v>167</v>
      </c>
      <c r="W405">
        <v>1945</v>
      </c>
      <c r="X405" t="s">
        <v>125</v>
      </c>
      <c r="Z405">
        <v>-2.5</v>
      </c>
      <c r="AA405">
        <v>-3.5</v>
      </c>
      <c r="AB405">
        <v>10</v>
      </c>
      <c r="AC405">
        <v>45</v>
      </c>
      <c r="AD405">
        <v>45</v>
      </c>
      <c r="AE405">
        <v>40</v>
      </c>
      <c r="AF405">
        <v>60</v>
      </c>
      <c r="AG405">
        <v>50</v>
      </c>
      <c r="AH405">
        <v>50</v>
      </c>
      <c r="AI405">
        <v>36</v>
      </c>
      <c r="AJ405">
        <v>64</v>
      </c>
      <c r="AK405">
        <v>16</v>
      </c>
      <c r="AL405">
        <v>84</v>
      </c>
      <c r="AM405">
        <v>0</v>
      </c>
      <c r="AN405">
        <v>0</v>
      </c>
      <c r="AO405">
        <v>0</v>
      </c>
      <c r="AP405">
        <v>0</v>
      </c>
      <c r="AQ405">
        <v>40</v>
      </c>
      <c r="AR405">
        <v>62</v>
      </c>
      <c r="AS405">
        <v>31</v>
      </c>
      <c r="AT405">
        <v>60</v>
      </c>
      <c r="AU405">
        <v>62</v>
      </c>
      <c r="AV405">
        <v>62</v>
      </c>
      <c r="AW405">
        <v>8</v>
      </c>
      <c r="AX405">
        <v>1.6</v>
      </c>
      <c r="AY405">
        <v>9</v>
      </c>
      <c r="AZ405">
        <v>1.8</v>
      </c>
      <c r="BA405">
        <v>4</v>
      </c>
      <c r="BB405">
        <v>6</v>
      </c>
      <c r="BC405">
        <v>2</v>
      </c>
      <c r="BD405">
        <v>3</v>
      </c>
      <c r="BE405">
        <v>0</v>
      </c>
      <c r="BF405">
        <v>0</v>
      </c>
      <c r="BG405">
        <v>2</v>
      </c>
      <c r="BH405">
        <v>3</v>
      </c>
      <c r="BI405">
        <v>5</v>
      </c>
      <c r="BJ405">
        <v>8</v>
      </c>
      <c r="BK405">
        <v>6</v>
      </c>
      <c r="BL405">
        <v>9</v>
      </c>
      <c r="BM405">
        <v>1.3</v>
      </c>
      <c r="BN405">
        <v>1.3</v>
      </c>
      <c r="BO405">
        <v>1.5</v>
      </c>
      <c r="BP405">
        <v>1.5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8</v>
      </c>
      <c r="BZ405">
        <v>1.6</v>
      </c>
      <c r="CA405">
        <v>5</v>
      </c>
      <c r="CB405">
        <v>1</v>
      </c>
      <c r="CC405">
        <v>6</v>
      </c>
      <c r="CD405">
        <v>4</v>
      </c>
      <c r="CE405">
        <v>2</v>
      </c>
      <c r="CF405">
        <v>3</v>
      </c>
      <c r="CG405">
        <v>2</v>
      </c>
      <c r="CH405">
        <v>1</v>
      </c>
      <c r="CI405">
        <v>2</v>
      </c>
      <c r="CJ405">
        <v>0</v>
      </c>
      <c r="CK405">
        <v>9</v>
      </c>
      <c r="CL405">
        <v>8</v>
      </c>
      <c r="CM405">
        <v>6</v>
      </c>
      <c r="CN405">
        <v>2</v>
      </c>
      <c r="CO405">
        <v>1.5</v>
      </c>
      <c r="CP405">
        <v>2</v>
      </c>
      <c r="CQ405">
        <v>1</v>
      </c>
      <c r="CR405">
        <v>0.5</v>
      </c>
      <c r="CS405">
        <v>1</v>
      </c>
      <c r="CT405">
        <v>1</v>
      </c>
      <c r="CU405">
        <v>0</v>
      </c>
      <c r="CV405">
        <v>0</v>
      </c>
      <c r="CW405">
        <v>0</v>
      </c>
      <c r="CX405">
        <v>0</v>
      </c>
      <c r="CY405">
        <v>1</v>
      </c>
      <c r="CZ405">
        <v>1</v>
      </c>
    </row>
    <row r="406" spans="1:104" x14ac:dyDescent="0.25">
      <c r="A406" s="1" t="s">
        <v>2454</v>
      </c>
      <c r="B406">
        <v>5338</v>
      </c>
      <c r="C406">
        <v>5340</v>
      </c>
      <c r="D406" s="2">
        <v>43722</v>
      </c>
      <c r="E406" s="3">
        <f t="shared" si="18"/>
        <v>2019</v>
      </c>
      <c r="F406" s="3">
        <f t="shared" si="19"/>
        <v>9</v>
      </c>
      <c r="G406" s="3">
        <f t="shared" si="20"/>
        <v>7</v>
      </c>
      <c r="H406" t="s">
        <v>2455</v>
      </c>
      <c r="I406">
        <v>813</v>
      </c>
      <c r="J406" t="s">
        <v>240</v>
      </c>
      <c r="K406" t="s">
        <v>695</v>
      </c>
      <c r="L406">
        <v>2019</v>
      </c>
      <c r="M406" t="s">
        <v>828</v>
      </c>
      <c r="N406" t="s">
        <v>2456</v>
      </c>
      <c r="O406" t="s">
        <v>2457</v>
      </c>
      <c r="P406">
        <v>1895</v>
      </c>
      <c r="Q406" t="s">
        <v>695</v>
      </c>
      <c r="S406" t="s">
        <v>2458</v>
      </c>
      <c r="T406" t="s">
        <v>2459</v>
      </c>
      <c r="U406">
        <v>5333</v>
      </c>
      <c r="V406" t="s">
        <v>695</v>
      </c>
      <c r="W406">
        <v>1919</v>
      </c>
      <c r="X406" t="s">
        <v>109</v>
      </c>
      <c r="Z406">
        <v>-2.5</v>
      </c>
      <c r="AA406">
        <v>-2.5</v>
      </c>
      <c r="AB406">
        <v>35</v>
      </c>
      <c r="AC406">
        <v>35</v>
      </c>
      <c r="AD406">
        <v>30</v>
      </c>
      <c r="AE406">
        <v>50</v>
      </c>
      <c r="AF406">
        <v>50</v>
      </c>
      <c r="AG406">
        <v>26</v>
      </c>
      <c r="AH406">
        <v>74</v>
      </c>
      <c r="AI406">
        <v>54</v>
      </c>
      <c r="AJ406">
        <v>46</v>
      </c>
      <c r="AK406">
        <v>80</v>
      </c>
      <c r="AL406">
        <v>20</v>
      </c>
      <c r="AM406">
        <v>0</v>
      </c>
      <c r="AN406">
        <v>0</v>
      </c>
      <c r="AO406">
        <v>0</v>
      </c>
      <c r="AP406">
        <v>0</v>
      </c>
      <c r="AQ406">
        <v>27</v>
      </c>
      <c r="AR406">
        <v>36</v>
      </c>
      <c r="AS406">
        <v>21</v>
      </c>
      <c r="AT406">
        <v>27</v>
      </c>
      <c r="AU406">
        <v>100</v>
      </c>
      <c r="AV406">
        <v>7</v>
      </c>
      <c r="AW406">
        <v>5</v>
      </c>
      <c r="AX406">
        <v>1</v>
      </c>
      <c r="AY406">
        <v>11</v>
      </c>
      <c r="AZ406">
        <v>2.2000000000000002</v>
      </c>
      <c r="BA406">
        <v>3</v>
      </c>
      <c r="BB406">
        <v>4</v>
      </c>
      <c r="BC406">
        <v>1</v>
      </c>
      <c r="BD406">
        <v>2</v>
      </c>
      <c r="BE406">
        <v>0</v>
      </c>
      <c r="BF406">
        <v>1</v>
      </c>
      <c r="BG406">
        <v>2</v>
      </c>
      <c r="BH406">
        <v>1</v>
      </c>
      <c r="BI406">
        <v>3</v>
      </c>
      <c r="BJ406">
        <v>7</v>
      </c>
      <c r="BK406">
        <v>7</v>
      </c>
      <c r="BL406">
        <v>4</v>
      </c>
      <c r="BM406">
        <v>1</v>
      </c>
      <c r="BN406">
        <v>1.8</v>
      </c>
      <c r="BO406">
        <v>2.2999999999999998</v>
      </c>
      <c r="BP406">
        <v>1</v>
      </c>
      <c r="BQ406">
        <v>2</v>
      </c>
      <c r="BR406">
        <v>1</v>
      </c>
      <c r="BS406">
        <v>1</v>
      </c>
      <c r="BT406">
        <v>0</v>
      </c>
      <c r="BU406">
        <v>1</v>
      </c>
      <c r="BV406">
        <v>1</v>
      </c>
      <c r="BW406">
        <v>0</v>
      </c>
      <c r="BX406">
        <v>0</v>
      </c>
      <c r="BY406">
        <v>14</v>
      </c>
      <c r="BZ406">
        <v>2.8</v>
      </c>
      <c r="CA406">
        <v>13</v>
      </c>
      <c r="CB406">
        <v>2.6</v>
      </c>
      <c r="CC406">
        <v>4</v>
      </c>
      <c r="CD406">
        <v>3</v>
      </c>
      <c r="CE406">
        <v>2</v>
      </c>
      <c r="CF406">
        <v>0</v>
      </c>
      <c r="CG406">
        <v>0</v>
      </c>
      <c r="CH406">
        <v>1</v>
      </c>
      <c r="CI406">
        <v>2</v>
      </c>
      <c r="CJ406">
        <v>2</v>
      </c>
      <c r="CK406">
        <v>16</v>
      </c>
      <c r="CL406">
        <v>1</v>
      </c>
      <c r="CM406">
        <v>9</v>
      </c>
      <c r="CN406">
        <v>11</v>
      </c>
      <c r="CO406">
        <v>4</v>
      </c>
      <c r="CP406">
        <v>0.3</v>
      </c>
      <c r="CQ406">
        <v>2.2999999999999998</v>
      </c>
      <c r="CR406">
        <v>3.7</v>
      </c>
      <c r="CS406">
        <v>1</v>
      </c>
      <c r="CT406">
        <v>2</v>
      </c>
      <c r="CU406">
        <v>0</v>
      </c>
      <c r="CV406">
        <v>0</v>
      </c>
      <c r="CW406">
        <v>1</v>
      </c>
      <c r="CX406">
        <v>1</v>
      </c>
      <c r="CY406">
        <v>0</v>
      </c>
      <c r="CZ406">
        <v>1</v>
      </c>
    </row>
    <row r="407" spans="1:104" x14ac:dyDescent="0.25">
      <c r="A407" s="1" t="s">
        <v>2460</v>
      </c>
      <c r="B407">
        <v>8295</v>
      </c>
      <c r="C407">
        <v>8299</v>
      </c>
      <c r="D407" s="2">
        <v>43756</v>
      </c>
      <c r="E407" s="3">
        <f t="shared" si="18"/>
        <v>2019</v>
      </c>
      <c r="F407" s="3">
        <f t="shared" si="19"/>
        <v>10</v>
      </c>
      <c r="G407" s="3">
        <f t="shared" si="20"/>
        <v>6</v>
      </c>
      <c r="H407" t="s">
        <v>2461</v>
      </c>
      <c r="I407">
        <v>1090</v>
      </c>
      <c r="J407" t="s">
        <v>2462</v>
      </c>
      <c r="K407" t="s">
        <v>547</v>
      </c>
      <c r="L407">
        <v>2019</v>
      </c>
      <c r="M407" t="s">
        <v>2463</v>
      </c>
      <c r="N407" t="s">
        <v>2461</v>
      </c>
      <c r="O407" t="s">
        <v>2464</v>
      </c>
      <c r="P407">
        <v>2500</v>
      </c>
      <c r="Q407" t="s">
        <v>547</v>
      </c>
      <c r="S407" t="s">
        <v>2465</v>
      </c>
      <c r="T407" t="s">
        <v>2466</v>
      </c>
      <c r="U407">
        <v>1000</v>
      </c>
      <c r="V407" t="s">
        <v>547</v>
      </c>
      <c r="X407" t="s">
        <v>109</v>
      </c>
      <c r="Z407">
        <v>-2.5</v>
      </c>
      <c r="AA407">
        <v>-1.5</v>
      </c>
      <c r="AB407">
        <v>35</v>
      </c>
      <c r="AC407">
        <v>35</v>
      </c>
      <c r="AD407">
        <v>30</v>
      </c>
      <c r="AE407">
        <v>50</v>
      </c>
      <c r="AF407">
        <v>50</v>
      </c>
      <c r="AG407">
        <v>58</v>
      </c>
      <c r="AH407">
        <v>42</v>
      </c>
      <c r="AI407">
        <v>41</v>
      </c>
      <c r="AJ407">
        <v>59</v>
      </c>
      <c r="AK407">
        <v>73</v>
      </c>
      <c r="AL407">
        <v>27</v>
      </c>
      <c r="AM407">
        <v>0</v>
      </c>
      <c r="AN407">
        <v>0</v>
      </c>
      <c r="AO407">
        <v>0</v>
      </c>
      <c r="AP407">
        <v>0</v>
      </c>
      <c r="AQ407">
        <v>47</v>
      </c>
      <c r="AR407">
        <v>39</v>
      </c>
      <c r="AS407">
        <v>44</v>
      </c>
      <c r="AT407">
        <v>47</v>
      </c>
      <c r="AU407">
        <v>28</v>
      </c>
      <c r="AV407">
        <v>61</v>
      </c>
      <c r="AW407">
        <v>7</v>
      </c>
      <c r="AX407">
        <v>1.4</v>
      </c>
      <c r="AY407">
        <v>10</v>
      </c>
      <c r="AZ407">
        <v>2</v>
      </c>
      <c r="BA407">
        <v>5</v>
      </c>
      <c r="BB407">
        <v>6</v>
      </c>
      <c r="BC407">
        <v>2</v>
      </c>
      <c r="BD407">
        <v>1</v>
      </c>
      <c r="BE407">
        <v>2</v>
      </c>
      <c r="BF407">
        <v>1</v>
      </c>
      <c r="BG407">
        <v>1</v>
      </c>
      <c r="BH407">
        <v>4</v>
      </c>
      <c r="BI407">
        <v>11</v>
      </c>
      <c r="BJ407">
        <v>7</v>
      </c>
      <c r="BK407">
        <v>8</v>
      </c>
      <c r="BL407">
        <v>15</v>
      </c>
      <c r="BM407">
        <v>2.2000000000000002</v>
      </c>
      <c r="BN407">
        <v>1.2</v>
      </c>
      <c r="BO407">
        <v>1.6</v>
      </c>
      <c r="BP407">
        <v>2.5</v>
      </c>
      <c r="BQ407">
        <v>1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1</v>
      </c>
      <c r="BX407">
        <v>0</v>
      </c>
      <c r="BY407">
        <v>5</v>
      </c>
      <c r="BZ407">
        <v>1</v>
      </c>
      <c r="CA407">
        <v>7</v>
      </c>
      <c r="CB407">
        <v>1.4</v>
      </c>
      <c r="CC407">
        <v>5</v>
      </c>
      <c r="CD407">
        <v>6</v>
      </c>
      <c r="CE407">
        <v>2</v>
      </c>
      <c r="CF407">
        <v>1</v>
      </c>
      <c r="CG407">
        <v>2</v>
      </c>
      <c r="CH407">
        <v>0</v>
      </c>
      <c r="CI407">
        <v>1</v>
      </c>
      <c r="CJ407">
        <v>5</v>
      </c>
      <c r="CK407">
        <v>7</v>
      </c>
      <c r="CL407">
        <v>4</v>
      </c>
      <c r="CM407">
        <v>8</v>
      </c>
      <c r="CN407">
        <v>11</v>
      </c>
      <c r="CO407">
        <v>1.4</v>
      </c>
      <c r="CP407">
        <v>0.7</v>
      </c>
      <c r="CQ407">
        <v>1.6</v>
      </c>
      <c r="CR407">
        <v>1.8</v>
      </c>
      <c r="CS407">
        <v>0</v>
      </c>
      <c r="CT407">
        <v>1</v>
      </c>
      <c r="CU407">
        <v>0</v>
      </c>
      <c r="CV407">
        <v>1</v>
      </c>
      <c r="CW407">
        <v>0</v>
      </c>
      <c r="CX407">
        <v>0</v>
      </c>
      <c r="CY407">
        <v>0</v>
      </c>
      <c r="CZ407">
        <v>0</v>
      </c>
    </row>
    <row r="408" spans="1:104" x14ac:dyDescent="0.25">
      <c r="A408" s="1" t="s">
        <v>2467</v>
      </c>
      <c r="B408">
        <v>12488</v>
      </c>
      <c r="C408">
        <v>8029</v>
      </c>
      <c r="D408" s="2">
        <v>43998</v>
      </c>
      <c r="E408" s="3">
        <f t="shared" si="18"/>
        <v>2020</v>
      </c>
      <c r="F408" s="3">
        <f t="shared" si="19"/>
        <v>6</v>
      </c>
      <c r="G408" s="3">
        <f t="shared" si="20"/>
        <v>3</v>
      </c>
      <c r="H408" t="s">
        <v>1167</v>
      </c>
      <c r="I408">
        <v>2173</v>
      </c>
      <c r="J408" t="s">
        <v>1168</v>
      </c>
      <c r="K408" t="s">
        <v>1169</v>
      </c>
      <c r="L408">
        <v>2019</v>
      </c>
      <c r="M408" t="s">
        <v>354</v>
      </c>
      <c r="N408" t="s">
        <v>2468</v>
      </c>
      <c r="O408" t="s">
        <v>2469</v>
      </c>
      <c r="P408">
        <v>2000</v>
      </c>
      <c r="Q408" t="s">
        <v>1169</v>
      </c>
      <c r="S408" t="s">
        <v>2470</v>
      </c>
      <c r="T408" t="s">
        <v>2471</v>
      </c>
      <c r="U408">
        <v>12500</v>
      </c>
      <c r="V408" t="s">
        <v>1169</v>
      </c>
      <c r="W408">
        <v>1972</v>
      </c>
      <c r="X408" t="s">
        <v>125</v>
      </c>
      <c r="Z408">
        <v>-1.5</v>
      </c>
      <c r="AA408">
        <v>-2.5</v>
      </c>
      <c r="AB408">
        <v>0</v>
      </c>
      <c r="AC408">
        <v>50</v>
      </c>
      <c r="AD408">
        <v>50</v>
      </c>
      <c r="AE408">
        <v>13</v>
      </c>
      <c r="AF408">
        <v>88</v>
      </c>
      <c r="AG408">
        <v>36</v>
      </c>
      <c r="AH408">
        <v>64</v>
      </c>
      <c r="AI408">
        <v>41</v>
      </c>
      <c r="AJ408">
        <v>59</v>
      </c>
      <c r="AK408">
        <v>37</v>
      </c>
      <c r="AL408">
        <v>63</v>
      </c>
      <c r="AM408">
        <v>15</v>
      </c>
      <c r="AN408">
        <v>85</v>
      </c>
      <c r="AO408">
        <v>11</v>
      </c>
      <c r="AP408">
        <v>89</v>
      </c>
      <c r="AQ408">
        <v>7</v>
      </c>
      <c r="AR408">
        <v>19</v>
      </c>
      <c r="AS408">
        <v>52</v>
      </c>
      <c r="AT408">
        <v>47</v>
      </c>
      <c r="AU408">
        <v>33</v>
      </c>
      <c r="AV408">
        <v>67</v>
      </c>
      <c r="AW408">
        <v>4</v>
      </c>
      <c r="AX408">
        <v>0.8</v>
      </c>
      <c r="AY408">
        <v>10</v>
      </c>
      <c r="AZ408">
        <v>2</v>
      </c>
      <c r="BA408">
        <v>9</v>
      </c>
      <c r="BB408">
        <v>11</v>
      </c>
      <c r="BC408">
        <v>3</v>
      </c>
      <c r="BD408">
        <v>3</v>
      </c>
      <c r="BE408">
        <v>3</v>
      </c>
      <c r="BF408">
        <v>3</v>
      </c>
      <c r="BG408">
        <v>3</v>
      </c>
      <c r="BH408">
        <v>5</v>
      </c>
      <c r="BI408">
        <v>11</v>
      </c>
      <c r="BJ408">
        <v>8</v>
      </c>
      <c r="BK408">
        <v>9</v>
      </c>
      <c r="BL408">
        <v>18</v>
      </c>
      <c r="BM408">
        <v>1.2</v>
      </c>
      <c r="BN408">
        <v>0.7</v>
      </c>
      <c r="BO408">
        <v>1</v>
      </c>
      <c r="BP408">
        <v>1.6</v>
      </c>
      <c r="BQ408">
        <v>9</v>
      </c>
      <c r="BR408">
        <v>9</v>
      </c>
      <c r="BS408">
        <v>1</v>
      </c>
      <c r="BT408">
        <v>1</v>
      </c>
      <c r="BU408">
        <v>3</v>
      </c>
      <c r="BV408">
        <v>4</v>
      </c>
      <c r="BW408">
        <v>5</v>
      </c>
      <c r="BX408">
        <v>4</v>
      </c>
      <c r="BY408">
        <v>7</v>
      </c>
      <c r="BZ408">
        <v>1.4</v>
      </c>
      <c r="CA408">
        <v>7</v>
      </c>
      <c r="CB408">
        <v>1.4</v>
      </c>
      <c r="CC408">
        <v>10</v>
      </c>
      <c r="CD408">
        <v>9</v>
      </c>
      <c r="CE408">
        <v>3</v>
      </c>
      <c r="CF408">
        <v>5</v>
      </c>
      <c r="CG408">
        <v>6</v>
      </c>
      <c r="CH408">
        <v>0</v>
      </c>
      <c r="CI408">
        <v>1</v>
      </c>
      <c r="CJ408">
        <v>4</v>
      </c>
      <c r="CK408">
        <v>14</v>
      </c>
      <c r="CL408">
        <v>13</v>
      </c>
      <c r="CM408">
        <v>9</v>
      </c>
      <c r="CN408">
        <v>7</v>
      </c>
      <c r="CO408">
        <v>1.4</v>
      </c>
      <c r="CP408">
        <v>1.4</v>
      </c>
      <c r="CQ408">
        <v>0.9</v>
      </c>
      <c r="CR408">
        <v>0.8</v>
      </c>
      <c r="CS408">
        <v>9</v>
      </c>
      <c r="CT408">
        <v>9</v>
      </c>
      <c r="CU408">
        <v>4</v>
      </c>
      <c r="CV408">
        <v>5</v>
      </c>
      <c r="CW408">
        <v>4</v>
      </c>
      <c r="CX408">
        <v>3</v>
      </c>
      <c r="CY408">
        <v>1</v>
      </c>
      <c r="CZ408">
        <v>1</v>
      </c>
    </row>
    <row r="409" spans="1:104" x14ac:dyDescent="0.25">
      <c r="A409" s="1" t="s">
        <v>2472</v>
      </c>
      <c r="B409">
        <v>2804</v>
      </c>
      <c r="C409">
        <v>2795</v>
      </c>
      <c r="D409" s="2">
        <v>43876</v>
      </c>
      <c r="E409" s="3">
        <f t="shared" si="18"/>
        <v>2020</v>
      </c>
      <c r="F409" s="3">
        <f t="shared" si="19"/>
        <v>2</v>
      </c>
      <c r="G409" s="3">
        <f t="shared" si="20"/>
        <v>7</v>
      </c>
      <c r="H409" t="s">
        <v>2473</v>
      </c>
      <c r="I409">
        <v>1372</v>
      </c>
      <c r="J409" t="s">
        <v>1790</v>
      </c>
      <c r="K409" t="s">
        <v>1791</v>
      </c>
      <c r="L409">
        <v>2020</v>
      </c>
      <c r="M409" t="s">
        <v>1170</v>
      </c>
      <c r="N409" t="s">
        <v>2473</v>
      </c>
      <c r="O409" t="s">
        <v>2474</v>
      </c>
      <c r="P409">
        <v>3500</v>
      </c>
      <c r="Q409" t="s">
        <v>1791</v>
      </c>
      <c r="R409">
        <v>1954</v>
      </c>
      <c r="S409" t="s">
        <v>2475</v>
      </c>
      <c r="T409" t="s">
        <v>2476</v>
      </c>
      <c r="U409">
        <v>3677</v>
      </c>
      <c r="V409" t="s">
        <v>1791</v>
      </c>
      <c r="W409">
        <v>2006</v>
      </c>
      <c r="X409" t="s">
        <v>125</v>
      </c>
      <c r="AB409">
        <v>0</v>
      </c>
      <c r="AC409">
        <v>50</v>
      </c>
      <c r="AD409">
        <v>50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100</v>
      </c>
      <c r="AO409">
        <v>29</v>
      </c>
      <c r="AP409">
        <v>71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2</v>
      </c>
      <c r="BR409">
        <v>1</v>
      </c>
      <c r="BS409">
        <v>0</v>
      </c>
      <c r="BT409">
        <v>0</v>
      </c>
      <c r="BU409">
        <v>1</v>
      </c>
      <c r="BV409">
        <v>0</v>
      </c>
      <c r="BW409">
        <v>1</v>
      </c>
      <c r="BX409">
        <v>1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1</v>
      </c>
      <c r="CT409">
        <v>2</v>
      </c>
      <c r="CU409">
        <v>1</v>
      </c>
      <c r="CV409">
        <v>1</v>
      </c>
      <c r="CW409">
        <v>0</v>
      </c>
      <c r="CX409">
        <v>1</v>
      </c>
      <c r="CY409">
        <v>0</v>
      </c>
      <c r="CZ409">
        <v>0</v>
      </c>
    </row>
    <row r="410" spans="1:104" x14ac:dyDescent="0.25">
      <c r="A410" s="1" t="s">
        <v>2477</v>
      </c>
      <c r="B410">
        <v>12604</v>
      </c>
      <c r="C410">
        <v>6712</v>
      </c>
      <c r="D410" s="2">
        <v>43687</v>
      </c>
      <c r="E410" s="3">
        <f t="shared" si="18"/>
        <v>2019</v>
      </c>
      <c r="F410" s="3">
        <f t="shared" si="19"/>
        <v>8</v>
      </c>
      <c r="G410" s="3">
        <f t="shared" si="20"/>
        <v>7</v>
      </c>
      <c r="H410" t="s">
        <v>2478</v>
      </c>
      <c r="I410">
        <v>2229</v>
      </c>
      <c r="J410" t="s">
        <v>1770</v>
      </c>
      <c r="K410" t="s">
        <v>104</v>
      </c>
      <c r="L410">
        <v>2019</v>
      </c>
      <c r="M410" t="s">
        <v>968</v>
      </c>
      <c r="N410" t="s">
        <v>2478</v>
      </c>
      <c r="O410" t="s">
        <v>1771</v>
      </c>
      <c r="P410">
        <v>27500</v>
      </c>
      <c r="Q410" t="s">
        <v>104</v>
      </c>
      <c r="R410">
        <v>1899</v>
      </c>
      <c r="S410" t="s">
        <v>2479</v>
      </c>
      <c r="T410" t="s">
        <v>2480</v>
      </c>
      <c r="U410">
        <v>1000</v>
      </c>
      <c r="V410" t="s">
        <v>104</v>
      </c>
      <c r="W410">
        <v>1932</v>
      </c>
      <c r="X410" t="s">
        <v>109</v>
      </c>
      <c r="Z410">
        <v>-2.5</v>
      </c>
      <c r="AA410">
        <v>-1.5</v>
      </c>
      <c r="AB410">
        <v>45</v>
      </c>
      <c r="AC410">
        <v>45</v>
      </c>
      <c r="AD410">
        <v>10</v>
      </c>
      <c r="AE410">
        <v>40</v>
      </c>
      <c r="AF410">
        <v>60</v>
      </c>
      <c r="AG410">
        <v>60</v>
      </c>
      <c r="AH410">
        <v>40</v>
      </c>
      <c r="AI410">
        <v>57</v>
      </c>
      <c r="AJ410">
        <v>43</v>
      </c>
      <c r="AK410">
        <v>58</v>
      </c>
      <c r="AL410">
        <v>42</v>
      </c>
      <c r="AM410">
        <v>67</v>
      </c>
      <c r="AN410">
        <v>33</v>
      </c>
      <c r="AO410">
        <v>60</v>
      </c>
      <c r="AP410">
        <v>40</v>
      </c>
      <c r="AQ410">
        <v>13</v>
      </c>
      <c r="AR410">
        <v>27</v>
      </c>
      <c r="AS410">
        <v>55</v>
      </c>
      <c r="AT410">
        <v>20</v>
      </c>
      <c r="AU410">
        <v>18</v>
      </c>
      <c r="AV410">
        <v>41</v>
      </c>
      <c r="AW410">
        <v>6</v>
      </c>
      <c r="AX410">
        <v>1.2</v>
      </c>
      <c r="AY410">
        <v>10</v>
      </c>
      <c r="AZ410">
        <v>2</v>
      </c>
      <c r="BA410">
        <v>7</v>
      </c>
      <c r="BB410">
        <v>9</v>
      </c>
      <c r="BC410">
        <v>2</v>
      </c>
      <c r="BD410">
        <v>3</v>
      </c>
      <c r="BE410">
        <v>1</v>
      </c>
      <c r="BF410">
        <v>1</v>
      </c>
      <c r="BG410">
        <v>4</v>
      </c>
      <c r="BH410">
        <v>5</v>
      </c>
      <c r="BI410">
        <v>8</v>
      </c>
      <c r="BJ410">
        <v>15</v>
      </c>
      <c r="BK410">
        <v>11</v>
      </c>
      <c r="BL410">
        <v>19</v>
      </c>
      <c r="BM410">
        <v>1.1000000000000001</v>
      </c>
      <c r="BN410">
        <v>1.7</v>
      </c>
      <c r="BO410">
        <v>1.6</v>
      </c>
      <c r="BP410">
        <v>2.1</v>
      </c>
      <c r="BQ410">
        <v>2</v>
      </c>
      <c r="BR410">
        <v>2</v>
      </c>
      <c r="BS410">
        <v>1</v>
      </c>
      <c r="BT410">
        <v>1</v>
      </c>
      <c r="BU410">
        <v>0</v>
      </c>
      <c r="BV410">
        <v>0</v>
      </c>
      <c r="BW410">
        <v>1</v>
      </c>
      <c r="BX410">
        <v>1</v>
      </c>
      <c r="BY410">
        <v>4</v>
      </c>
      <c r="BZ410">
        <v>0.8</v>
      </c>
      <c r="CA410">
        <v>13</v>
      </c>
      <c r="CB410">
        <v>2.6</v>
      </c>
      <c r="CC410">
        <v>8</v>
      </c>
      <c r="CD410">
        <v>8</v>
      </c>
      <c r="CE410">
        <v>2</v>
      </c>
      <c r="CF410">
        <v>2</v>
      </c>
      <c r="CG410">
        <v>1</v>
      </c>
      <c r="CH410">
        <v>0</v>
      </c>
      <c r="CI410">
        <v>5</v>
      </c>
      <c r="CJ410">
        <v>6</v>
      </c>
      <c r="CK410">
        <v>12</v>
      </c>
      <c r="CL410">
        <v>8</v>
      </c>
      <c r="CM410">
        <v>20</v>
      </c>
      <c r="CN410">
        <v>20</v>
      </c>
      <c r="CO410">
        <v>1.5</v>
      </c>
      <c r="CP410">
        <v>1</v>
      </c>
      <c r="CQ410">
        <v>2.5</v>
      </c>
      <c r="CR410">
        <v>2.5</v>
      </c>
      <c r="CS410">
        <v>2</v>
      </c>
      <c r="CT410">
        <v>2</v>
      </c>
      <c r="CU410">
        <v>1</v>
      </c>
      <c r="CV410">
        <v>1</v>
      </c>
      <c r="CW410">
        <v>0</v>
      </c>
      <c r="CX410">
        <v>0</v>
      </c>
      <c r="CY410">
        <v>1</v>
      </c>
      <c r="CZ410">
        <v>1</v>
      </c>
    </row>
    <row r="411" spans="1:104" x14ac:dyDescent="0.25">
      <c r="A411" s="1" t="s">
        <v>2481</v>
      </c>
      <c r="B411">
        <v>5564</v>
      </c>
      <c r="C411">
        <v>5415</v>
      </c>
      <c r="D411" s="2">
        <v>43901</v>
      </c>
      <c r="E411" s="3">
        <f t="shared" si="18"/>
        <v>2020</v>
      </c>
      <c r="F411" s="3">
        <f t="shared" si="19"/>
        <v>3</v>
      </c>
      <c r="G411" s="3">
        <f t="shared" si="20"/>
        <v>4</v>
      </c>
      <c r="H411" t="s">
        <v>590</v>
      </c>
      <c r="I411">
        <v>987</v>
      </c>
      <c r="J411" t="s">
        <v>538</v>
      </c>
      <c r="K411" t="s">
        <v>539</v>
      </c>
      <c r="L411">
        <v>2020</v>
      </c>
      <c r="M411" t="s">
        <v>373</v>
      </c>
      <c r="N411" t="s">
        <v>2482</v>
      </c>
      <c r="O411" t="s">
        <v>2483</v>
      </c>
      <c r="P411">
        <v>2000</v>
      </c>
      <c r="Q411" t="s">
        <v>539</v>
      </c>
      <c r="S411" t="s">
        <v>2484</v>
      </c>
      <c r="T411" t="s">
        <v>2485</v>
      </c>
      <c r="U411">
        <v>5000</v>
      </c>
      <c r="V411" t="s">
        <v>539</v>
      </c>
      <c r="X411" t="s">
        <v>125</v>
      </c>
      <c r="Z411">
        <v>-1.5</v>
      </c>
      <c r="AA411">
        <v>-1.5</v>
      </c>
      <c r="AB411">
        <v>10</v>
      </c>
      <c r="AC411">
        <v>45</v>
      </c>
      <c r="AD411">
        <v>45</v>
      </c>
      <c r="AE411">
        <v>36</v>
      </c>
      <c r="AF411">
        <v>64</v>
      </c>
      <c r="AG411">
        <v>44</v>
      </c>
      <c r="AH411">
        <v>56</v>
      </c>
      <c r="AI411">
        <v>44</v>
      </c>
      <c r="AJ411">
        <v>56</v>
      </c>
      <c r="AK411">
        <v>0</v>
      </c>
      <c r="AL411">
        <v>0</v>
      </c>
      <c r="AM411">
        <v>13</v>
      </c>
      <c r="AN411">
        <v>88</v>
      </c>
      <c r="AO411">
        <v>38</v>
      </c>
      <c r="AP411">
        <v>63</v>
      </c>
      <c r="AQ411">
        <v>27</v>
      </c>
      <c r="AR411">
        <v>50</v>
      </c>
      <c r="AS411">
        <v>0</v>
      </c>
      <c r="AT411">
        <v>47</v>
      </c>
      <c r="AU411">
        <v>63</v>
      </c>
      <c r="AV411">
        <v>13</v>
      </c>
      <c r="AW411">
        <v>4</v>
      </c>
      <c r="AX411">
        <v>0.8</v>
      </c>
      <c r="AY411">
        <v>9</v>
      </c>
      <c r="AZ411">
        <v>1.8</v>
      </c>
      <c r="BA411">
        <v>13</v>
      </c>
      <c r="BB411">
        <v>14</v>
      </c>
      <c r="BC411">
        <v>3</v>
      </c>
      <c r="BD411">
        <v>4</v>
      </c>
      <c r="BE411">
        <v>7</v>
      </c>
      <c r="BF411">
        <v>5</v>
      </c>
      <c r="BG411">
        <v>3</v>
      </c>
      <c r="BH411">
        <v>5</v>
      </c>
      <c r="BI411">
        <v>7</v>
      </c>
      <c r="BJ411">
        <v>10</v>
      </c>
      <c r="BK411">
        <v>8</v>
      </c>
      <c r="BL411">
        <v>13</v>
      </c>
      <c r="BM411">
        <v>0.5</v>
      </c>
      <c r="BN411">
        <v>0.7</v>
      </c>
      <c r="BO411">
        <v>0.6</v>
      </c>
      <c r="BP411">
        <v>0.9</v>
      </c>
      <c r="BQ411">
        <v>2</v>
      </c>
      <c r="BR411">
        <v>2</v>
      </c>
      <c r="BS411">
        <v>0</v>
      </c>
      <c r="BT411">
        <v>0</v>
      </c>
      <c r="BU411">
        <v>0</v>
      </c>
      <c r="BV411">
        <v>1</v>
      </c>
      <c r="BW411">
        <v>2</v>
      </c>
      <c r="BX411">
        <v>1</v>
      </c>
      <c r="BY411">
        <v>5</v>
      </c>
      <c r="BZ411">
        <v>1</v>
      </c>
      <c r="CA411">
        <v>7</v>
      </c>
      <c r="CB411">
        <v>1.4</v>
      </c>
      <c r="CC411">
        <v>14</v>
      </c>
      <c r="CD411">
        <v>13</v>
      </c>
      <c r="CE411">
        <v>8</v>
      </c>
      <c r="CF411">
        <v>2</v>
      </c>
      <c r="CG411">
        <v>6</v>
      </c>
      <c r="CH411">
        <v>1</v>
      </c>
      <c r="CI411">
        <v>0</v>
      </c>
      <c r="CJ411">
        <v>10</v>
      </c>
      <c r="CK411">
        <v>23</v>
      </c>
      <c r="CL411">
        <v>13</v>
      </c>
      <c r="CM411">
        <v>6</v>
      </c>
      <c r="CN411">
        <v>30</v>
      </c>
      <c r="CO411">
        <v>1.6</v>
      </c>
      <c r="CP411">
        <v>1</v>
      </c>
      <c r="CQ411">
        <v>0.4</v>
      </c>
      <c r="CR411">
        <v>2.2999999999999998</v>
      </c>
      <c r="CS411">
        <v>2</v>
      </c>
      <c r="CT411">
        <v>2</v>
      </c>
      <c r="CU411">
        <v>1</v>
      </c>
      <c r="CV411">
        <v>2</v>
      </c>
      <c r="CW411">
        <v>1</v>
      </c>
      <c r="CX411">
        <v>0</v>
      </c>
      <c r="CY411">
        <v>0</v>
      </c>
      <c r="CZ411">
        <v>0</v>
      </c>
    </row>
    <row r="412" spans="1:104" x14ac:dyDescent="0.25">
      <c r="A412" s="1" t="s">
        <v>2486</v>
      </c>
      <c r="B412">
        <v>3758</v>
      </c>
      <c r="C412">
        <v>3760</v>
      </c>
      <c r="D412" s="2">
        <v>43698</v>
      </c>
      <c r="E412" s="3">
        <f t="shared" si="18"/>
        <v>2019</v>
      </c>
      <c r="F412" s="3">
        <f t="shared" si="19"/>
        <v>8</v>
      </c>
      <c r="G412" s="3">
        <f t="shared" si="20"/>
        <v>4</v>
      </c>
      <c r="H412" t="s">
        <v>2487</v>
      </c>
      <c r="I412">
        <v>481</v>
      </c>
      <c r="J412" t="s">
        <v>506</v>
      </c>
      <c r="K412" t="s">
        <v>507</v>
      </c>
      <c r="L412">
        <v>2019</v>
      </c>
      <c r="M412" t="s">
        <v>168</v>
      </c>
      <c r="N412" t="s">
        <v>510</v>
      </c>
      <c r="O412" t="s">
        <v>511</v>
      </c>
      <c r="P412">
        <v>1000</v>
      </c>
      <c r="Q412" t="s">
        <v>507</v>
      </c>
      <c r="S412" t="s">
        <v>1037</v>
      </c>
      <c r="T412" t="s">
        <v>1038</v>
      </c>
      <c r="U412">
        <v>1000</v>
      </c>
      <c r="V412" t="s">
        <v>507</v>
      </c>
      <c r="W412">
        <v>1949</v>
      </c>
      <c r="X412" t="s">
        <v>125</v>
      </c>
      <c r="Z412">
        <v>-2.5</v>
      </c>
      <c r="AA412">
        <v>-3.5</v>
      </c>
      <c r="AB412">
        <v>10</v>
      </c>
      <c r="AC412">
        <v>45</v>
      </c>
      <c r="AD412">
        <v>45</v>
      </c>
      <c r="AE412">
        <v>31</v>
      </c>
      <c r="AF412">
        <v>69</v>
      </c>
      <c r="AG412">
        <v>38</v>
      </c>
      <c r="AH412">
        <v>63</v>
      </c>
      <c r="AI412">
        <v>27</v>
      </c>
      <c r="AJ412">
        <v>73</v>
      </c>
      <c r="AK412">
        <v>57</v>
      </c>
      <c r="AL412">
        <v>43</v>
      </c>
      <c r="AM412">
        <v>29</v>
      </c>
      <c r="AN412">
        <v>71</v>
      </c>
      <c r="AO412">
        <v>40</v>
      </c>
      <c r="AP412">
        <v>60</v>
      </c>
      <c r="AQ412">
        <v>33</v>
      </c>
      <c r="AR412">
        <v>28</v>
      </c>
      <c r="AS412">
        <v>75</v>
      </c>
      <c r="AT412">
        <v>73</v>
      </c>
      <c r="AU412">
        <v>47</v>
      </c>
      <c r="AV412">
        <v>91</v>
      </c>
      <c r="AW412">
        <v>9</v>
      </c>
      <c r="AX412">
        <v>1.8</v>
      </c>
      <c r="AY412">
        <v>8</v>
      </c>
      <c r="AZ412">
        <v>1.6</v>
      </c>
      <c r="BA412">
        <v>10</v>
      </c>
      <c r="BB412">
        <v>10</v>
      </c>
      <c r="BC412">
        <v>7</v>
      </c>
      <c r="BD412">
        <v>5</v>
      </c>
      <c r="BE412">
        <v>1</v>
      </c>
      <c r="BF412">
        <v>3</v>
      </c>
      <c r="BG412">
        <v>2</v>
      </c>
      <c r="BH412">
        <v>2</v>
      </c>
      <c r="BI412">
        <v>29</v>
      </c>
      <c r="BJ412">
        <v>25</v>
      </c>
      <c r="BK412">
        <v>14</v>
      </c>
      <c r="BL412">
        <v>18</v>
      </c>
      <c r="BM412">
        <v>2.9</v>
      </c>
      <c r="BN412">
        <v>2.5</v>
      </c>
      <c r="BO412">
        <v>1.4</v>
      </c>
      <c r="BP412">
        <v>1.8</v>
      </c>
      <c r="BQ412">
        <v>2</v>
      </c>
      <c r="BR412">
        <v>3</v>
      </c>
      <c r="BS412">
        <v>0</v>
      </c>
      <c r="BT412">
        <v>0</v>
      </c>
      <c r="BU412">
        <v>2</v>
      </c>
      <c r="BV412">
        <v>2</v>
      </c>
      <c r="BW412">
        <v>0</v>
      </c>
      <c r="BX412">
        <v>1</v>
      </c>
      <c r="BY412">
        <v>15</v>
      </c>
      <c r="BZ412">
        <v>3</v>
      </c>
      <c r="CA412">
        <v>3</v>
      </c>
      <c r="CB412">
        <v>0.6</v>
      </c>
      <c r="CC412">
        <v>10</v>
      </c>
      <c r="CD412">
        <v>9</v>
      </c>
      <c r="CE412">
        <v>6</v>
      </c>
      <c r="CF412">
        <v>5</v>
      </c>
      <c r="CG412">
        <v>2</v>
      </c>
      <c r="CH412">
        <v>1</v>
      </c>
      <c r="CI412">
        <v>2</v>
      </c>
      <c r="CJ412">
        <v>3</v>
      </c>
      <c r="CK412">
        <v>28</v>
      </c>
      <c r="CL412">
        <v>18</v>
      </c>
      <c r="CM412">
        <v>13</v>
      </c>
      <c r="CN412">
        <v>11</v>
      </c>
      <c r="CO412">
        <v>2.8</v>
      </c>
      <c r="CP412">
        <v>2</v>
      </c>
      <c r="CQ412">
        <v>1.3</v>
      </c>
      <c r="CR412">
        <v>1.2</v>
      </c>
      <c r="CS412">
        <v>3</v>
      </c>
      <c r="CT412">
        <v>2</v>
      </c>
      <c r="CU412">
        <v>1</v>
      </c>
      <c r="CV412">
        <v>0</v>
      </c>
      <c r="CW412">
        <v>2</v>
      </c>
      <c r="CX412">
        <v>2</v>
      </c>
      <c r="CY412">
        <v>0</v>
      </c>
      <c r="CZ412">
        <v>0</v>
      </c>
    </row>
    <row r="413" spans="1:104" x14ac:dyDescent="0.25">
      <c r="A413" s="1" t="s">
        <v>2488</v>
      </c>
      <c r="B413">
        <v>7364</v>
      </c>
      <c r="C413">
        <v>7382</v>
      </c>
      <c r="D413" s="2">
        <v>43764</v>
      </c>
      <c r="E413" s="3">
        <f t="shared" si="18"/>
        <v>2019</v>
      </c>
      <c r="F413" s="3">
        <f t="shared" si="19"/>
        <v>10</v>
      </c>
      <c r="G413" s="3">
        <f t="shared" si="20"/>
        <v>7</v>
      </c>
      <c r="H413" t="s">
        <v>2489</v>
      </c>
      <c r="I413">
        <v>1157</v>
      </c>
      <c r="J413" t="s">
        <v>893</v>
      </c>
      <c r="K413" t="s">
        <v>121</v>
      </c>
      <c r="L413">
        <v>2019</v>
      </c>
      <c r="M413" t="s">
        <v>272</v>
      </c>
      <c r="N413" t="s">
        <v>896</v>
      </c>
      <c r="O413" t="s">
        <v>897</v>
      </c>
      <c r="P413">
        <v>2000</v>
      </c>
      <c r="Q413" t="s">
        <v>121</v>
      </c>
      <c r="V413" t="s">
        <v>121</v>
      </c>
      <c r="W413">
        <v>1898</v>
      </c>
      <c r="X413" t="s">
        <v>125</v>
      </c>
      <c r="Y413">
        <v>-3.5</v>
      </c>
      <c r="Z413">
        <v>-1.5</v>
      </c>
      <c r="AA413">
        <v>-2.5</v>
      </c>
      <c r="AB413">
        <v>10</v>
      </c>
      <c r="AC413">
        <v>45</v>
      </c>
      <c r="AD413">
        <v>45</v>
      </c>
      <c r="AE413">
        <v>15</v>
      </c>
      <c r="AF413">
        <v>85</v>
      </c>
      <c r="AG413">
        <v>50</v>
      </c>
      <c r="AH413">
        <v>50</v>
      </c>
      <c r="AI413">
        <v>10</v>
      </c>
      <c r="AJ413">
        <v>90</v>
      </c>
      <c r="AK413">
        <v>6</v>
      </c>
      <c r="AL413">
        <v>94</v>
      </c>
      <c r="AM413">
        <v>0</v>
      </c>
      <c r="AN413">
        <v>0</v>
      </c>
      <c r="AO413">
        <v>0</v>
      </c>
      <c r="AP413">
        <v>0</v>
      </c>
      <c r="AQ413">
        <v>13</v>
      </c>
      <c r="AR413">
        <v>29</v>
      </c>
      <c r="AS413">
        <v>36</v>
      </c>
      <c r="AT413">
        <v>73</v>
      </c>
      <c r="AU413">
        <v>29</v>
      </c>
      <c r="AV413">
        <v>93</v>
      </c>
      <c r="AW413">
        <v>4</v>
      </c>
      <c r="AX413">
        <v>0.8</v>
      </c>
      <c r="AY413">
        <v>9</v>
      </c>
      <c r="AZ413">
        <v>1.8</v>
      </c>
      <c r="BA413">
        <v>6</v>
      </c>
      <c r="BB413">
        <v>5</v>
      </c>
      <c r="BC413">
        <v>0</v>
      </c>
      <c r="BD413">
        <v>1</v>
      </c>
      <c r="BE413">
        <v>1</v>
      </c>
      <c r="BF413">
        <v>2</v>
      </c>
      <c r="BG413">
        <v>5</v>
      </c>
      <c r="BH413">
        <v>2</v>
      </c>
      <c r="BI413">
        <v>6</v>
      </c>
      <c r="BJ413">
        <v>5</v>
      </c>
      <c r="BK413">
        <v>13</v>
      </c>
      <c r="BL413">
        <v>11</v>
      </c>
      <c r="BM413">
        <v>1</v>
      </c>
      <c r="BN413">
        <v>1</v>
      </c>
      <c r="BO413">
        <v>2.2000000000000002</v>
      </c>
      <c r="BP413">
        <v>2.2000000000000002</v>
      </c>
      <c r="BQ413">
        <v>1</v>
      </c>
      <c r="BR413">
        <v>0</v>
      </c>
      <c r="BS413">
        <v>1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4</v>
      </c>
      <c r="BZ413">
        <v>0.8</v>
      </c>
      <c r="CA413">
        <v>1</v>
      </c>
      <c r="CB413">
        <v>0.2</v>
      </c>
      <c r="CC413">
        <v>6</v>
      </c>
      <c r="CD413">
        <v>5</v>
      </c>
      <c r="CE413">
        <v>5</v>
      </c>
      <c r="CF413">
        <v>4</v>
      </c>
      <c r="CG413">
        <v>1</v>
      </c>
      <c r="CH413">
        <v>1</v>
      </c>
      <c r="CI413">
        <v>0</v>
      </c>
      <c r="CJ413">
        <v>0</v>
      </c>
      <c r="CK413">
        <v>12</v>
      </c>
      <c r="CL413">
        <v>5</v>
      </c>
      <c r="CM413">
        <v>4</v>
      </c>
      <c r="CN413">
        <v>1</v>
      </c>
      <c r="CO413">
        <v>2</v>
      </c>
      <c r="CP413">
        <v>1</v>
      </c>
      <c r="CQ413">
        <v>0.7</v>
      </c>
      <c r="CR413">
        <v>0.2</v>
      </c>
      <c r="CS413">
        <v>0</v>
      </c>
      <c r="CT413">
        <v>1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</v>
      </c>
    </row>
    <row r="414" spans="1:104" x14ac:dyDescent="0.25">
      <c r="A414" s="1" t="s">
        <v>2490</v>
      </c>
      <c r="B414">
        <v>2855</v>
      </c>
      <c r="C414">
        <v>2853</v>
      </c>
      <c r="D414" s="2">
        <v>43721</v>
      </c>
      <c r="E414" s="3">
        <f t="shared" si="18"/>
        <v>2019</v>
      </c>
      <c r="F414" s="3">
        <f t="shared" si="19"/>
        <v>9</v>
      </c>
      <c r="G414" s="3">
        <f t="shared" si="20"/>
        <v>6</v>
      </c>
      <c r="H414" t="s">
        <v>2491</v>
      </c>
      <c r="I414">
        <v>402</v>
      </c>
      <c r="J414" t="s">
        <v>578</v>
      </c>
      <c r="K414" t="s">
        <v>665</v>
      </c>
      <c r="L414">
        <v>2019</v>
      </c>
      <c r="M414" t="s">
        <v>796</v>
      </c>
      <c r="Q414" t="s">
        <v>665</v>
      </c>
      <c r="R414">
        <v>2017</v>
      </c>
      <c r="S414" t="s">
        <v>1912</v>
      </c>
      <c r="T414" t="s">
        <v>1913</v>
      </c>
      <c r="U414">
        <v>23940</v>
      </c>
      <c r="V414" t="s">
        <v>665</v>
      </c>
      <c r="W414">
        <v>1948</v>
      </c>
      <c r="X414" t="s">
        <v>109</v>
      </c>
      <c r="Y414">
        <v>-3.5</v>
      </c>
      <c r="Z414">
        <v>-2.5</v>
      </c>
      <c r="AA414">
        <v>-1.5</v>
      </c>
      <c r="AB414">
        <v>45</v>
      </c>
      <c r="AC414">
        <v>45</v>
      </c>
      <c r="AD414">
        <v>10</v>
      </c>
      <c r="AE414">
        <v>50</v>
      </c>
      <c r="AF414">
        <v>50</v>
      </c>
      <c r="AG414">
        <v>55</v>
      </c>
      <c r="AH414">
        <v>45</v>
      </c>
      <c r="AI414">
        <v>44</v>
      </c>
      <c r="AJ414">
        <v>56</v>
      </c>
      <c r="AK414">
        <v>0</v>
      </c>
      <c r="AL414">
        <v>0</v>
      </c>
      <c r="AM414">
        <v>62</v>
      </c>
      <c r="AN414">
        <v>38</v>
      </c>
      <c r="AO414">
        <v>67</v>
      </c>
      <c r="AP414">
        <v>33</v>
      </c>
      <c r="AQ414">
        <v>53</v>
      </c>
      <c r="AR414">
        <v>43</v>
      </c>
      <c r="AS414">
        <v>64</v>
      </c>
      <c r="AT414">
        <v>53</v>
      </c>
      <c r="AU414">
        <v>36</v>
      </c>
      <c r="AV414">
        <v>71</v>
      </c>
      <c r="AW414">
        <v>6</v>
      </c>
      <c r="AX414">
        <v>1.2</v>
      </c>
      <c r="AY414">
        <v>5</v>
      </c>
      <c r="AZ414">
        <v>1</v>
      </c>
      <c r="BA414">
        <v>7</v>
      </c>
      <c r="BB414">
        <v>8</v>
      </c>
      <c r="BC414">
        <v>2</v>
      </c>
      <c r="BD414">
        <v>2</v>
      </c>
      <c r="BE414">
        <v>2</v>
      </c>
      <c r="BF414">
        <v>2</v>
      </c>
      <c r="BG414">
        <v>3</v>
      </c>
      <c r="BH414">
        <v>4</v>
      </c>
      <c r="BI414">
        <v>8</v>
      </c>
      <c r="BJ414">
        <v>9</v>
      </c>
      <c r="BK414">
        <v>14</v>
      </c>
      <c r="BL414">
        <v>12</v>
      </c>
      <c r="BM414">
        <v>1.1000000000000001</v>
      </c>
      <c r="BN414">
        <v>1.1000000000000001</v>
      </c>
      <c r="BO414">
        <v>2</v>
      </c>
      <c r="BP414">
        <v>1.5</v>
      </c>
      <c r="BQ414">
        <v>4</v>
      </c>
      <c r="BR414">
        <v>5</v>
      </c>
      <c r="BS414">
        <v>3</v>
      </c>
      <c r="BT414">
        <v>0</v>
      </c>
      <c r="BU414">
        <v>1</v>
      </c>
      <c r="BV414">
        <v>2</v>
      </c>
      <c r="BW414">
        <v>0</v>
      </c>
      <c r="BX414">
        <v>3</v>
      </c>
      <c r="BY414">
        <v>5</v>
      </c>
      <c r="BZ414">
        <v>1</v>
      </c>
      <c r="CA414">
        <v>4</v>
      </c>
      <c r="CB414">
        <v>0.8</v>
      </c>
      <c r="CC414">
        <v>7</v>
      </c>
      <c r="CD414">
        <v>8</v>
      </c>
      <c r="CE414">
        <v>1</v>
      </c>
      <c r="CF414">
        <v>3</v>
      </c>
      <c r="CG414">
        <v>4</v>
      </c>
      <c r="CH414">
        <v>2</v>
      </c>
      <c r="CI414">
        <v>2</v>
      </c>
      <c r="CJ414">
        <v>3</v>
      </c>
      <c r="CK414">
        <v>5</v>
      </c>
      <c r="CL414">
        <v>8</v>
      </c>
      <c r="CM414">
        <v>6</v>
      </c>
      <c r="CN414">
        <v>8</v>
      </c>
      <c r="CO414">
        <v>0.7</v>
      </c>
      <c r="CP414">
        <v>1</v>
      </c>
      <c r="CQ414">
        <v>0.9</v>
      </c>
      <c r="CR414">
        <v>1</v>
      </c>
      <c r="CS414">
        <v>5</v>
      </c>
      <c r="CT414">
        <v>4</v>
      </c>
      <c r="CU414">
        <v>3</v>
      </c>
      <c r="CV414">
        <v>0</v>
      </c>
      <c r="CW414">
        <v>2</v>
      </c>
      <c r="CX414">
        <v>1</v>
      </c>
      <c r="CY414">
        <v>0</v>
      </c>
      <c r="CZ414">
        <v>3</v>
      </c>
    </row>
    <row r="415" spans="1:104" x14ac:dyDescent="0.25">
      <c r="A415" s="1" t="s">
        <v>2492</v>
      </c>
      <c r="B415">
        <v>1176</v>
      </c>
      <c r="C415">
        <v>435</v>
      </c>
      <c r="D415" s="2">
        <v>43706</v>
      </c>
      <c r="E415" s="3">
        <f t="shared" si="18"/>
        <v>2019</v>
      </c>
      <c r="F415" s="3">
        <f t="shared" si="19"/>
        <v>8</v>
      </c>
      <c r="G415" s="3">
        <f t="shared" si="20"/>
        <v>5</v>
      </c>
      <c r="H415" t="s">
        <v>2493</v>
      </c>
      <c r="I415">
        <v>937</v>
      </c>
      <c r="J415" t="s">
        <v>2494</v>
      </c>
      <c r="K415" t="s">
        <v>129</v>
      </c>
      <c r="L415">
        <v>2019</v>
      </c>
      <c r="M415" t="s">
        <v>650</v>
      </c>
      <c r="N415" t="s">
        <v>2495</v>
      </c>
      <c r="O415" t="s">
        <v>2496</v>
      </c>
      <c r="P415">
        <v>45000</v>
      </c>
      <c r="Q415" t="s">
        <v>2497</v>
      </c>
      <c r="R415">
        <v>1912</v>
      </c>
      <c r="S415" t="s">
        <v>2498</v>
      </c>
      <c r="T415" t="s">
        <v>710</v>
      </c>
      <c r="U415">
        <v>65645</v>
      </c>
      <c r="V415" t="s">
        <v>345</v>
      </c>
      <c r="W415">
        <v>1901</v>
      </c>
      <c r="X415" t="s">
        <v>125</v>
      </c>
      <c r="Y415">
        <v>-3.5</v>
      </c>
      <c r="Z415">
        <v>-1.5</v>
      </c>
      <c r="AA415">
        <v>-2.5</v>
      </c>
      <c r="AB415">
        <v>10</v>
      </c>
      <c r="AC415">
        <v>45</v>
      </c>
      <c r="AD415">
        <v>45</v>
      </c>
      <c r="AE415">
        <v>36</v>
      </c>
      <c r="AF415">
        <v>64</v>
      </c>
      <c r="AG415">
        <v>40</v>
      </c>
      <c r="AH415">
        <v>60</v>
      </c>
      <c r="AI415">
        <v>25</v>
      </c>
      <c r="AJ415">
        <v>75</v>
      </c>
      <c r="AK415">
        <v>52</v>
      </c>
      <c r="AL415">
        <v>48</v>
      </c>
      <c r="AM415">
        <v>0</v>
      </c>
      <c r="AN415">
        <v>100</v>
      </c>
      <c r="AO415">
        <v>0</v>
      </c>
      <c r="AP415">
        <v>100</v>
      </c>
      <c r="AQ415">
        <v>33</v>
      </c>
      <c r="AR415">
        <v>44</v>
      </c>
      <c r="AS415">
        <v>33</v>
      </c>
      <c r="AT415">
        <v>60</v>
      </c>
      <c r="AU415">
        <v>67</v>
      </c>
      <c r="AV415">
        <v>78</v>
      </c>
      <c r="AW415">
        <v>4</v>
      </c>
      <c r="AX415">
        <v>0.8</v>
      </c>
      <c r="AY415">
        <v>6</v>
      </c>
      <c r="AZ415">
        <v>1.2</v>
      </c>
      <c r="BA415">
        <v>4</v>
      </c>
      <c r="BB415">
        <v>5</v>
      </c>
      <c r="BC415">
        <v>4</v>
      </c>
      <c r="BD415">
        <v>1</v>
      </c>
      <c r="BE415">
        <v>0</v>
      </c>
      <c r="BF415">
        <v>2</v>
      </c>
      <c r="BG415">
        <v>0</v>
      </c>
      <c r="BH415">
        <v>2</v>
      </c>
      <c r="BI415">
        <v>9</v>
      </c>
      <c r="BJ415">
        <v>3</v>
      </c>
      <c r="BK415">
        <v>3</v>
      </c>
      <c r="BL415">
        <v>5</v>
      </c>
      <c r="BM415">
        <v>2.2999999999999998</v>
      </c>
      <c r="BN415">
        <v>0.6</v>
      </c>
      <c r="BO415">
        <v>0.8</v>
      </c>
      <c r="BP415">
        <v>1</v>
      </c>
      <c r="BQ415">
        <v>1</v>
      </c>
      <c r="BR415">
        <v>1</v>
      </c>
      <c r="BS415">
        <v>0</v>
      </c>
      <c r="BT415">
        <v>0</v>
      </c>
      <c r="BU415">
        <v>1</v>
      </c>
      <c r="BV415">
        <v>0</v>
      </c>
      <c r="BW415">
        <v>0</v>
      </c>
      <c r="BX415">
        <v>1</v>
      </c>
      <c r="BY415">
        <v>6</v>
      </c>
      <c r="BZ415">
        <v>1.2</v>
      </c>
      <c r="CA415">
        <v>2</v>
      </c>
      <c r="CB415">
        <v>0.4</v>
      </c>
      <c r="CC415">
        <v>5</v>
      </c>
      <c r="CD415">
        <v>4</v>
      </c>
      <c r="CE415">
        <v>2</v>
      </c>
      <c r="CF415">
        <v>1</v>
      </c>
      <c r="CG415">
        <v>3</v>
      </c>
      <c r="CH415">
        <v>3</v>
      </c>
      <c r="CI415">
        <v>0</v>
      </c>
      <c r="CJ415">
        <v>0</v>
      </c>
      <c r="CK415">
        <v>7</v>
      </c>
      <c r="CL415">
        <v>5</v>
      </c>
      <c r="CM415">
        <v>2</v>
      </c>
      <c r="CN415">
        <v>3</v>
      </c>
      <c r="CO415">
        <v>1.4</v>
      </c>
      <c r="CP415">
        <v>1.3</v>
      </c>
      <c r="CQ415">
        <v>0.4</v>
      </c>
      <c r="CR415">
        <v>0.8</v>
      </c>
      <c r="CS415">
        <v>1</v>
      </c>
      <c r="CT415">
        <v>1</v>
      </c>
      <c r="CU415">
        <v>1</v>
      </c>
      <c r="CV415">
        <v>0</v>
      </c>
      <c r="CW415">
        <v>0</v>
      </c>
      <c r="CX415">
        <v>1</v>
      </c>
      <c r="CY415">
        <v>0</v>
      </c>
      <c r="CZ415">
        <v>0</v>
      </c>
    </row>
    <row r="416" spans="1:104" x14ac:dyDescent="0.25">
      <c r="A416" s="1" t="s">
        <v>2499</v>
      </c>
      <c r="B416">
        <v>4608</v>
      </c>
      <c r="C416">
        <v>4602</v>
      </c>
      <c r="D416" s="2">
        <v>43729</v>
      </c>
      <c r="E416" s="3">
        <f t="shared" si="18"/>
        <v>2019</v>
      </c>
      <c r="F416" s="3">
        <f t="shared" si="19"/>
        <v>9</v>
      </c>
      <c r="G416" s="3">
        <f t="shared" si="20"/>
        <v>7</v>
      </c>
      <c r="H416" t="s">
        <v>2500</v>
      </c>
      <c r="I416">
        <v>662</v>
      </c>
      <c r="J416" t="s">
        <v>2501</v>
      </c>
      <c r="K416" t="s">
        <v>404</v>
      </c>
      <c r="L416">
        <v>2019</v>
      </c>
      <c r="M416" t="s">
        <v>405</v>
      </c>
      <c r="N416" t="s">
        <v>2502</v>
      </c>
      <c r="O416" t="s">
        <v>2503</v>
      </c>
      <c r="P416">
        <v>1200</v>
      </c>
      <c r="Q416" t="s">
        <v>404</v>
      </c>
      <c r="R416">
        <v>1961</v>
      </c>
      <c r="S416" t="s">
        <v>2500</v>
      </c>
      <c r="T416" t="s">
        <v>2504</v>
      </c>
      <c r="U416">
        <v>6000</v>
      </c>
      <c r="V416" t="s">
        <v>404</v>
      </c>
      <c r="W416">
        <v>1971</v>
      </c>
      <c r="X416">
        <v>1</v>
      </c>
      <c r="Z416">
        <v>-2.5</v>
      </c>
      <c r="AB416">
        <v>50</v>
      </c>
      <c r="AC416">
        <v>50</v>
      </c>
      <c r="AD416">
        <v>0</v>
      </c>
      <c r="AE416">
        <v>100</v>
      </c>
      <c r="AF416">
        <v>0</v>
      </c>
      <c r="AG416">
        <v>100</v>
      </c>
      <c r="AH416">
        <v>0</v>
      </c>
      <c r="AI416">
        <v>60</v>
      </c>
      <c r="AJ416">
        <v>40</v>
      </c>
      <c r="AK416">
        <v>0</v>
      </c>
      <c r="AL416">
        <v>0</v>
      </c>
      <c r="AM416">
        <v>100</v>
      </c>
      <c r="AN416">
        <v>0</v>
      </c>
      <c r="AO416">
        <v>83</v>
      </c>
      <c r="AP416">
        <v>17</v>
      </c>
      <c r="AQ416">
        <v>33</v>
      </c>
      <c r="AR416">
        <v>12</v>
      </c>
      <c r="AS416">
        <v>88</v>
      </c>
      <c r="AT416">
        <v>0</v>
      </c>
      <c r="AU416">
        <v>0</v>
      </c>
      <c r="AV416">
        <v>82</v>
      </c>
      <c r="AW416">
        <v>2</v>
      </c>
      <c r="AX416">
        <v>2</v>
      </c>
      <c r="AY416">
        <v>2</v>
      </c>
      <c r="AZ416">
        <v>2</v>
      </c>
      <c r="BA416">
        <v>0</v>
      </c>
      <c r="BB416">
        <v>1</v>
      </c>
      <c r="BC416">
        <v>0</v>
      </c>
      <c r="BD416">
        <v>0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2</v>
      </c>
      <c r="BK416">
        <v>0</v>
      </c>
      <c r="BL416">
        <v>2</v>
      </c>
      <c r="BM416">
        <v>0</v>
      </c>
      <c r="BN416">
        <v>2</v>
      </c>
      <c r="BO416">
        <v>0</v>
      </c>
      <c r="BP416">
        <v>2</v>
      </c>
      <c r="BQ416">
        <v>2</v>
      </c>
      <c r="BR416">
        <v>2</v>
      </c>
      <c r="BS416">
        <v>2</v>
      </c>
      <c r="BT416">
        <v>1</v>
      </c>
      <c r="BU416">
        <v>0</v>
      </c>
      <c r="BV416">
        <v>1</v>
      </c>
      <c r="BW416">
        <v>0</v>
      </c>
      <c r="BX416">
        <v>0</v>
      </c>
      <c r="BY416">
        <v>0</v>
      </c>
      <c r="BZ416">
        <v>0</v>
      </c>
      <c r="CA416">
        <v>3</v>
      </c>
      <c r="CB416">
        <v>3</v>
      </c>
      <c r="CC416">
        <v>1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1</v>
      </c>
      <c r="CJ416">
        <v>0</v>
      </c>
      <c r="CK416">
        <v>0</v>
      </c>
      <c r="CL416">
        <v>0</v>
      </c>
      <c r="CM416">
        <v>3</v>
      </c>
      <c r="CN416">
        <v>0</v>
      </c>
      <c r="CO416">
        <v>0</v>
      </c>
      <c r="CP416">
        <v>0</v>
      </c>
      <c r="CQ416">
        <v>3</v>
      </c>
      <c r="CR416">
        <v>0</v>
      </c>
      <c r="CS416">
        <v>2</v>
      </c>
      <c r="CT416">
        <v>2</v>
      </c>
      <c r="CU416">
        <v>0</v>
      </c>
      <c r="CV416">
        <v>0</v>
      </c>
      <c r="CW416">
        <v>1</v>
      </c>
      <c r="CX416">
        <v>0</v>
      </c>
      <c r="CY416">
        <v>1</v>
      </c>
      <c r="CZ416">
        <v>2</v>
      </c>
    </row>
    <row r="417" spans="1:104" x14ac:dyDescent="0.25">
      <c r="A417" s="1" t="s">
        <v>2505</v>
      </c>
      <c r="B417">
        <v>255</v>
      </c>
      <c r="C417">
        <v>249</v>
      </c>
      <c r="D417" s="2">
        <v>44051</v>
      </c>
      <c r="E417" s="3">
        <f t="shared" si="18"/>
        <v>2020</v>
      </c>
      <c r="F417" s="3">
        <f t="shared" si="19"/>
        <v>8</v>
      </c>
      <c r="G417" s="3">
        <f t="shared" si="20"/>
        <v>7</v>
      </c>
      <c r="H417" t="s">
        <v>2506</v>
      </c>
      <c r="I417">
        <v>2655</v>
      </c>
      <c r="J417" t="s">
        <v>1615</v>
      </c>
      <c r="K417" t="s">
        <v>1029</v>
      </c>
      <c r="L417">
        <v>2020</v>
      </c>
      <c r="M417" t="s">
        <v>2507</v>
      </c>
      <c r="Q417" t="s">
        <v>1029</v>
      </c>
      <c r="R417">
        <v>1943</v>
      </c>
      <c r="V417" t="s">
        <v>1029</v>
      </c>
      <c r="W417">
        <v>1875</v>
      </c>
      <c r="X417">
        <v>2</v>
      </c>
      <c r="Y417">
        <v>-3.5</v>
      </c>
      <c r="AA417">
        <v>-2.5</v>
      </c>
      <c r="AB417">
        <v>10</v>
      </c>
      <c r="AC417">
        <v>45</v>
      </c>
      <c r="AD417">
        <v>45</v>
      </c>
      <c r="AE417">
        <v>0</v>
      </c>
      <c r="AF417">
        <v>100</v>
      </c>
      <c r="AG417">
        <v>0</v>
      </c>
      <c r="AH417">
        <v>100</v>
      </c>
      <c r="AI417">
        <v>50</v>
      </c>
      <c r="AJ417">
        <v>50</v>
      </c>
      <c r="AK417">
        <v>0</v>
      </c>
      <c r="AL417">
        <v>0</v>
      </c>
      <c r="AM417">
        <v>50</v>
      </c>
      <c r="AN417">
        <v>50</v>
      </c>
      <c r="AO417">
        <v>54</v>
      </c>
      <c r="AP417">
        <v>46</v>
      </c>
      <c r="AQ417">
        <v>0</v>
      </c>
      <c r="AR417">
        <v>0</v>
      </c>
      <c r="AS417">
        <v>92</v>
      </c>
      <c r="AT417">
        <v>100</v>
      </c>
      <c r="AU417">
        <v>15</v>
      </c>
      <c r="AV417">
        <v>92</v>
      </c>
      <c r="AW417">
        <v>0</v>
      </c>
      <c r="AX417">
        <v>0</v>
      </c>
      <c r="AY417">
        <v>1</v>
      </c>
      <c r="AZ417">
        <v>1</v>
      </c>
      <c r="BA417">
        <v>0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1</v>
      </c>
      <c r="BI417">
        <v>0</v>
      </c>
      <c r="BJ417">
        <v>0</v>
      </c>
      <c r="BK417">
        <v>0</v>
      </c>
      <c r="BL417">
        <v>1</v>
      </c>
      <c r="BM417">
        <v>0</v>
      </c>
      <c r="BN417">
        <v>0</v>
      </c>
      <c r="BO417">
        <v>0</v>
      </c>
      <c r="BP417">
        <v>1</v>
      </c>
      <c r="BQ417">
        <v>8</v>
      </c>
      <c r="BR417">
        <v>8</v>
      </c>
      <c r="BS417">
        <v>2</v>
      </c>
      <c r="BT417">
        <v>0</v>
      </c>
      <c r="BU417">
        <v>1</v>
      </c>
      <c r="BV417">
        <v>3</v>
      </c>
      <c r="BW417">
        <v>5</v>
      </c>
      <c r="BX417">
        <v>5</v>
      </c>
      <c r="BY417">
        <v>2</v>
      </c>
      <c r="BZ417">
        <v>2</v>
      </c>
      <c r="CA417">
        <v>1</v>
      </c>
      <c r="CB417">
        <v>1</v>
      </c>
      <c r="CC417">
        <v>1</v>
      </c>
      <c r="CD417">
        <v>0</v>
      </c>
      <c r="CE417">
        <v>1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2</v>
      </c>
      <c r="CL417">
        <v>0</v>
      </c>
      <c r="CM417">
        <v>1</v>
      </c>
      <c r="CN417">
        <v>0</v>
      </c>
      <c r="CO417">
        <v>2</v>
      </c>
      <c r="CP417">
        <v>0</v>
      </c>
      <c r="CQ417">
        <v>1</v>
      </c>
      <c r="CR417">
        <v>0</v>
      </c>
      <c r="CS417">
        <v>8</v>
      </c>
      <c r="CT417">
        <v>8</v>
      </c>
      <c r="CU417">
        <v>5</v>
      </c>
      <c r="CV417">
        <v>5</v>
      </c>
      <c r="CW417">
        <v>3</v>
      </c>
      <c r="CX417">
        <v>1</v>
      </c>
      <c r="CY417">
        <v>0</v>
      </c>
      <c r="CZ417">
        <v>2</v>
      </c>
    </row>
    <row r="418" spans="1:104" x14ac:dyDescent="0.25">
      <c r="A418" s="1" t="s">
        <v>2508</v>
      </c>
      <c r="B418">
        <v>12930</v>
      </c>
      <c r="C418">
        <v>7778</v>
      </c>
      <c r="D418" s="2">
        <v>43873</v>
      </c>
      <c r="E418" s="3">
        <f t="shared" si="18"/>
        <v>2020</v>
      </c>
      <c r="F418" s="3">
        <f t="shared" si="19"/>
        <v>2</v>
      </c>
      <c r="G418" s="3">
        <f t="shared" si="20"/>
        <v>4</v>
      </c>
      <c r="H418" t="s">
        <v>2509</v>
      </c>
      <c r="I418">
        <v>2256</v>
      </c>
      <c r="J418" t="s">
        <v>2510</v>
      </c>
      <c r="K418" t="s">
        <v>264</v>
      </c>
      <c r="L418">
        <v>2020</v>
      </c>
      <c r="M418" t="s">
        <v>2511</v>
      </c>
      <c r="N418" t="s">
        <v>2509</v>
      </c>
      <c r="O418" t="s">
        <v>2512</v>
      </c>
      <c r="P418">
        <v>7500</v>
      </c>
      <c r="Q418" t="s">
        <v>264</v>
      </c>
      <c r="R418">
        <v>1963</v>
      </c>
      <c r="S418" t="s">
        <v>2513</v>
      </c>
      <c r="T418" t="s">
        <v>2514</v>
      </c>
      <c r="U418">
        <v>6600</v>
      </c>
      <c r="V418" t="s">
        <v>264</v>
      </c>
      <c r="W418">
        <v>1965</v>
      </c>
      <c r="X418" t="s">
        <v>109</v>
      </c>
      <c r="Y418">
        <v>-3.5</v>
      </c>
      <c r="Z418">
        <v>-1.5</v>
      </c>
      <c r="AA418">
        <v>-2.5</v>
      </c>
      <c r="AB418">
        <v>45</v>
      </c>
      <c r="AC418">
        <v>45</v>
      </c>
      <c r="AD418">
        <v>10</v>
      </c>
      <c r="AE418">
        <v>60</v>
      </c>
      <c r="AF418">
        <v>40</v>
      </c>
      <c r="AG418">
        <v>29</v>
      </c>
      <c r="AH418">
        <v>71</v>
      </c>
      <c r="AI418">
        <v>67</v>
      </c>
      <c r="AJ418">
        <v>33</v>
      </c>
      <c r="AK418">
        <v>100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67</v>
      </c>
      <c r="AR418">
        <v>29</v>
      </c>
      <c r="AS418">
        <v>71</v>
      </c>
      <c r="AT418">
        <v>44</v>
      </c>
      <c r="AU418">
        <v>71</v>
      </c>
      <c r="AV418">
        <v>43</v>
      </c>
      <c r="AW418">
        <v>2</v>
      </c>
      <c r="AX418">
        <v>0.7</v>
      </c>
      <c r="AY418">
        <v>2</v>
      </c>
      <c r="AZ418">
        <v>0.7</v>
      </c>
      <c r="BA418">
        <v>1</v>
      </c>
      <c r="BB418">
        <v>2</v>
      </c>
      <c r="BC418">
        <v>1</v>
      </c>
      <c r="BD418">
        <v>1</v>
      </c>
      <c r="BE418">
        <v>0</v>
      </c>
      <c r="BF418">
        <v>0</v>
      </c>
      <c r="BG418">
        <v>0</v>
      </c>
      <c r="BH418">
        <v>1</v>
      </c>
      <c r="BI418">
        <v>1</v>
      </c>
      <c r="BJ418">
        <v>1</v>
      </c>
      <c r="BK418">
        <v>0</v>
      </c>
      <c r="BL418">
        <v>2</v>
      </c>
      <c r="BM418">
        <v>1</v>
      </c>
      <c r="BN418">
        <v>0.5</v>
      </c>
      <c r="BO418">
        <v>0</v>
      </c>
      <c r="BP418">
        <v>1</v>
      </c>
      <c r="BQ418">
        <v>1</v>
      </c>
      <c r="BR418">
        <v>0</v>
      </c>
      <c r="BS418">
        <v>1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5</v>
      </c>
      <c r="BZ418">
        <v>1.7</v>
      </c>
      <c r="CA418">
        <v>4</v>
      </c>
      <c r="CB418">
        <v>1.3</v>
      </c>
      <c r="CC418">
        <v>1</v>
      </c>
      <c r="CD418">
        <v>2</v>
      </c>
      <c r="CE418">
        <v>1</v>
      </c>
      <c r="CF418">
        <v>0</v>
      </c>
      <c r="CG418">
        <v>0</v>
      </c>
      <c r="CH418">
        <v>1</v>
      </c>
      <c r="CI418">
        <v>0</v>
      </c>
      <c r="CJ418">
        <v>1</v>
      </c>
      <c r="CK418">
        <v>3</v>
      </c>
      <c r="CL418">
        <v>2</v>
      </c>
      <c r="CM418">
        <v>1</v>
      </c>
      <c r="CN418">
        <v>3</v>
      </c>
      <c r="CO418">
        <v>3</v>
      </c>
      <c r="CP418">
        <v>1</v>
      </c>
      <c r="CQ418">
        <v>1</v>
      </c>
      <c r="CR418">
        <v>1.5</v>
      </c>
      <c r="CS418">
        <v>0</v>
      </c>
      <c r="CT418">
        <v>1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1</v>
      </c>
    </row>
    <row r="419" spans="1:104" x14ac:dyDescent="0.25">
      <c r="A419" s="1" t="s">
        <v>2515</v>
      </c>
      <c r="B419">
        <v>5781</v>
      </c>
      <c r="C419">
        <v>5742</v>
      </c>
      <c r="D419" s="2">
        <v>43709</v>
      </c>
      <c r="E419" s="3">
        <f t="shared" si="18"/>
        <v>2019</v>
      </c>
      <c r="F419" s="3">
        <f t="shared" si="19"/>
        <v>9</v>
      </c>
      <c r="G419" s="3">
        <f t="shared" si="20"/>
        <v>1</v>
      </c>
      <c r="H419" t="s">
        <v>2516</v>
      </c>
      <c r="I419">
        <v>1127</v>
      </c>
      <c r="J419" t="s">
        <v>2517</v>
      </c>
      <c r="K419" t="s">
        <v>475</v>
      </c>
      <c r="L419">
        <v>2019</v>
      </c>
      <c r="M419" t="s">
        <v>2518</v>
      </c>
      <c r="N419" t="s">
        <v>2519</v>
      </c>
      <c r="O419" t="s">
        <v>2520</v>
      </c>
      <c r="P419">
        <v>2000</v>
      </c>
      <c r="Q419" t="s">
        <v>475</v>
      </c>
      <c r="V419" t="s">
        <v>475</v>
      </c>
      <c r="X419">
        <v>2</v>
      </c>
      <c r="Z419">
        <v>-1.5</v>
      </c>
      <c r="AA419">
        <v>-4.5</v>
      </c>
      <c r="AB419">
        <v>0</v>
      </c>
      <c r="AC419">
        <v>50</v>
      </c>
      <c r="AD419">
        <v>50</v>
      </c>
      <c r="AE419">
        <v>25</v>
      </c>
      <c r="AF419">
        <v>75</v>
      </c>
      <c r="AG419">
        <v>22</v>
      </c>
      <c r="AH419">
        <v>78</v>
      </c>
      <c r="AI419">
        <v>33</v>
      </c>
      <c r="AJ419">
        <v>67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33</v>
      </c>
      <c r="AR419">
        <v>7</v>
      </c>
      <c r="AS419">
        <v>93</v>
      </c>
      <c r="AT419">
        <v>100</v>
      </c>
      <c r="AU419">
        <v>25</v>
      </c>
      <c r="AV419">
        <v>96</v>
      </c>
      <c r="AW419">
        <v>2</v>
      </c>
      <c r="AX419">
        <v>1</v>
      </c>
      <c r="AY419">
        <v>2</v>
      </c>
      <c r="AZ419">
        <v>1</v>
      </c>
      <c r="BA419">
        <v>1</v>
      </c>
      <c r="BB419">
        <v>1</v>
      </c>
      <c r="BC419">
        <v>0</v>
      </c>
      <c r="BD419">
        <v>0</v>
      </c>
      <c r="BE419">
        <v>1</v>
      </c>
      <c r="BF419">
        <v>1</v>
      </c>
      <c r="BG419">
        <v>0</v>
      </c>
      <c r="BH419">
        <v>0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0</v>
      </c>
      <c r="BT419">
        <v>0</v>
      </c>
      <c r="BU419">
        <v>1</v>
      </c>
      <c r="BV419">
        <v>1</v>
      </c>
      <c r="BW419">
        <v>0</v>
      </c>
      <c r="BX419">
        <v>0</v>
      </c>
      <c r="BY419">
        <v>7</v>
      </c>
      <c r="BZ419">
        <v>3.5</v>
      </c>
      <c r="CA419">
        <v>1</v>
      </c>
      <c r="CB419">
        <v>0.5</v>
      </c>
      <c r="CC419">
        <v>1</v>
      </c>
      <c r="CD419">
        <v>1</v>
      </c>
      <c r="CE419">
        <v>1</v>
      </c>
      <c r="CF419">
        <v>1</v>
      </c>
      <c r="CG419">
        <v>0</v>
      </c>
      <c r="CH419">
        <v>0</v>
      </c>
      <c r="CI419">
        <v>0</v>
      </c>
      <c r="CJ419">
        <v>0</v>
      </c>
      <c r="CK419">
        <v>3</v>
      </c>
      <c r="CL419">
        <v>4</v>
      </c>
      <c r="CM419">
        <v>1</v>
      </c>
      <c r="CN419">
        <v>0</v>
      </c>
      <c r="CO419">
        <v>3</v>
      </c>
      <c r="CP419">
        <v>4</v>
      </c>
      <c r="CQ419">
        <v>1</v>
      </c>
      <c r="CR419">
        <v>0</v>
      </c>
      <c r="CS419">
        <v>1</v>
      </c>
      <c r="CT419">
        <v>1</v>
      </c>
      <c r="CU419">
        <v>0</v>
      </c>
      <c r="CV419">
        <v>0</v>
      </c>
      <c r="CW419">
        <v>1</v>
      </c>
      <c r="CX419">
        <v>1</v>
      </c>
      <c r="CY419">
        <v>0</v>
      </c>
      <c r="CZ419">
        <v>0</v>
      </c>
    </row>
    <row r="420" spans="1:104" x14ac:dyDescent="0.25">
      <c r="A420" s="1" t="s">
        <v>2521</v>
      </c>
      <c r="B420">
        <v>9330</v>
      </c>
      <c r="C420">
        <v>1635</v>
      </c>
      <c r="D420" s="2">
        <v>43735</v>
      </c>
      <c r="E420" s="3">
        <f t="shared" si="18"/>
        <v>2019</v>
      </c>
      <c r="F420" s="3">
        <f t="shared" si="19"/>
        <v>9</v>
      </c>
      <c r="G420" s="3">
        <f t="shared" si="20"/>
        <v>6</v>
      </c>
      <c r="H420" t="s">
        <v>2522</v>
      </c>
      <c r="I420">
        <v>1240</v>
      </c>
      <c r="J420" t="s">
        <v>2280</v>
      </c>
      <c r="K420" t="s">
        <v>558</v>
      </c>
      <c r="L420">
        <v>2019</v>
      </c>
      <c r="M420" t="s">
        <v>2523</v>
      </c>
      <c r="N420" t="s">
        <v>2522</v>
      </c>
      <c r="O420" t="s">
        <v>2524</v>
      </c>
      <c r="P420">
        <v>6000</v>
      </c>
      <c r="Q420" t="s">
        <v>558</v>
      </c>
      <c r="R420">
        <v>1921</v>
      </c>
      <c r="S420" t="s">
        <v>2525</v>
      </c>
      <c r="T420" t="s">
        <v>2526</v>
      </c>
      <c r="U420">
        <v>15060</v>
      </c>
      <c r="V420" t="s">
        <v>558</v>
      </c>
      <c r="W420">
        <v>1905</v>
      </c>
      <c r="X420" t="s">
        <v>125</v>
      </c>
      <c r="Z420">
        <v>-2.5</v>
      </c>
      <c r="AA420">
        <v>-2.5</v>
      </c>
      <c r="AB420">
        <v>10</v>
      </c>
      <c r="AC420">
        <v>45</v>
      </c>
      <c r="AD420">
        <v>45</v>
      </c>
      <c r="AE420">
        <v>40</v>
      </c>
      <c r="AF420">
        <v>60</v>
      </c>
      <c r="AG420">
        <v>44</v>
      </c>
      <c r="AH420">
        <v>56</v>
      </c>
      <c r="AI420">
        <v>44</v>
      </c>
      <c r="AJ420">
        <v>56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53</v>
      </c>
      <c r="AR420">
        <v>62</v>
      </c>
      <c r="AS420">
        <v>62</v>
      </c>
      <c r="AT420">
        <v>80</v>
      </c>
      <c r="AU420">
        <v>77</v>
      </c>
      <c r="AV420">
        <v>69</v>
      </c>
      <c r="AW420">
        <v>8</v>
      </c>
      <c r="AX420">
        <v>1.6</v>
      </c>
      <c r="AY420">
        <v>5</v>
      </c>
      <c r="AZ420">
        <v>1</v>
      </c>
      <c r="BA420">
        <v>7</v>
      </c>
      <c r="BB420">
        <v>5</v>
      </c>
      <c r="BC420">
        <v>3</v>
      </c>
      <c r="BD420">
        <v>1</v>
      </c>
      <c r="BE420">
        <v>0</v>
      </c>
      <c r="BF420">
        <v>3</v>
      </c>
      <c r="BG420">
        <v>4</v>
      </c>
      <c r="BH420">
        <v>1</v>
      </c>
      <c r="BI420">
        <v>10</v>
      </c>
      <c r="BJ420">
        <v>10</v>
      </c>
      <c r="BK420">
        <v>11</v>
      </c>
      <c r="BL420">
        <v>13</v>
      </c>
      <c r="BM420">
        <v>1.4</v>
      </c>
      <c r="BN420">
        <v>2</v>
      </c>
      <c r="BO420">
        <v>1.6</v>
      </c>
      <c r="BP420">
        <v>2.6</v>
      </c>
      <c r="BQ420">
        <v>1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1</v>
      </c>
      <c r="BX420">
        <v>0</v>
      </c>
      <c r="BY420">
        <v>10</v>
      </c>
      <c r="BZ420">
        <v>2</v>
      </c>
      <c r="CA420">
        <v>4</v>
      </c>
      <c r="CB420">
        <v>0.8</v>
      </c>
      <c r="CC420">
        <v>6</v>
      </c>
      <c r="CD420">
        <v>6</v>
      </c>
      <c r="CE420">
        <v>6</v>
      </c>
      <c r="CF420">
        <v>3</v>
      </c>
      <c r="CG420">
        <v>0</v>
      </c>
      <c r="CH420">
        <v>1</v>
      </c>
      <c r="CI420">
        <v>0</v>
      </c>
      <c r="CJ420">
        <v>2</v>
      </c>
      <c r="CK420">
        <v>12</v>
      </c>
      <c r="CL420">
        <v>13</v>
      </c>
      <c r="CM420">
        <v>4</v>
      </c>
      <c r="CN420">
        <v>8</v>
      </c>
      <c r="CO420">
        <v>2</v>
      </c>
      <c r="CP420">
        <v>2.2000000000000002</v>
      </c>
      <c r="CQ420">
        <v>0.7</v>
      </c>
      <c r="CR420">
        <v>1.3</v>
      </c>
      <c r="CS420">
        <v>0</v>
      </c>
      <c r="CT420">
        <v>1</v>
      </c>
      <c r="CU420">
        <v>0</v>
      </c>
      <c r="CV420">
        <v>1</v>
      </c>
      <c r="CW420">
        <v>0</v>
      </c>
      <c r="CX420">
        <v>0</v>
      </c>
      <c r="CY420">
        <v>0</v>
      </c>
      <c r="CZ420">
        <v>0</v>
      </c>
    </row>
    <row r="421" spans="1:104" x14ac:dyDescent="0.25">
      <c r="A421" s="1" t="s">
        <v>2527</v>
      </c>
      <c r="B421">
        <v>8179</v>
      </c>
      <c r="C421">
        <v>8217</v>
      </c>
      <c r="D421" s="2">
        <v>43783</v>
      </c>
      <c r="E421" s="3">
        <f t="shared" si="18"/>
        <v>2019</v>
      </c>
      <c r="F421" s="3">
        <f t="shared" si="19"/>
        <v>11</v>
      </c>
      <c r="G421" s="3">
        <f t="shared" si="20"/>
        <v>5</v>
      </c>
      <c r="H421" t="s">
        <v>924</v>
      </c>
      <c r="I421">
        <v>1076</v>
      </c>
      <c r="J421" t="s">
        <v>2528</v>
      </c>
      <c r="K421" t="s">
        <v>129</v>
      </c>
      <c r="L421">
        <v>2021</v>
      </c>
      <c r="M421" t="s">
        <v>2529</v>
      </c>
      <c r="N421" t="s">
        <v>2530</v>
      </c>
      <c r="O421" t="s">
        <v>1500</v>
      </c>
      <c r="P421">
        <v>14403</v>
      </c>
      <c r="Q421" t="s">
        <v>457</v>
      </c>
      <c r="R421">
        <v>1992</v>
      </c>
      <c r="S421" t="s">
        <v>2531</v>
      </c>
      <c r="U421">
        <v>51151</v>
      </c>
      <c r="V421" t="s">
        <v>674</v>
      </c>
      <c r="W421">
        <v>1921</v>
      </c>
      <c r="X421" t="s">
        <v>125</v>
      </c>
      <c r="Z421">
        <v>-1.5</v>
      </c>
      <c r="AA421">
        <v>-2.5</v>
      </c>
      <c r="AB421">
        <v>0</v>
      </c>
      <c r="AC421">
        <v>50</v>
      </c>
      <c r="AD421">
        <v>50</v>
      </c>
      <c r="AE421">
        <v>23</v>
      </c>
      <c r="AF421">
        <v>77</v>
      </c>
      <c r="AG421">
        <v>30</v>
      </c>
      <c r="AH421">
        <v>70</v>
      </c>
      <c r="AI421">
        <v>20</v>
      </c>
      <c r="AJ421">
        <v>80</v>
      </c>
      <c r="AK421">
        <v>0</v>
      </c>
      <c r="AL421">
        <v>0</v>
      </c>
      <c r="AM421">
        <v>0</v>
      </c>
      <c r="AN421">
        <v>100</v>
      </c>
      <c r="AO421">
        <v>0</v>
      </c>
      <c r="AP421">
        <v>100</v>
      </c>
      <c r="AQ421">
        <v>25</v>
      </c>
      <c r="AR421">
        <v>12</v>
      </c>
      <c r="AS421">
        <v>68</v>
      </c>
      <c r="AT421">
        <v>67</v>
      </c>
      <c r="AU421">
        <v>28</v>
      </c>
      <c r="AV421">
        <v>92</v>
      </c>
      <c r="AW421">
        <v>3</v>
      </c>
      <c r="AX421">
        <v>0.8</v>
      </c>
      <c r="AY421">
        <v>8</v>
      </c>
      <c r="AZ421">
        <v>2</v>
      </c>
      <c r="BA421">
        <v>2</v>
      </c>
      <c r="BB421">
        <v>2</v>
      </c>
      <c r="BC421">
        <v>1</v>
      </c>
      <c r="BD421">
        <v>0</v>
      </c>
      <c r="BE421">
        <v>0</v>
      </c>
      <c r="BF421">
        <v>0</v>
      </c>
      <c r="BG421">
        <v>1</v>
      </c>
      <c r="BH421">
        <v>2</v>
      </c>
      <c r="BI421">
        <v>2</v>
      </c>
      <c r="BJ421">
        <v>1</v>
      </c>
      <c r="BK421">
        <v>1</v>
      </c>
      <c r="BL421">
        <v>7</v>
      </c>
      <c r="BM421">
        <v>1</v>
      </c>
      <c r="BN421">
        <v>0.5</v>
      </c>
      <c r="BO421">
        <v>0.5</v>
      </c>
      <c r="BP421">
        <v>3.5</v>
      </c>
      <c r="BQ421">
        <v>1</v>
      </c>
      <c r="BR421">
        <v>1</v>
      </c>
      <c r="BS421">
        <v>0</v>
      </c>
      <c r="BT421">
        <v>0</v>
      </c>
      <c r="BU421">
        <v>0</v>
      </c>
      <c r="BV421">
        <v>0</v>
      </c>
      <c r="BW421">
        <v>1</v>
      </c>
      <c r="BX421">
        <v>1</v>
      </c>
      <c r="BY421">
        <v>7</v>
      </c>
      <c r="BZ421">
        <v>1.4</v>
      </c>
      <c r="CA421">
        <v>2</v>
      </c>
      <c r="CB421">
        <v>0.4</v>
      </c>
      <c r="CC421">
        <v>3</v>
      </c>
      <c r="CD421">
        <v>2</v>
      </c>
      <c r="CE421">
        <v>2</v>
      </c>
      <c r="CF421">
        <v>1</v>
      </c>
      <c r="CG421">
        <v>1</v>
      </c>
      <c r="CH421">
        <v>0</v>
      </c>
      <c r="CI421">
        <v>0</v>
      </c>
      <c r="CJ421">
        <v>1</v>
      </c>
      <c r="CK421">
        <v>4</v>
      </c>
      <c r="CL421">
        <v>3</v>
      </c>
      <c r="CM421">
        <v>0</v>
      </c>
      <c r="CN421">
        <v>2</v>
      </c>
      <c r="CO421">
        <v>1.3</v>
      </c>
      <c r="CP421">
        <v>1.5</v>
      </c>
      <c r="CQ421">
        <v>0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0</v>
      </c>
      <c r="CX421">
        <v>0</v>
      </c>
      <c r="CY421">
        <v>0</v>
      </c>
      <c r="CZ421">
        <v>0</v>
      </c>
    </row>
    <row r="422" spans="1:104" x14ac:dyDescent="0.25">
      <c r="A422" s="1" t="s">
        <v>2532</v>
      </c>
      <c r="B422">
        <v>8428</v>
      </c>
      <c r="C422">
        <v>5883</v>
      </c>
      <c r="D422" s="2">
        <v>43751</v>
      </c>
      <c r="E422" s="3">
        <f t="shared" si="18"/>
        <v>2019</v>
      </c>
      <c r="F422" s="3">
        <f t="shared" si="19"/>
        <v>10</v>
      </c>
      <c r="G422" s="3">
        <f t="shared" si="20"/>
        <v>1</v>
      </c>
      <c r="H422" t="s">
        <v>2533</v>
      </c>
      <c r="I422">
        <v>1121</v>
      </c>
      <c r="J422" t="s">
        <v>1955</v>
      </c>
      <c r="K422" t="s">
        <v>475</v>
      </c>
      <c r="L422">
        <v>2019</v>
      </c>
      <c r="M422" t="s">
        <v>2534</v>
      </c>
      <c r="N422" t="s">
        <v>2535</v>
      </c>
      <c r="O422" t="s">
        <v>2536</v>
      </c>
      <c r="P422">
        <v>4000</v>
      </c>
      <c r="Q422" t="s">
        <v>475</v>
      </c>
      <c r="R422">
        <v>2000</v>
      </c>
      <c r="S422" t="s">
        <v>2537</v>
      </c>
      <c r="T422" t="s">
        <v>2538</v>
      </c>
      <c r="U422">
        <v>1000</v>
      </c>
      <c r="V422" t="s">
        <v>475</v>
      </c>
      <c r="W422">
        <v>1927</v>
      </c>
      <c r="X422" t="s">
        <v>125</v>
      </c>
      <c r="Y422">
        <v>-3.5</v>
      </c>
      <c r="Z422">
        <v>-1.5</v>
      </c>
      <c r="AA422">
        <v>-2.5</v>
      </c>
      <c r="AB422">
        <v>0</v>
      </c>
      <c r="AC422">
        <v>50</v>
      </c>
      <c r="AD422">
        <v>50</v>
      </c>
      <c r="AE422">
        <v>0</v>
      </c>
      <c r="AF422">
        <v>100</v>
      </c>
      <c r="AG422">
        <v>22</v>
      </c>
      <c r="AH422">
        <v>78</v>
      </c>
      <c r="AI422">
        <v>31</v>
      </c>
      <c r="AJ422">
        <v>69</v>
      </c>
      <c r="AK422">
        <v>0</v>
      </c>
      <c r="AL422">
        <v>100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7</v>
      </c>
      <c r="AS422">
        <v>61</v>
      </c>
      <c r="AT422">
        <v>60</v>
      </c>
      <c r="AU422">
        <v>25</v>
      </c>
      <c r="AV422">
        <v>82</v>
      </c>
      <c r="AW422">
        <v>2</v>
      </c>
      <c r="AX422">
        <v>0.4</v>
      </c>
      <c r="AY422">
        <v>11</v>
      </c>
      <c r="AZ422">
        <v>2.2000000000000002</v>
      </c>
      <c r="BA422">
        <v>3</v>
      </c>
      <c r="BB422">
        <v>3</v>
      </c>
      <c r="BC422">
        <v>0</v>
      </c>
      <c r="BD422">
        <v>0</v>
      </c>
      <c r="BE422">
        <v>1</v>
      </c>
      <c r="BF422">
        <v>0</v>
      </c>
      <c r="BG422">
        <v>2</v>
      </c>
      <c r="BH422">
        <v>3</v>
      </c>
      <c r="BI422">
        <v>0</v>
      </c>
      <c r="BJ422">
        <v>2</v>
      </c>
      <c r="BK422">
        <v>4</v>
      </c>
      <c r="BL422">
        <v>7</v>
      </c>
      <c r="BM422">
        <v>0</v>
      </c>
      <c r="BN422">
        <v>0.7</v>
      </c>
      <c r="BO422">
        <v>1.3</v>
      </c>
      <c r="BP422">
        <v>2.2999999999999998</v>
      </c>
      <c r="BQ422">
        <v>1</v>
      </c>
      <c r="BR422">
        <v>1</v>
      </c>
      <c r="BS422">
        <v>0</v>
      </c>
      <c r="BT422">
        <v>0</v>
      </c>
      <c r="BU422">
        <v>1</v>
      </c>
      <c r="BV422">
        <v>0</v>
      </c>
      <c r="BW422">
        <v>0</v>
      </c>
      <c r="BX422">
        <v>1</v>
      </c>
      <c r="BY422">
        <v>7</v>
      </c>
      <c r="BZ422">
        <v>1.4</v>
      </c>
      <c r="CA422">
        <v>5</v>
      </c>
      <c r="CB422">
        <v>1</v>
      </c>
      <c r="CC422">
        <v>3</v>
      </c>
      <c r="CD422">
        <v>3</v>
      </c>
      <c r="CE422">
        <v>3</v>
      </c>
      <c r="CF422">
        <v>0</v>
      </c>
      <c r="CG422">
        <v>0</v>
      </c>
      <c r="CH422">
        <v>3</v>
      </c>
      <c r="CI422">
        <v>0</v>
      </c>
      <c r="CJ422">
        <v>0</v>
      </c>
      <c r="CK422">
        <v>6</v>
      </c>
      <c r="CL422">
        <v>4</v>
      </c>
      <c r="CM422">
        <v>3</v>
      </c>
      <c r="CN422">
        <v>4</v>
      </c>
      <c r="CO422">
        <v>2</v>
      </c>
      <c r="CP422">
        <v>1.3</v>
      </c>
      <c r="CQ422">
        <v>1</v>
      </c>
      <c r="CR422">
        <v>1.3</v>
      </c>
      <c r="CS422">
        <v>1</v>
      </c>
      <c r="CT422">
        <v>1</v>
      </c>
      <c r="CU422">
        <v>1</v>
      </c>
      <c r="CV422">
        <v>0</v>
      </c>
      <c r="CW422">
        <v>0</v>
      </c>
      <c r="CX422">
        <v>1</v>
      </c>
      <c r="CY422">
        <v>0</v>
      </c>
      <c r="CZ422">
        <v>0</v>
      </c>
    </row>
    <row r="423" spans="1:104" x14ac:dyDescent="0.25">
      <c r="A423" s="1" t="s">
        <v>2539</v>
      </c>
      <c r="B423">
        <v>1360</v>
      </c>
      <c r="C423">
        <v>1381</v>
      </c>
      <c r="D423" s="2">
        <v>43897</v>
      </c>
      <c r="E423" s="3">
        <f t="shared" si="18"/>
        <v>2020</v>
      </c>
      <c r="F423" s="3">
        <f t="shared" si="19"/>
        <v>3</v>
      </c>
      <c r="G423" s="3">
        <f t="shared" si="20"/>
        <v>7</v>
      </c>
      <c r="H423" t="s">
        <v>2540</v>
      </c>
      <c r="I423">
        <v>581</v>
      </c>
      <c r="J423" t="s">
        <v>371</v>
      </c>
      <c r="K423" t="s">
        <v>241</v>
      </c>
      <c r="L423">
        <v>2019</v>
      </c>
      <c r="M423" t="s">
        <v>2541</v>
      </c>
      <c r="N423" t="s">
        <v>2540</v>
      </c>
      <c r="O423" t="s">
        <v>2542</v>
      </c>
      <c r="P423">
        <v>5397</v>
      </c>
      <c r="Q423" t="s">
        <v>241</v>
      </c>
      <c r="R423">
        <v>1891</v>
      </c>
      <c r="S423" t="s">
        <v>2543</v>
      </c>
      <c r="T423" t="s">
        <v>2544</v>
      </c>
      <c r="U423">
        <v>16567</v>
      </c>
      <c r="V423" t="s">
        <v>241</v>
      </c>
      <c r="W423">
        <v>1884</v>
      </c>
      <c r="X423" t="s">
        <v>109</v>
      </c>
      <c r="Z423">
        <v>-3.5</v>
      </c>
      <c r="AA423">
        <v>-2.5</v>
      </c>
      <c r="AB423">
        <v>45</v>
      </c>
      <c r="AC423">
        <v>45</v>
      </c>
      <c r="AD423">
        <v>10</v>
      </c>
      <c r="AE423">
        <v>64</v>
      </c>
      <c r="AF423">
        <v>36</v>
      </c>
      <c r="AG423">
        <v>64</v>
      </c>
      <c r="AH423">
        <v>36</v>
      </c>
      <c r="AI423">
        <v>56</v>
      </c>
      <c r="AJ423">
        <v>44</v>
      </c>
      <c r="AK423">
        <v>70</v>
      </c>
      <c r="AL423">
        <v>30</v>
      </c>
      <c r="AM423">
        <v>29</v>
      </c>
      <c r="AN423">
        <v>71</v>
      </c>
      <c r="AO423">
        <v>33</v>
      </c>
      <c r="AP423">
        <v>67</v>
      </c>
      <c r="AQ423">
        <v>47</v>
      </c>
      <c r="AR423">
        <v>100</v>
      </c>
      <c r="AS423">
        <v>0</v>
      </c>
      <c r="AT423">
        <v>27</v>
      </c>
      <c r="AU423">
        <v>67</v>
      </c>
      <c r="AV423">
        <v>0</v>
      </c>
      <c r="AW423">
        <v>7</v>
      </c>
      <c r="AX423">
        <v>1.4</v>
      </c>
      <c r="AY423">
        <v>8</v>
      </c>
      <c r="AZ423">
        <v>1.6</v>
      </c>
      <c r="BA423">
        <v>16</v>
      </c>
      <c r="BB423">
        <v>18</v>
      </c>
      <c r="BC423">
        <v>7</v>
      </c>
      <c r="BD423">
        <v>3</v>
      </c>
      <c r="BE423">
        <v>2</v>
      </c>
      <c r="BF423">
        <v>8</v>
      </c>
      <c r="BG423">
        <v>7</v>
      </c>
      <c r="BH423">
        <v>7</v>
      </c>
      <c r="BI423">
        <v>32</v>
      </c>
      <c r="BJ423">
        <v>14</v>
      </c>
      <c r="BK423">
        <v>25</v>
      </c>
      <c r="BL423">
        <v>26</v>
      </c>
      <c r="BM423">
        <v>2</v>
      </c>
      <c r="BN423">
        <v>0.8</v>
      </c>
      <c r="BO423">
        <v>1.6</v>
      </c>
      <c r="BP423">
        <v>1.4</v>
      </c>
      <c r="BQ423">
        <v>4</v>
      </c>
      <c r="BR423">
        <v>2</v>
      </c>
      <c r="BS423">
        <v>1</v>
      </c>
      <c r="BT423">
        <v>0</v>
      </c>
      <c r="BU423">
        <v>0</v>
      </c>
      <c r="BV423">
        <v>1</v>
      </c>
      <c r="BW423">
        <v>3</v>
      </c>
      <c r="BX423">
        <v>1</v>
      </c>
      <c r="BY423">
        <v>4</v>
      </c>
      <c r="BZ423">
        <v>0.8</v>
      </c>
      <c r="CA423">
        <v>10</v>
      </c>
      <c r="CB423">
        <v>2</v>
      </c>
      <c r="CC423">
        <v>17</v>
      </c>
      <c r="CD423">
        <v>15</v>
      </c>
      <c r="CE423">
        <v>3</v>
      </c>
      <c r="CF423">
        <v>3</v>
      </c>
      <c r="CG423">
        <v>6</v>
      </c>
      <c r="CH423">
        <v>2</v>
      </c>
      <c r="CI423">
        <v>8</v>
      </c>
      <c r="CJ423">
        <v>10</v>
      </c>
      <c r="CK423">
        <v>19</v>
      </c>
      <c r="CL423">
        <v>13</v>
      </c>
      <c r="CM423">
        <v>26</v>
      </c>
      <c r="CN423">
        <v>32</v>
      </c>
      <c r="CO423">
        <v>1.1000000000000001</v>
      </c>
      <c r="CP423">
        <v>0.9</v>
      </c>
      <c r="CQ423">
        <v>1.5</v>
      </c>
      <c r="CR423">
        <v>2.1</v>
      </c>
      <c r="CS423">
        <v>2</v>
      </c>
      <c r="CT423">
        <v>4</v>
      </c>
      <c r="CU423">
        <v>1</v>
      </c>
      <c r="CV423">
        <v>3</v>
      </c>
      <c r="CW423">
        <v>1</v>
      </c>
      <c r="CX423">
        <v>0</v>
      </c>
      <c r="CY423">
        <v>0</v>
      </c>
      <c r="CZ423">
        <v>1</v>
      </c>
    </row>
    <row r="424" spans="1:104" x14ac:dyDescent="0.25">
      <c r="A424" s="1" t="s">
        <v>2545</v>
      </c>
      <c r="B424">
        <v>9893</v>
      </c>
      <c r="C424">
        <v>9886</v>
      </c>
      <c r="D424" s="2">
        <v>43765</v>
      </c>
      <c r="E424" s="3">
        <f t="shared" si="18"/>
        <v>2019</v>
      </c>
      <c r="F424" s="3">
        <f t="shared" si="19"/>
        <v>10</v>
      </c>
      <c r="G424" s="3">
        <f t="shared" si="20"/>
        <v>1</v>
      </c>
      <c r="H424" t="s">
        <v>400</v>
      </c>
      <c r="I424">
        <v>1285</v>
      </c>
      <c r="J424" t="s">
        <v>397</v>
      </c>
      <c r="K424" t="s">
        <v>380</v>
      </c>
      <c r="L424">
        <v>2019</v>
      </c>
      <c r="M424" t="s">
        <v>2546</v>
      </c>
      <c r="N424" t="s">
        <v>400</v>
      </c>
      <c r="O424" t="s">
        <v>401</v>
      </c>
      <c r="P424">
        <v>2000</v>
      </c>
      <c r="Q424" t="s">
        <v>380</v>
      </c>
      <c r="R424">
        <v>1974</v>
      </c>
      <c r="S424" t="s">
        <v>574</v>
      </c>
      <c r="T424" t="s">
        <v>575</v>
      </c>
      <c r="U424">
        <v>1000</v>
      </c>
      <c r="V424" t="s">
        <v>380</v>
      </c>
      <c r="X424" t="s">
        <v>125</v>
      </c>
      <c r="Z424">
        <v>-1.5</v>
      </c>
      <c r="AA424">
        <v>-2.5</v>
      </c>
      <c r="AB424">
        <v>0</v>
      </c>
      <c r="AC424">
        <v>50</v>
      </c>
      <c r="AD424">
        <v>50</v>
      </c>
      <c r="AE424">
        <v>24</v>
      </c>
      <c r="AF424">
        <v>76</v>
      </c>
      <c r="AG424">
        <v>33</v>
      </c>
      <c r="AH424">
        <v>67</v>
      </c>
      <c r="AI424">
        <v>27</v>
      </c>
      <c r="AJ424">
        <v>73</v>
      </c>
      <c r="AK424">
        <v>14</v>
      </c>
      <c r="AL424">
        <v>86</v>
      </c>
      <c r="AM424">
        <v>0</v>
      </c>
      <c r="AN424">
        <v>0</v>
      </c>
      <c r="AO424">
        <v>0</v>
      </c>
      <c r="AP424">
        <v>0</v>
      </c>
      <c r="AQ424">
        <v>27</v>
      </c>
      <c r="AR424">
        <v>29</v>
      </c>
      <c r="AS424">
        <v>43</v>
      </c>
      <c r="AT424">
        <v>87</v>
      </c>
      <c r="AU424">
        <v>57</v>
      </c>
      <c r="AV424">
        <v>79</v>
      </c>
      <c r="AW424">
        <v>4</v>
      </c>
      <c r="AX424">
        <v>0.8</v>
      </c>
      <c r="AY424">
        <v>8</v>
      </c>
      <c r="AZ424">
        <v>1.6</v>
      </c>
      <c r="BA424">
        <v>5</v>
      </c>
      <c r="BB424">
        <v>5</v>
      </c>
      <c r="BC424">
        <v>1</v>
      </c>
      <c r="BD424">
        <v>2</v>
      </c>
      <c r="BE424">
        <v>1</v>
      </c>
      <c r="BF424">
        <v>1</v>
      </c>
      <c r="BG424">
        <v>3</v>
      </c>
      <c r="BH424">
        <v>2</v>
      </c>
      <c r="BI424">
        <v>4</v>
      </c>
      <c r="BJ424">
        <v>5</v>
      </c>
      <c r="BK424">
        <v>7</v>
      </c>
      <c r="BL424">
        <v>7</v>
      </c>
      <c r="BM424">
        <v>0.8</v>
      </c>
      <c r="BN424">
        <v>1</v>
      </c>
      <c r="BO424">
        <v>1.4</v>
      </c>
      <c r="BP424">
        <v>1.4</v>
      </c>
      <c r="BQ424">
        <v>1</v>
      </c>
      <c r="BR424">
        <v>0</v>
      </c>
      <c r="BS424">
        <v>0</v>
      </c>
      <c r="BT424">
        <v>0</v>
      </c>
      <c r="BU424">
        <v>1</v>
      </c>
      <c r="BV424">
        <v>0</v>
      </c>
      <c r="BW424">
        <v>0</v>
      </c>
      <c r="BX424">
        <v>0</v>
      </c>
      <c r="BY424">
        <v>8</v>
      </c>
      <c r="BZ424">
        <v>1.6</v>
      </c>
      <c r="CA424">
        <v>3</v>
      </c>
      <c r="CB424">
        <v>0.6</v>
      </c>
      <c r="CC424">
        <v>4</v>
      </c>
      <c r="CD424">
        <v>5</v>
      </c>
      <c r="CE424">
        <v>3</v>
      </c>
      <c r="CF424">
        <v>3</v>
      </c>
      <c r="CG424">
        <v>1</v>
      </c>
      <c r="CH424">
        <v>1</v>
      </c>
      <c r="CI424">
        <v>0</v>
      </c>
      <c r="CJ424">
        <v>1</v>
      </c>
      <c r="CK424">
        <v>8</v>
      </c>
      <c r="CL424">
        <v>5</v>
      </c>
      <c r="CM424">
        <v>4</v>
      </c>
      <c r="CN424">
        <v>2</v>
      </c>
      <c r="CO424">
        <v>2</v>
      </c>
      <c r="CP424">
        <v>1</v>
      </c>
      <c r="CQ424">
        <v>1</v>
      </c>
      <c r="CR424">
        <v>0.4</v>
      </c>
      <c r="CS424">
        <v>0</v>
      </c>
      <c r="CT424">
        <v>1</v>
      </c>
      <c r="CU424">
        <v>0</v>
      </c>
      <c r="CV424">
        <v>0</v>
      </c>
      <c r="CW424">
        <v>0</v>
      </c>
      <c r="CX424">
        <v>1</v>
      </c>
      <c r="CY424">
        <v>0</v>
      </c>
      <c r="CZ424">
        <v>0</v>
      </c>
    </row>
    <row r="425" spans="1:104" x14ac:dyDescent="0.25">
      <c r="A425" s="1" t="s">
        <v>2547</v>
      </c>
      <c r="B425">
        <v>1017</v>
      </c>
      <c r="C425">
        <v>608</v>
      </c>
      <c r="D425" s="2">
        <v>44003</v>
      </c>
      <c r="E425" s="3">
        <f t="shared" si="18"/>
        <v>2020</v>
      </c>
      <c r="F425" s="3">
        <f t="shared" si="19"/>
        <v>6</v>
      </c>
      <c r="G425" s="3">
        <f t="shared" si="20"/>
        <v>1</v>
      </c>
      <c r="H425" t="s">
        <v>2548</v>
      </c>
      <c r="I425">
        <v>535</v>
      </c>
      <c r="J425" t="s">
        <v>2549</v>
      </c>
      <c r="K425" t="s">
        <v>839</v>
      </c>
      <c r="L425">
        <v>2019</v>
      </c>
      <c r="M425" t="s">
        <v>313</v>
      </c>
      <c r="N425" t="s">
        <v>2548</v>
      </c>
      <c r="O425" t="s">
        <v>2550</v>
      </c>
      <c r="P425">
        <v>10850</v>
      </c>
      <c r="Q425" t="s">
        <v>839</v>
      </c>
      <c r="R425">
        <v>1914</v>
      </c>
      <c r="S425" t="s">
        <v>2551</v>
      </c>
      <c r="T425" t="s">
        <v>2552</v>
      </c>
      <c r="U425">
        <v>34448</v>
      </c>
      <c r="V425" t="s">
        <v>839</v>
      </c>
      <c r="W425">
        <v>1911</v>
      </c>
      <c r="X425" t="s">
        <v>109</v>
      </c>
      <c r="Z425">
        <v>-2.5</v>
      </c>
      <c r="AA425">
        <v>-1.5</v>
      </c>
      <c r="AB425">
        <v>45</v>
      </c>
      <c r="AC425">
        <v>45</v>
      </c>
      <c r="AD425">
        <v>10</v>
      </c>
      <c r="AE425">
        <v>63</v>
      </c>
      <c r="AF425">
        <v>38</v>
      </c>
      <c r="AG425">
        <v>64</v>
      </c>
      <c r="AH425">
        <v>36</v>
      </c>
      <c r="AI425">
        <v>67</v>
      </c>
      <c r="AJ425">
        <v>33</v>
      </c>
      <c r="AK425">
        <v>62</v>
      </c>
      <c r="AL425">
        <v>38</v>
      </c>
      <c r="AM425">
        <v>7</v>
      </c>
      <c r="AN425">
        <v>93</v>
      </c>
      <c r="AO425">
        <v>13</v>
      </c>
      <c r="AP425">
        <v>88</v>
      </c>
      <c r="AQ425">
        <v>67</v>
      </c>
      <c r="AR425">
        <v>100</v>
      </c>
      <c r="AS425">
        <v>50</v>
      </c>
      <c r="AT425">
        <v>40</v>
      </c>
      <c r="AU425">
        <v>63</v>
      </c>
      <c r="AV425">
        <v>0</v>
      </c>
      <c r="AW425">
        <v>9</v>
      </c>
      <c r="AX425">
        <v>1.8</v>
      </c>
      <c r="AY425">
        <v>4</v>
      </c>
      <c r="AZ425">
        <v>0.8</v>
      </c>
      <c r="BA425">
        <v>14</v>
      </c>
      <c r="BB425">
        <v>15</v>
      </c>
      <c r="BC425">
        <v>10</v>
      </c>
      <c r="BD425">
        <v>5</v>
      </c>
      <c r="BE425">
        <v>1</v>
      </c>
      <c r="BF425">
        <v>4</v>
      </c>
      <c r="BG425">
        <v>3</v>
      </c>
      <c r="BH425">
        <v>6</v>
      </c>
      <c r="BI425">
        <v>29</v>
      </c>
      <c r="BJ425">
        <v>15</v>
      </c>
      <c r="BK425">
        <v>12</v>
      </c>
      <c r="BL425">
        <v>19</v>
      </c>
      <c r="BM425">
        <v>2.1</v>
      </c>
      <c r="BN425">
        <v>1</v>
      </c>
      <c r="BO425">
        <v>0.9</v>
      </c>
      <c r="BP425">
        <v>1.3</v>
      </c>
      <c r="BQ425">
        <v>8</v>
      </c>
      <c r="BR425">
        <v>8</v>
      </c>
      <c r="BS425">
        <v>2</v>
      </c>
      <c r="BT425">
        <v>0</v>
      </c>
      <c r="BU425">
        <v>2</v>
      </c>
      <c r="BV425">
        <v>3</v>
      </c>
      <c r="BW425">
        <v>4</v>
      </c>
      <c r="BX425">
        <v>5</v>
      </c>
      <c r="BY425">
        <v>5</v>
      </c>
      <c r="BZ425">
        <v>1</v>
      </c>
      <c r="CA425">
        <v>8</v>
      </c>
      <c r="CB425">
        <v>1.6</v>
      </c>
      <c r="CC425">
        <v>15</v>
      </c>
      <c r="CD425">
        <v>14</v>
      </c>
      <c r="CE425">
        <v>12</v>
      </c>
      <c r="CF425">
        <v>3</v>
      </c>
      <c r="CG425">
        <v>0</v>
      </c>
      <c r="CH425">
        <v>6</v>
      </c>
      <c r="CI425">
        <v>3</v>
      </c>
      <c r="CJ425">
        <v>5</v>
      </c>
      <c r="CK425">
        <v>32</v>
      </c>
      <c r="CL425">
        <v>14</v>
      </c>
      <c r="CM425">
        <v>14</v>
      </c>
      <c r="CN425">
        <v>13</v>
      </c>
      <c r="CO425">
        <v>2.1</v>
      </c>
      <c r="CP425">
        <v>1</v>
      </c>
      <c r="CQ425">
        <v>0.9</v>
      </c>
      <c r="CR425">
        <v>0.9</v>
      </c>
      <c r="CS425">
        <v>8</v>
      </c>
      <c r="CT425">
        <v>8</v>
      </c>
      <c r="CU425">
        <v>5</v>
      </c>
      <c r="CV425">
        <v>4</v>
      </c>
      <c r="CW425">
        <v>3</v>
      </c>
      <c r="CX425">
        <v>2</v>
      </c>
      <c r="CY425">
        <v>0</v>
      </c>
      <c r="CZ425">
        <v>2</v>
      </c>
    </row>
    <row r="426" spans="1:104" x14ac:dyDescent="0.25">
      <c r="A426" s="1" t="s">
        <v>2553</v>
      </c>
      <c r="B426">
        <v>5409</v>
      </c>
      <c r="C426">
        <v>5557</v>
      </c>
      <c r="D426" s="2">
        <v>43800</v>
      </c>
      <c r="E426" s="3">
        <f t="shared" si="18"/>
        <v>2019</v>
      </c>
      <c r="F426" s="3">
        <f t="shared" si="19"/>
        <v>12</v>
      </c>
      <c r="G426" s="3">
        <f t="shared" si="20"/>
        <v>1</v>
      </c>
      <c r="H426" t="s">
        <v>2554</v>
      </c>
      <c r="I426">
        <v>987</v>
      </c>
      <c r="J426" t="s">
        <v>538</v>
      </c>
      <c r="K426" t="s">
        <v>539</v>
      </c>
      <c r="L426">
        <v>2020</v>
      </c>
      <c r="M426" t="s">
        <v>122</v>
      </c>
      <c r="Q426" t="s">
        <v>539</v>
      </c>
      <c r="S426" t="s">
        <v>2555</v>
      </c>
      <c r="T426" t="s">
        <v>2556</v>
      </c>
      <c r="U426">
        <v>11000</v>
      </c>
      <c r="V426" t="s">
        <v>539</v>
      </c>
      <c r="X426" t="s">
        <v>125</v>
      </c>
      <c r="Z426">
        <v>-1.5</v>
      </c>
      <c r="AA426">
        <v>-2.5</v>
      </c>
      <c r="AB426">
        <v>10</v>
      </c>
      <c r="AC426">
        <v>45</v>
      </c>
      <c r="AD426">
        <v>45</v>
      </c>
      <c r="AE426">
        <v>50</v>
      </c>
      <c r="AF426">
        <v>50</v>
      </c>
      <c r="AG426">
        <v>56</v>
      </c>
      <c r="AH426">
        <v>44</v>
      </c>
      <c r="AI426">
        <v>29</v>
      </c>
      <c r="AJ426">
        <v>71</v>
      </c>
      <c r="AK426">
        <v>27</v>
      </c>
      <c r="AL426">
        <v>73</v>
      </c>
      <c r="AM426">
        <v>0</v>
      </c>
      <c r="AN426">
        <v>0</v>
      </c>
      <c r="AO426">
        <v>0</v>
      </c>
      <c r="AP426">
        <v>0</v>
      </c>
      <c r="AQ426">
        <v>33</v>
      </c>
      <c r="AR426">
        <v>50</v>
      </c>
      <c r="AS426">
        <v>0</v>
      </c>
      <c r="AT426">
        <v>33</v>
      </c>
      <c r="AU426">
        <v>40</v>
      </c>
      <c r="AV426">
        <v>60</v>
      </c>
      <c r="AW426">
        <v>5</v>
      </c>
      <c r="AX426">
        <v>1</v>
      </c>
      <c r="AY426">
        <v>10</v>
      </c>
      <c r="AZ426">
        <v>2</v>
      </c>
      <c r="BA426">
        <v>3</v>
      </c>
      <c r="BB426">
        <v>5</v>
      </c>
      <c r="BC426">
        <v>1</v>
      </c>
      <c r="BD426">
        <v>2</v>
      </c>
      <c r="BE426">
        <v>1</v>
      </c>
      <c r="BF426">
        <v>1</v>
      </c>
      <c r="BG426">
        <v>1</v>
      </c>
      <c r="BH426">
        <v>2</v>
      </c>
      <c r="BI426">
        <v>2</v>
      </c>
      <c r="BJ426">
        <v>6</v>
      </c>
      <c r="BK426">
        <v>2</v>
      </c>
      <c r="BL426">
        <v>10</v>
      </c>
      <c r="BM426">
        <v>0.7</v>
      </c>
      <c r="BN426">
        <v>1.2</v>
      </c>
      <c r="BO426">
        <v>0.7</v>
      </c>
      <c r="BP426">
        <v>2</v>
      </c>
      <c r="BQ426">
        <v>1</v>
      </c>
      <c r="BR426">
        <v>1</v>
      </c>
      <c r="BS426">
        <v>0</v>
      </c>
      <c r="BT426">
        <v>0</v>
      </c>
      <c r="BU426">
        <v>1</v>
      </c>
      <c r="BV426">
        <v>0</v>
      </c>
      <c r="BW426">
        <v>0</v>
      </c>
      <c r="BX426">
        <v>1</v>
      </c>
      <c r="BY426">
        <v>4</v>
      </c>
      <c r="BZ426">
        <v>0.8</v>
      </c>
      <c r="CA426">
        <v>4</v>
      </c>
      <c r="CB426">
        <v>0.8</v>
      </c>
      <c r="CC426">
        <v>5</v>
      </c>
      <c r="CD426">
        <v>4</v>
      </c>
      <c r="CE426">
        <v>1</v>
      </c>
      <c r="CF426">
        <v>2</v>
      </c>
      <c r="CG426">
        <v>2</v>
      </c>
      <c r="CH426">
        <v>2</v>
      </c>
      <c r="CI426">
        <v>2</v>
      </c>
      <c r="CJ426">
        <v>0</v>
      </c>
      <c r="CK426">
        <v>4</v>
      </c>
      <c r="CL426">
        <v>9</v>
      </c>
      <c r="CM426">
        <v>4</v>
      </c>
      <c r="CN426">
        <v>4</v>
      </c>
      <c r="CO426">
        <v>0.8</v>
      </c>
      <c r="CP426">
        <v>2.2999999999999998</v>
      </c>
      <c r="CQ426">
        <v>0.8</v>
      </c>
      <c r="CR426">
        <v>1</v>
      </c>
      <c r="CS426">
        <v>1</v>
      </c>
      <c r="CT426">
        <v>1</v>
      </c>
      <c r="CU426">
        <v>1</v>
      </c>
      <c r="CV426">
        <v>0</v>
      </c>
      <c r="CW426">
        <v>0</v>
      </c>
      <c r="CX426">
        <v>1</v>
      </c>
      <c r="CY426">
        <v>0</v>
      </c>
      <c r="CZ426">
        <v>0</v>
      </c>
    </row>
    <row r="427" spans="1:104" x14ac:dyDescent="0.25">
      <c r="A427" s="1" t="s">
        <v>2557</v>
      </c>
      <c r="B427">
        <v>3244</v>
      </c>
      <c r="C427">
        <v>3107</v>
      </c>
      <c r="D427" s="2">
        <v>43792</v>
      </c>
      <c r="E427" s="3">
        <f t="shared" si="18"/>
        <v>2019</v>
      </c>
      <c r="F427" s="3">
        <f t="shared" si="19"/>
        <v>11</v>
      </c>
      <c r="G427" s="3">
        <f t="shared" si="20"/>
        <v>7</v>
      </c>
      <c r="H427" t="s">
        <v>2558</v>
      </c>
      <c r="I427">
        <v>1303</v>
      </c>
      <c r="J427" t="s">
        <v>2559</v>
      </c>
      <c r="K427" t="s">
        <v>158</v>
      </c>
      <c r="L427">
        <v>2019</v>
      </c>
      <c r="M427" t="s">
        <v>2560</v>
      </c>
      <c r="N427" t="s">
        <v>2561</v>
      </c>
      <c r="O427" t="s">
        <v>2562</v>
      </c>
      <c r="P427">
        <v>1000</v>
      </c>
      <c r="Q427" t="s">
        <v>158</v>
      </c>
      <c r="R427">
        <v>2009</v>
      </c>
      <c r="S427" t="s">
        <v>2563</v>
      </c>
      <c r="T427" t="s">
        <v>2564</v>
      </c>
      <c r="U427">
        <v>4659</v>
      </c>
      <c r="V427" t="s">
        <v>158</v>
      </c>
      <c r="W427">
        <v>1965</v>
      </c>
      <c r="X427" t="s">
        <v>109</v>
      </c>
      <c r="Z427">
        <v>-2.5</v>
      </c>
      <c r="AA427">
        <v>-2.5</v>
      </c>
      <c r="AB427">
        <v>45</v>
      </c>
      <c r="AC427">
        <v>45</v>
      </c>
      <c r="AD427">
        <v>10</v>
      </c>
      <c r="AE427">
        <v>59</v>
      </c>
      <c r="AF427">
        <v>41</v>
      </c>
      <c r="AG427">
        <v>53</v>
      </c>
      <c r="AH427">
        <v>47</v>
      </c>
      <c r="AI427">
        <v>50</v>
      </c>
      <c r="AJ427">
        <v>50</v>
      </c>
      <c r="AK427">
        <v>100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67</v>
      </c>
      <c r="AR427">
        <v>69</v>
      </c>
      <c r="AS427">
        <v>38</v>
      </c>
      <c r="AT427">
        <v>47</v>
      </c>
      <c r="AU427">
        <v>62</v>
      </c>
      <c r="AV427">
        <v>38</v>
      </c>
      <c r="AW427">
        <v>9</v>
      </c>
      <c r="AX427">
        <v>1.8</v>
      </c>
      <c r="AY427">
        <v>8</v>
      </c>
      <c r="AZ427">
        <v>1.6</v>
      </c>
      <c r="BA427">
        <v>4</v>
      </c>
      <c r="BB427">
        <v>5</v>
      </c>
      <c r="BC427">
        <v>3</v>
      </c>
      <c r="BD427">
        <v>2</v>
      </c>
      <c r="BE427">
        <v>1</v>
      </c>
      <c r="BF427">
        <v>2</v>
      </c>
      <c r="BG427">
        <v>0</v>
      </c>
      <c r="BH427">
        <v>1</v>
      </c>
      <c r="BI427">
        <v>3</v>
      </c>
      <c r="BJ427">
        <v>11</v>
      </c>
      <c r="BK427">
        <v>0</v>
      </c>
      <c r="BL427">
        <v>10</v>
      </c>
      <c r="BM427">
        <v>0.8</v>
      </c>
      <c r="BN427">
        <v>2.2000000000000002</v>
      </c>
      <c r="BO427">
        <v>0</v>
      </c>
      <c r="BP427">
        <v>2</v>
      </c>
      <c r="BQ427">
        <v>1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1</v>
      </c>
      <c r="BX427">
        <v>0</v>
      </c>
      <c r="BY427">
        <v>8</v>
      </c>
      <c r="BZ427">
        <v>1.6</v>
      </c>
      <c r="CA427">
        <v>8</v>
      </c>
      <c r="CB427">
        <v>1.6</v>
      </c>
      <c r="CC427">
        <v>4</v>
      </c>
      <c r="CD427">
        <v>4</v>
      </c>
      <c r="CE427">
        <v>2</v>
      </c>
      <c r="CF427">
        <v>2</v>
      </c>
      <c r="CG427">
        <v>1</v>
      </c>
      <c r="CH427">
        <v>0</v>
      </c>
      <c r="CI427">
        <v>1</v>
      </c>
      <c r="CJ427">
        <v>2</v>
      </c>
      <c r="CK427">
        <v>6</v>
      </c>
      <c r="CL427">
        <v>10</v>
      </c>
      <c r="CM427">
        <v>4</v>
      </c>
      <c r="CN427">
        <v>7</v>
      </c>
      <c r="CO427">
        <v>1.5</v>
      </c>
      <c r="CP427">
        <v>2.5</v>
      </c>
      <c r="CQ427">
        <v>1</v>
      </c>
      <c r="CR427">
        <v>1.8</v>
      </c>
      <c r="CS427">
        <v>0</v>
      </c>
      <c r="CT427">
        <v>1</v>
      </c>
      <c r="CU427">
        <v>0</v>
      </c>
      <c r="CV427">
        <v>1</v>
      </c>
      <c r="CW427">
        <v>0</v>
      </c>
      <c r="CX427">
        <v>0</v>
      </c>
      <c r="CY427">
        <v>0</v>
      </c>
      <c r="CZ427">
        <v>0</v>
      </c>
    </row>
    <row r="428" spans="1:104" x14ac:dyDescent="0.25">
      <c r="A428" s="1" t="s">
        <v>2565</v>
      </c>
      <c r="B428">
        <v>2661</v>
      </c>
      <c r="C428">
        <v>10558</v>
      </c>
      <c r="D428" s="2">
        <v>43882</v>
      </c>
      <c r="E428" s="3">
        <f t="shared" si="18"/>
        <v>2020</v>
      </c>
      <c r="F428" s="3">
        <f t="shared" si="19"/>
        <v>2</v>
      </c>
      <c r="G428" s="3">
        <f t="shared" si="20"/>
        <v>6</v>
      </c>
      <c r="H428" t="s">
        <v>298</v>
      </c>
      <c r="I428">
        <v>1459</v>
      </c>
      <c r="J428" t="s">
        <v>1465</v>
      </c>
      <c r="K428" t="s">
        <v>271</v>
      </c>
      <c r="L428">
        <v>2019</v>
      </c>
      <c r="M428" t="s">
        <v>1042</v>
      </c>
      <c r="N428" t="s">
        <v>298</v>
      </c>
      <c r="O428" t="s">
        <v>299</v>
      </c>
      <c r="P428">
        <v>40000</v>
      </c>
      <c r="Q428" t="s">
        <v>271</v>
      </c>
      <c r="V428" t="s">
        <v>271</v>
      </c>
      <c r="X428">
        <v>1</v>
      </c>
      <c r="Z428">
        <v>-4.5</v>
      </c>
      <c r="AA428">
        <v>-2.5</v>
      </c>
      <c r="AB428">
        <v>45</v>
      </c>
      <c r="AC428">
        <v>45</v>
      </c>
      <c r="AD428">
        <v>10</v>
      </c>
      <c r="AE428">
        <v>50</v>
      </c>
      <c r="AF428">
        <v>50</v>
      </c>
      <c r="AG428">
        <v>67</v>
      </c>
      <c r="AH428">
        <v>33</v>
      </c>
      <c r="AI428">
        <v>100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100</v>
      </c>
      <c r="AR428">
        <v>31</v>
      </c>
      <c r="AS428">
        <v>100</v>
      </c>
      <c r="AT428">
        <v>100</v>
      </c>
      <c r="AU428">
        <v>15</v>
      </c>
      <c r="AV428">
        <v>92</v>
      </c>
      <c r="AW428">
        <v>4</v>
      </c>
      <c r="AX428">
        <v>4</v>
      </c>
      <c r="AY428">
        <v>0</v>
      </c>
      <c r="AZ428">
        <v>0</v>
      </c>
      <c r="BA428">
        <v>1</v>
      </c>
      <c r="BB428">
        <v>0</v>
      </c>
      <c r="BC428">
        <v>1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4</v>
      </c>
      <c r="BJ428">
        <v>0</v>
      </c>
      <c r="BK428">
        <v>0</v>
      </c>
      <c r="BL428">
        <v>0</v>
      </c>
      <c r="BM428">
        <v>4</v>
      </c>
      <c r="BN428">
        <v>0</v>
      </c>
      <c r="BO428">
        <v>0</v>
      </c>
      <c r="BP428">
        <v>0</v>
      </c>
      <c r="BQ428">
        <v>1</v>
      </c>
      <c r="BR428">
        <v>0</v>
      </c>
      <c r="BS428">
        <v>1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2</v>
      </c>
      <c r="BZ428">
        <v>2</v>
      </c>
      <c r="CA428">
        <v>1</v>
      </c>
      <c r="CB428">
        <v>1</v>
      </c>
      <c r="CC428">
        <v>1</v>
      </c>
      <c r="CD428">
        <v>0</v>
      </c>
      <c r="CE428">
        <v>1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2</v>
      </c>
      <c r="CL428">
        <v>0</v>
      </c>
      <c r="CM428">
        <v>1</v>
      </c>
      <c r="CN428">
        <v>0</v>
      </c>
      <c r="CO428">
        <v>2</v>
      </c>
      <c r="CP428">
        <v>0</v>
      </c>
      <c r="CQ428">
        <v>1</v>
      </c>
      <c r="CR428">
        <v>0</v>
      </c>
      <c r="CS428">
        <v>0</v>
      </c>
      <c r="CT428">
        <v>1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1</v>
      </c>
    </row>
    <row r="429" spans="1:104" x14ac:dyDescent="0.25">
      <c r="A429" s="1" t="s">
        <v>2566</v>
      </c>
      <c r="B429">
        <v>112</v>
      </c>
      <c r="C429">
        <v>83</v>
      </c>
      <c r="D429" s="2">
        <v>43757</v>
      </c>
      <c r="E429" s="3">
        <f t="shared" si="18"/>
        <v>2019</v>
      </c>
      <c r="F429" s="3">
        <f t="shared" si="19"/>
        <v>10</v>
      </c>
      <c r="G429" s="3">
        <f t="shared" si="20"/>
        <v>7</v>
      </c>
      <c r="H429" t="s">
        <v>2567</v>
      </c>
      <c r="I429">
        <v>525</v>
      </c>
      <c r="J429" t="s">
        <v>1054</v>
      </c>
      <c r="K429" t="s">
        <v>158</v>
      </c>
      <c r="L429">
        <v>2019</v>
      </c>
      <c r="M429" t="s">
        <v>122</v>
      </c>
      <c r="N429" t="s">
        <v>2567</v>
      </c>
      <c r="O429" t="s">
        <v>2568</v>
      </c>
      <c r="P429">
        <v>25636</v>
      </c>
      <c r="Q429" t="s">
        <v>158</v>
      </c>
      <c r="R429">
        <v>1932</v>
      </c>
      <c r="S429" t="s">
        <v>2569</v>
      </c>
      <c r="T429" t="s">
        <v>2570</v>
      </c>
      <c r="U429">
        <v>38285</v>
      </c>
      <c r="V429" t="s">
        <v>158</v>
      </c>
      <c r="W429">
        <v>1943</v>
      </c>
      <c r="X429" t="s">
        <v>125</v>
      </c>
      <c r="Z429">
        <v>-2.5</v>
      </c>
      <c r="AA429">
        <v>-2.5</v>
      </c>
      <c r="AB429">
        <v>10</v>
      </c>
      <c r="AC429">
        <v>45</v>
      </c>
      <c r="AD429">
        <v>45</v>
      </c>
      <c r="AE429">
        <v>25</v>
      </c>
      <c r="AF429">
        <v>75</v>
      </c>
      <c r="AG429">
        <v>44</v>
      </c>
      <c r="AH429">
        <v>56</v>
      </c>
      <c r="AI429">
        <v>20</v>
      </c>
      <c r="AJ429">
        <v>80</v>
      </c>
      <c r="AK429">
        <v>41</v>
      </c>
      <c r="AL429">
        <v>59</v>
      </c>
      <c r="AM429">
        <v>50</v>
      </c>
      <c r="AN429">
        <v>50</v>
      </c>
      <c r="AO429">
        <v>63</v>
      </c>
      <c r="AP429">
        <v>38</v>
      </c>
      <c r="AQ429">
        <v>27</v>
      </c>
      <c r="AR429">
        <v>36</v>
      </c>
      <c r="AS429">
        <v>27</v>
      </c>
      <c r="AT429">
        <v>80</v>
      </c>
      <c r="AU429">
        <v>45</v>
      </c>
      <c r="AV429">
        <v>82</v>
      </c>
      <c r="AW429">
        <v>4</v>
      </c>
      <c r="AX429">
        <v>0.8</v>
      </c>
      <c r="AY429">
        <v>8</v>
      </c>
      <c r="AZ429">
        <v>1.6</v>
      </c>
      <c r="BA429">
        <v>4</v>
      </c>
      <c r="BB429">
        <v>5</v>
      </c>
      <c r="BC429">
        <v>1</v>
      </c>
      <c r="BD429">
        <v>1</v>
      </c>
      <c r="BE429">
        <v>1</v>
      </c>
      <c r="BF429">
        <v>1</v>
      </c>
      <c r="BG429">
        <v>2</v>
      </c>
      <c r="BH429">
        <v>3</v>
      </c>
      <c r="BI429">
        <v>6</v>
      </c>
      <c r="BJ429">
        <v>2</v>
      </c>
      <c r="BK429">
        <v>6</v>
      </c>
      <c r="BL429">
        <v>8</v>
      </c>
      <c r="BM429">
        <v>1.5</v>
      </c>
      <c r="BN429">
        <v>0.4</v>
      </c>
      <c r="BO429">
        <v>1.5</v>
      </c>
      <c r="BP429">
        <v>1.6</v>
      </c>
      <c r="BQ429">
        <v>6</v>
      </c>
      <c r="BR429">
        <v>7</v>
      </c>
      <c r="BS429">
        <v>1</v>
      </c>
      <c r="BT429">
        <v>1</v>
      </c>
      <c r="BU429">
        <v>4</v>
      </c>
      <c r="BV429">
        <v>4</v>
      </c>
      <c r="BW429">
        <v>1</v>
      </c>
      <c r="BX429">
        <v>2</v>
      </c>
      <c r="BY429">
        <v>5</v>
      </c>
      <c r="BZ429">
        <v>1</v>
      </c>
      <c r="CA429">
        <v>2</v>
      </c>
      <c r="CB429">
        <v>0.4</v>
      </c>
      <c r="CC429">
        <v>5</v>
      </c>
      <c r="CD429">
        <v>4</v>
      </c>
      <c r="CE429">
        <v>4</v>
      </c>
      <c r="CF429">
        <v>2</v>
      </c>
      <c r="CG429">
        <v>1</v>
      </c>
      <c r="CH429">
        <v>0</v>
      </c>
      <c r="CI429">
        <v>0</v>
      </c>
      <c r="CJ429">
        <v>2</v>
      </c>
      <c r="CK429">
        <v>4</v>
      </c>
      <c r="CL429">
        <v>5</v>
      </c>
      <c r="CM429">
        <v>0</v>
      </c>
      <c r="CN429">
        <v>5</v>
      </c>
      <c r="CO429">
        <v>0.8</v>
      </c>
      <c r="CP429">
        <v>1.3</v>
      </c>
      <c r="CQ429">
        <v>0</v>
      </c>
      <c r="CR429">
        <v>1.3</v>
      </c>
      <c r="CS429">
        <v>7</v>
      </c>
      <c r="CT429">
        <v>6</v>
      </c>
      <c r="CU429">
        <v>2</v>
      </c>
      <c r="CV429">
        <v>1</v>
      </c>
      <c r="CW429">
        <v>4</v>
      </c>
      <c r="CX429">
        <v>4</v>
      </c>
      <c r="CY429">
        <v>1</v>
      </c>
      <c r="CZ429">
        <v>1</v>
      </c>
    </row>
    <row r="430" spans="1:104" x14ac:dyDescent="0.25">
      <c r="A430" s="1" t="s">
        <v>2571</v>
      </c>
      <c r="B430">
        <v>9176</v>
      </c>
      <c r="C430">
        <v>2085</v>
      </c>
      <c r="D430" s="2">
        <v>43707</v>
      </c>
      <c r="E430" s="3">
        <f t="shared" si="18"/>
        <v>2019</v>
      </c>
      <c r="F430" s="3">
        <f t="shared" si="19"/>
        <v>8</v>
      </c>
      <c r="G430" s="3">
        <f t="shared" si="20"/>
        <v>6</v>
      </c>
      <c r="H430" t="s">
        <v>2572</v>
      </c>
      <c r="I430">
        <v>1210</v>
      </c>
      <c r="J430" t="s">
        <v>2573</v>
      </c>
      <c r="K430" t="s">
        <v>180</v>
      </c>
      <c r="L430">
        <v>2019</v>
      </c>
      <c r="M430" t="s">
        <v>249</v>
      </c>
      <c r="N430" t="s">
        <v>2574</v>
      </c>
      <c r="O430" t="s">
        <v>2575</v>
      </c>
      <c r="P430">
        <v>7000</v>
      </c>
      <c r="Q430" t="s">
        <v>180</v>
      </c>
      <c r="S430" t="s">
        <v>418</v>
      </c>
      <c r="T430" t="s">
        <v>419</v>
      </c>
      <c r="U430">
        <v>10770</v>
      </c>
      <c r="V430" t="s">
        <v>180</v>
      </c>
      <c r="W430">
        <v>2004</v>
      </c>
      <c r="X430" t="s">
        <v>125</v>
      </c>
      <c r="Y430">
        <v>1.5</v>
      </c>
      <c r="Z430">
        <v>-2.5</v>
      </c>
      <c r="AA430">
        <v>-2.5</v>
      </c>
      <c r="AB430">
        <v>10</v>
      </c>
      <c r="AC430">
        <v>45</v>
      </c>
      <c r="AD430">
        <v>45</v>
      </c>
      <c r="AE430">
        <v>44</v>
      </c>
      <c r="AF430">
        <v>56</v>
      </c>
      <c r="AG430">
        <v>44</v>
      </c>
      <c r="AH430">
        <v>56</v>
      </c>
      <c r="AI430">
        <v>43</v>
      </c>
      <c r="AJ430">
        <v>57</v>
      </c>
      <c r="AK430">
        <v>0</v>
      </c>
      <c r="AL430">
        <v>0</v>
      </c>
      <c r="AM430">
        <v>29</v>
      </c>
      <c r="AN430">
        <v>71</v>
      </c>
      <c r="AO430">
        <v>31</v>
      </c>
      <c r="AP430">
        <v>69</v>
      </c>
      <c r="AQ430">
        <v>27</v>
      </c>
      <c r="AR430">
        <v>37</v>
      </c>
      <c r="AS430">
        <v>32</v>
      </c>
      <c r="AT430">
        <v>33</v>
      </c>
      <c r="AU430">
        <v>47</v>
      </c>
      <c r="AV430">
        <v>47</v>
      </c>
      <c r="AW430">
        <v>7</v>
      </c>
      <c r="AX430">
        <v>1.4</v>
      </c>
      <c r="AY430">
        <v>13</v>
      </c>
      <c r="AZ430">
        <v>2.6</v>
      </c>
      <c r="BA430">
        <v>8</v>
      </c>
      <c r="BB430">
        <v>9</v>
      </c>
      <c r="BC430">
        <v>3</v>
      </c>
      <c r="BD430">
        <v>2</v>
      </c>
      <c r="BE430">
        <v>2</v>
      </c>
      <c r="BF430">
        <v>2</v>
      </c>
      <c r="BG430">
        <v>3</v>
      </c>
      <c r="BH430">
        <v>5</v>
      </c>
      <c r="BI430">
        <v>14</v>
      </c>
      <c r="BJ430">
        <v>14</v>
      </c>
      <c r="BK430">
        <v>12</v>
      </c>
      <c r="BL430">
        <v>15</v>
      </c>
      <c r="BM430">
        <v>1.8</v>
      </c>
      <c r="BN430">
        <v>1.6</v>
      </c>
      <c r="BO430">
        <v>1.5</v>
      </c>
      <c r="BP430">
        <v>1.7</v>
      </c>
      <c r="BQ430">
        <v>2</v>
      </c>
      <c r="BR430">
        <v>2</v>
      </c>
      <c r="BS430">
        <v>0</v>
      </c>
      <c r="BT430">
        <v>0</v>
      </c>
      <c r="BU430">
        <v>2</v>
      </c>
      <c r="BV430">
        <v>1</v>
      </c>
      <c r="BW430">
        <v>0</v>
      </c>
      <c r="BX430">
        <v>1</v>
      </c>
      <c r="BY430">
        <v>9</v>
      </c>
      <c r="BZ430">
        <v>1.8</v>
      </c>
      <c r="CA430">
        <v>10</v>
      </c>
      <c r="CB430">
        <v>2</v>
      </c>
      <c r="CC430">
        <v>9</v>
      </c>
      <c r="CD430">
        <v>8</v>
      </c>
      <c r="CE430">
        <v>4</v>
      </c>
      <c r="CF430">
        <v>1</v>
      </c>
      <c r="CG430">
        <v>3</v>
      </c>
      <c r="CH430">
        <v>5</v>
      </c>
      <c r="CI430">
        <v>2</v>
      </c>
      <c r="CJ430">
        <v>2</v>
      </c>
      <c r="CK430">
        <v>22</v>
      </c>
      <c r="CL430">
        <v>7</v>
      </c>
      <c r="CM430">
        <v>15</v>
      </c>
      <c r="CN430">
        <v>11</v>
      </c>
      <c r="CO430">
        <v>2.4</v>
      </c>
      <c r="CP430">
        <v>0.9</v>
      </c>
      <c r="CQ430">
        <v>1.7</v>
      </c>
      <c r="CR430">
        <v>1.4</v>
      </c>
      <c r="CS430">
        <v>2</v>
      </c>
      <c r="CT430">
        <v>2</v>
      </c>
      <c r="CU430">
        <v>1</v>
      </c>
      <c r="CV430">
        <v>0</v>
      </c>
      <c r="CW430">
        <v>1</v>
      </c>
      <c r="CX430">
        <v>2</v>
      </c>
      <c r="CY430">
        <v>0</v>
      </c>
      <c r="CZ430">
        <v>0</v>
      </c>
    </row>
    <row r="431" spans="1:104" x14ac:dyDescent="0.25">
      <c r="A431" s="1" t="s">
        <v>2576</v>
      </c>
      <c r="B431">
        <v>685</v>
      </c>
      <c r="C431">
        <v>2262</v>
      </c>
      <c r="D431" s="2">
        <v>44024</v>
      </c>
      <c r="E431" s="3">
        <f t="shared" si="18"/>
        <v>2020</v>
      </c>
      <c r="F431" s="3">
        <f t="shared" si="19"/>
        <v>7</v>
      </c>
      <c r="G431" s="3">
        <f t="shared" si="20"/>
        <v>1</v>
      </c>
      <c r="H431" t="s">
        <v>2577</v>
      </c>
      <c r="I431">
        <v>1343</v>
      </c>
      <c r="J431" t="s">
        <v>304</v>
      </c>
      <c r="K431" t="s">
        <v>305</v>
      </c>
      <c r="L431">
        <v>2020</v>
      </c>
      <c r="M431" t="s">
        <v>209</v>
      </c>
      <c r="N431" t="s">
        <v>2577</v>
      </c>
      <c r="O431" t="s">
        <v>2578</v>
      </c>
      <c r="P431">
        <v>19400</v>
      </c>
      <c r="Q431" t="s">
        <v>305</v>
      </c>
      <c r="R431">
        <v>1946</v>
      </c>
      <c r="S431" t="s">
        <v>303</v>
      </c>
      <c r="T431" t="s">
        <v>307</v>
      </c>
      <c r="U431">
        <v>54139</v>
      </c>
      <c r="V431" t="s">
        <v>305</v>
      </c>
      <c r="W431">
        <v>1925</v>
      </c>
      <c r="X431" t="s">
        <v>125</v>
      </c>
      <c r="Z431">
        <v>-1.5</v>
      </c>
      <c r="AA431">
        <v>-2.5</v>
      </c>
      <c r="AB431">
        <v>0</v>
      </c>
      <c r="AC431">
        <v>50</v>
      </c>
      <c r="AD431">
        <v>50</v>
      </c>
      <c r="AE431">
        <v>33</v>
      </c>
      <c r="AF431">
        <v>67</v>
      </c>
      <c r="AG431">
        <v>33</v>
      </c>
      <c r="AH431">
        <v>67</v>
      </c>
      <c r="AI431">
        <v>17</v>
      </c>
      <c r="AJ431">
        <v>83</v>
      </c>
      <c r="AK431">
        <v>0</v>
      </c>
      <c r="AL431">
        <v>0</v>
      </c>
      <c r="AM431">
        <v>15</v>
      </c>
      <c r="AN431">
        <v>85</v>
      </c>
      <c r="AO431">
        <v>36</v>
      </c>
      <c r="AP431">
        <v>64</v>
      </c>
      <c r="AQ431">
        <v>33</v>
      </c>
      <c r="AR431">
        <v>33</v>
      </c>
      <c r="AS431">
        <v>58</v>
      </c>
      <c r="AT431">
        <v>67</v>
      </c>
      <c r="AU431">
        <v>67</v>
      </c>
      <c r="AV431">
        <v>92</v>
      </c>
      <c r="AW431">
        <v>4</v>
      </c>
      <c r="AX431">
        <v>1</v>
      </c>
      <c r="AY431">
        <v>5</v>
      </c>
      <c r="AZ431">
        <v>1.3</v>
      </c>
      <c r="BA431">
        <v>2</v>
      </c>
      <c r="BB431">
        <v>2</v>
      </c>
      <c r="BC431">
        <v>0</v>
      </c>
      <c r="BD431">
        <v>1</v>
      </c>
      <c r="BE431">
        <v>1</v>
      </c>
      <c r="BF431">
        <v>0</v>
      </c>
      <c r="BG431">
        <v>1</v>
      </c>
      <c r="BH431">
        <v>1</v>
      </c>
      <c r="BI431">
        <v>2</v>
      </c>
      <c r="BJ431">
        <v>2</v>
      </c>
      <c r="BK431">
        <v>4</v>
      </c>
      <c r="BL431">
        <v>1</v>
      </c>
      <c r="BM431">
        <v>1</v>
      </c>
      <c r="BN431">
        <v>1</v>
      </c>
      <c r="BO431">
        <v>2</v>
      </c>
      <c r="BP431">
        <v>0.5</v>
      </c>
      <c r="BQ431">
        <v>10</v>
      </c>
      <c r="BR431">
        <v>9</v>
      </c>
      <c r="BS431">
        <v>0</v>
      </c>
      <c r="BT431">
        <v>2</v>
      </c>
      <c r="BU431">
        <v>6</v>
      </c>
      <c r="BV431">
        <v>1</v>
      </c>
      <c r="BW431">
        <v>4</v>
      </c>
      <c r="BX431">
        <v>6</v>
      </c>
      <c r="BY431">
        <v>8</v>
      </c>
      <c r="BZ431">
        <v>2</v>
      </c>
      <c r="CA431">
        <v>1</v>
      </c>
      <c r="CB431">
        <v>0.3</v>
      </c>
      <c r="CC431">
        <v>3</v>
      </c>
      <c r="CD431">
        <v>1</v>
      </c>
      <c r="CE431">
        <v>1</v>
      </c>
      <c r="CF431">
        <v>1</v>
      </c>
      <c r="CG431">
        <v>2</v>
      </c>
      <c r="CH431">
        <v>0</v>
      </c>
      <c r="CI431">
        <v>0</v>
      </c>
      <c r="CJ431">
        <v>0</v>
      </c>
      <c r="CK431">
        <v>5</v>
      </c>
      <c r="CL431">
        <v>3</v>
      </c>
      <c r="CM431">
        <v>1</v>
      </c>
      <c r="CN431">
        <v>0</v>
      </c>
      <c r="CO431">
        <v>1.7</v>
      </c>
      <c r="CP431">
        <v>3</v>
      </c>
      <c r="CQ431">
        <v>0.3</v>
      </c>
      <c r="CR431">
        <v>0</v>
      </c>
      <c r="CS431">
        <v>9</v>
      </c>
      <c r="CT431">
        <v>10</v>
      </c>
      <c r="CU431">
        <v>6</v>
      </c>
      <c r="CV431">
        <v>4</v>
      </c>
      <c r="CW431">
        <v>1</v>
      </c>
      <c r="CX431">
        <v>6</v>
      </c>
      <c r="CY431">
        <v>2</v>
      </c>
      <c r="CZ431">
        <v>0</v>
      </c>
    </row>
    <row r="432" spans="1:104" x14ac:dyDescent="0.25">
      <c r="A432" s="1" t="s">
        <v>2579</v>
      </c>
      <c r="B432">
        <v>6057</v>
      </c>
      <c r="C432">
        <v>6027</v>
      </c>
      <c r="D432" s="2">
        <v>43698</v>
      </c>
      <c r="E432" s="3">
        <f t="shared" si="18"/>
        <v>2019</v>
      </c>
      <c r="F432" s="3">
        <f t="shared" si="19"/>
        <v>8</v>
      </c>
      <c r="G432" s="3">
        <f t="shared" si="20"/>
        <v>4</v>
      </c>
      <c r="H432" t="s">
        <v>2580</v>
      </c>
      <c r="I432">
        <v>1161</v>
      </c>
      <c r="J432" t="s">
        <v>1596</v>
      </c>
      <c r="K432" t="s">
        <v>113</v>
      </c>
      <c r="L432">
        <v>2019</v>
      </c>
      <c r="M432" t="s">
        <v>2581</v>
      </c>
      <c r="N432" t="s">
        <v>2580</v>
      </c>
      <c r="O432" t="s">
        <v>2582</v>
      </c>
      <c r="P432">
        <v>9500</v>
      </c>
      <c r="Q432" t="s">
        <v>113</v>
      </c>
      <c r="R432">
        <v>1887</v>
      </c>
      <c r="S432" t="s">
        <v>2583</v>
      </c>
      <c r="T432" t="s">
        <v>2584</v>
      </c>
      <c r="U432">
        <v>10500</v>
      </c>
      <c r="V432" t="s">
        <v>113</v>
      </c>
      <c r="X432" t="s">
        <v>125</v>
      </c>
      <c r="Z432">
        <v>-1.5</v>
      </c>
      <c r="AA432">
        <v>-2.5</v>
      </c>
      <c r="AB432">
        <v>10</v>
      </c>
      <c r="AC432">
        <v>45</v>
      </c>
      <c r="AD432">
        <v>45</v>
      </c>
      <c r="AE432">
        <v>50</v>
      </c>
      <c r="AF432">
        <v>50</v>
      </c>
      <c r="AG432">
        <v>33</v>
      </c>
      <c r="AH432">
        <v>67</v>
      </c>
      <c r="AI432">
        <v>57</v>
      </c>
      <c r="AJ432">
        <v>43</v>
      </c>
      <c r="AK432">
        <v>0</v>
      </c>
      <c r="AL432">
        <v>0</v>
      </c>
      <c r="AM432">
        <v>29</v>
      </c>
      <c r="AN432">
        <v>71</v>
      </c>
      <c r="AO432">
        <v>45</v>
      </c>
      <c r="AP432">
        <v>55</v>
      </c>
      <c r="AQ432">
        <v>44</v>
      </c>
      <c r="AR432">
        <v>18</v>
      </c>
      <c r="AS432">
        <v>73</v>
      </c>
      <c r="AT432">
        <v>44</v>
      </c>
      <c r="AU432">
        <v>36</v>
      </c>
      <c r="AV432">
        <v>64</v>
      </c>
      <c r="AW432">
        <v>2</v>
      </c>
      <c r="AX432">
        <v>0.7</v>
      </c>
      <c r="AY432">
        <v>3</v>
      </c>
      <c r="AZ432">
        <v>1</v>
      </c>
      <c r="BA432">
        <v>2</v>
      </c>
      <c r="BB432">
        <v>1</v>
      </c>
      <c r="BC432">
        <v>0</v>
      </c>
      <c r="BD432">
        <v>1</v>
      </c>
      <c r="BE432">
        <v>1</v>
      </c>
      <c r="BF432">
        <v>0</v>
      </c>
      <c r="BG432">
        <v>1</v>
      </c>
      <c r="BH432">
        <v>0</v>
      </c>
      <c r="BI432">
        <v>0</v>
      </c>
      <c r="BJ432">
        <v>2</v>
      </c>
      <c r="BK432">
        <v>2</v>
      </c>
      <c r="BL432">
        <v>1</v>
      </c>
      <c r="BM432">
        <v>0</v>
      </c>
      <c r="BN432">
        <v>2</v>
      </c>
      <c r="BO432">
        <v>1</v>
      </c>
      <c r="BP432">
        <v>1</v>
      </c>
      <c r="BQ432">
        <v>2</v>
      </c>
      <c r="BR432">
        <v>3</v>
      </c>
      <c r="BS432">
        <v>1</v>
      </c>
      <c r="BT432">
        <v>0</v>
      </c>
      <c r="BU432">
        <v>1</v>
      </c>
      <c r="BV432">
        <v>2</v>
      </c>
      <c r="BW432">
        <v>0</v>
      </c>
      <c r="BX432">
        <v>1</v>
      </c>
      <c r="BY432">
        <v>4</v>
      </c>
      <c r="BZ432">
        <v>1.3</v>
      </c>
      <c r="CA432">
        <v>4</v>
      </c>
      <c r="CB432">
        <v>1.3</v>
      </c>
      <c r="CC432">
        <v>2</v>
      </c>
      <c r="CD432">
        <v>1</v>
      </c>
      <c r="CE432">
        <v>1</v>
      </c>
      <c r="CF432">
        <v>0</v>
      </c>
      <c r="CG432">
        <v>1</v>
      </c>
      <c r="CH432">
        <v>0</v>
      </c>
      <c r="CI432">
        <v>0</v>
      </c>
      <c r="CJ432">
        <v>1</v>
      </c>
      <c r="CK432">
        <v>4</v>
      </c>
      <c r="CL432">
        <v>0</v>
      </c>
      <c r="CM432">
        <v>3</v>
      </c>
      <c r="CN432">
        <v>1</v>
      </c>
      <c r="CO432">
        <v>2</v>
      </c>
      <c r="CP432">
        <v>0</v>
      </c>
      <c r="CQ432">
        <v>1.5</v>
      </c>
      <c r="CR432">
        <v>1</v>
      </c>
      <c r="CS432">
        <v>3</v>
      </c>
      <c r="CT432">
        <v>2</v>
      </c>
      <c r="CU432">
        <v>1</v>
      </c>
      <c r="CV432">
        <v>0</v>
      </c>
      <c r="CW432">
        <v>2</v>
      </c>
      <c r="CX432">
        <v>1</v>
      </c>
      <c r="CY432">
        <v>0</v>
      </c>
      <c r="CZ432">
        <v>1</v>
      </c>
    </row>
    <row r="433" spans="1:104" x14ac:dyDescent="0.25">
      <c r="A433" s="1" t="s">
        <v>2585</v>
      </c>
      <c r="B433">
        <v>7837</v>
      </c>
      <c r="C433">
        <v>12928</v>
      </c>
      <c r="D433" s="2">
        <v>43897</v>
      </c>
      <c r="E433" s="3">
        <f t="shared" si="18"/>
        <v>2020</v>
      </c>
      <c r="F433" s="3">
        <f t="shared" si="19"/>
        <v>3</v>
      </c>
      <c r="G433" s="3">
        <f t="shared" si="20"/>
        <v>7</v>
      </c>
      <c r="H433" t="s">
        <v>2586</v>
      </c>
      <c r="I433">
        <v>2256</v>
      </c>
      <c r="J433" t="s">
        <v>2510</v>
      </c>
      <c r="K433" t="s">
        <v>264</v>
      </c>
      <c r="L433">
        <v>2020</v>
      </c>
      <c r="M433" t="s">
        <v>2587</v>
      </c>
      <c r="N433" t="s">
        <v>2586</v>
      </c>
      <c r="O433" t="s">
        <v>2588</v>
      </c>
      <c r="P433">
        <v>10000</v>
      </c>
      <c r="Q433" t="s">
        <v>264</v>
      </c>
      <c r="R433">
        <v>1912</v>
      </c>
      <c r="S433" t="s">
        <v>2589</v>
      </c>
      <c r="T433" t="s">
        <v>2590</v>
      </c>
      <c r="U433">
        <v>2000</v>
      </c>
      <c r="V433" t="s">
        <v>264</v>
      </c>
      <c r="W433">
        <v>2001</v>
      </c>
      <c r="X433">
        <v>1</v>
      </c>
      <c r="Z433">
        <v>-4.5</v>
      </c>
      <c r="AA433">
        <v>-1.5</v>
      </c>
      <c r="AB433">
        <v>50</v>
      </c>
      <c r="AC433">
        <v>50</v>
      </c>
      <c r="AD433">
        <v>0</v>
      </c>
      <c r="AE433">
        <v>100</v>
      </c>
      <c r="AF433">
        <v>0</v>
      </c>
      <c r="AG433">
        <v>73</v>
      </c>
      <c r="AH433">
        <v>27</v>
      </c>
      <c r="AI433">
        <v>80</v>
      </c>
      <c r="AJ433">
        <v>20</v>
      </c>
      <c r="AK433">
        <v>96</v>
      </c>
      <c r="AL433">
        <v>4</v>
      </c>
      <c r="AM433">
        <v>0</v>
      </c>
      <c r="AN433">
        <v>0</v>
      </c>
      <c r="AO433">
        <v>0</v>
      </c>
      <c r="AP433">
        <v>0</v>
      </c>
      <c r="AQ433">
        <v>100</v>
      </c>
      <c r="AR433">
        <v>73</v>
      </c>
      <c r="AS433">
        <v>80</v>
      </c>
      <c r="AT433">
        <v>0</v>
      </c>
      <c r="AU433">
        <v>27</v>
      </c>
      <c r="AV433">
        <v>20</v>
      </c>
      <c r="AW433">
        <v>11</v>
      </c>
      <c r="AX433">
        <v>2.2000000000000002</v>
      </c>
      <c r="AY433">
        <v>3</v>
      </c>
      <c r="AZ433">
        <v>0.6</v>
      </c>
      <c r="BA433">
        <v>4</v>
      </c>
      <c r="BB433">
        <v>3</v>
      </c>
      <c r="BC433">
        <v>4</v>
      </c>
      <c r="BD433">
        <v>3</v>
      </c>
      <c r="BE433">
        <v>0</v>
      </c>
      <c r="BF433">
        <v>0</v>
      </c>
      <c r="BG433">
        <v>0</v>
      </c>
      <c r="BH433">
        <v>0</v>
      </c>
      <c r="BI433">
        <v>9</v>
      </c>
      <c r="BJ433">
        <v>6</v>
      </c>
      <c r="BK433">
        <v>1</v>
      </c>
      <c r="BL433">
        <v>2</v>
      </c>
      <c r="BM433">
        <v>2.2999999999999998</v>
      </c>
      <c r="BN433">
        <v>2</v>
      </c>
      <c r="BO433">
        <v>0.3</v>
      </c>
      <c r="BP433">
        <v>0.7</v>
      </c>
      <c r="BQ433">
        <v>1</v>
      </c>
      <c r="BR433">
        <v>0</v>
      </c>
      <c r="BS433">
        <v>1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4</v>
      </c>
      <c r="BZ433">
        <v>0.8</v>
      </c>
      <c r="CA433">
        <v>12</v>
      </c>
      <c r="CB433">
        <v>2.4</v>
      </c>
      <c r="CC433">
        <v>3</v>
      </c>
      <c r="CD433">
        <v>4</v>
      </c>
      <c r="CE433">
        <v>0</v>
      </c>
      <c r="CF433">
        <v>0</v>
      </c>
      <c r="CG433">
        <v>0</v>
      </c>
      <c r="CH433">
        <v>0</v>
      </c>
      <c r="CI433">
        <v>3</v>
      </c>
      <c r="CJ433">
        <v>4</v>
      </c>
      <c r="CK433">
        <v>3</v>
      </c>
      <c r="CL433">
        <v>3</v>
      </c>
      <c r="CM433">
        <v>7</v>
      </c>
      <c r="CN433">
        <v>11</v>
      </c>
      <c r="CO433">
        <v>1</v>
      </c>
      <c r="CP433">
        <v>0.8</v>
      </c>
      <c r="CQ433">
        <v>2.2999999999999998</v>
      </c>
      <c r="CR433">
        <v>2.8</v>
      </c>
      <c r="CS433">
        <v>0</v>
      </c>
      <c r="CT433">
        <v>1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1</v>
      </c>
    </row>
    <row r="434" spans="1:104" x14ac:dyDescent="0.25">
      <c r="A434" s="1" t="s">
        <v>2591</v>
      </c>
      <c r="B434">
        <v>1929</v>
      </c>
      <c r="C434">
        <v>1941</v>
      </c>
      <c r="D434" s="2">
        <v>43785</v>
      </c>
      <c r="E434" s="3">
        <f t="shared" si="18"/>
        <v>2019</v>
      </c>
      <c r="F434" s="3">
        <f t="shared" si="19"/>
        <v>11</v>
      </c>
      <c r="G434" s="3">
        <f t="shared" si="20"/>
        <v>7</v>
      </c>
      <c r="H434" t="s">
        <v>2592</v>
      </c>
      <c r="I434">
        <v>1102</v>
      </c>
      <c r="J434" t="s">
        <v>936</v>
      </c>
      <c r="K434" t="s">
        <v>345</v>
      </c>
      <c r="L434">
        <v>2019</v>
      </c>
      <c r="M434" t="s">
        <v>2593</v>
      </c>
      <c r="N434" t="s">
        <v>2594</v>
      </c>
      <c r="O434" t="s">
        <v>2595</v>
      </c>
      <c r="P434">
        <v>6000</v>
      </c>
      <c r="Q434" t="s">
        <v>345</v>
      </c>
      <c r="R434">
        <v>1924</v>
      </c>
      <c r="S434" t="s">
        <v>2596</v>
      </c>
      <c r="T434" t="s">
        <v>2597</v>
      </c>
      <c r="U434">
        <v>5000</v>
      </c>
      <c r="V434" t="s">
        <v>345</v>
      </c>
      <c r="W434">
        <v>1920</v>
      </c>
      <c r="X434" t="s">
        <v>109</v>
      </c>
      <c r="Y434">
        <v>-3.5</v>
      </c>
      <c r="Z434">
        <v>-2.5</v>
      </c>
      <c r="AA434">
        <v>-1.5</v>
      </c>
      <c r="AB434">
        <v>45</v>
      </c>
      <c r="AC434">
        <v>45</v>
      </c>
      <c r="AD434">
        <v>10</v>
      </c>
      <c r="AE434">
        <v>63</v>
      </c>
      <c r="AF434">
        <v>38</v>
      </c>
      <c r="AG434">
        <v>40</v>
      </c>
      <c r="AH434">
        <v>60</v>
      </c>
      <c r="AI434">
        <v>85</v>
      </c>
      <c r="AJ434">
        <v>15</v>
      </c>
      <c r="AK434">
        <v>91</v>
      </c>
      <c r="AL434">
        <v>9</v>
      </c>
      <c r="AM434">
        <v>50</v>
      </c>
      <c r="AN434">
        <v>50</v>
      </c>
      <c r="AO434">
        <v>44</v>
      </c>
      <c r="AP434">
        <v>56</v>
      </c>
      <c r="AQ434">
        <v>33</v>
      </c>
      <c r="AR434">
        <v>17</v>
      </c>
      <c r="AS434">
        <v>83</v>
      </c>
      <c r="AT434">
        <v>20</v>
      </c>
      <c r="AU434">
        <v>25</v>
      </c>
      <c r="AV434">
        <v>8</v>
      </c>
      <c r="AW434">
        <v>2</v>
      </c>
      <c r="AX434">
        <v>0.4</v>
      </c>
      <c r="AY434">
        <v>2</v>
      </c>
      <c r="AZ434">
        <v>0.4</v>
      </c>
      <c r="BA434">
        <v>5</v>
      </c>
      <c r="BB434">
        <v>4</v>
      </c>
      <c r="BC434">
        <v>2</v>
      </c>
      <c r="BD434">
        <v>1</v>
      </c>
      <c r="BE434">
        <v>2</v>
      </c>
      <c r="BF434">
        <v>1</v>
      </c>
      <c r="BG434">
        <v>1</v>
      </c>
      <c r="BH434">
        <v>2</v>
      </c>
      <c r="BI434">
        <v>5</v>
      </c>
      <c r="BJ434">
        <v>2</v>
      </c>
      <c r="BK434">
        <v>1</v>
      </c>
      <c r="BL434">
        <v>2</v>
      </c>
      <c r="BM434">
        <v>1</v>
      </c>
      <c r="BN434">
        <v>0.5</v>
      </c>
      <c r="BO434">
        <v>0.2</v>
      </c>
      <c r="BP434">
        <v>0.5</v>
      </c>
      <c r="BQ434">
        <v>4</v>
      </c>
      <c r="BR434">
        <v>3</v>
      </c>
      <c r="BS434">
        <v>4</v>
      </c>
      <c r="BT434">
        <v>1</v>
      </c>
      <c r="BU434">
        <v>0</v>
      </c>
      <c r="BV434">
        <v>0</v>
      </c>
      <c r="BW434">
        <v>0</v>
      </c>
      <c r="BX434">
        <v>2</v>
      </c>
      <c r="BY434">
        <v>3</v>
      </c>
      <c r="BZ434">
        <v>0.6</v>
      </c>
      <c r="CA434">
        <v>11</v>
      </c>
      <c r="CB434">
        <v>2.2000000000000002</v>
      </c>
      <c r="CC434">
        <v>5</v>
      </c>
      <c r="CD434">
        <v>5</v>
      </c>
      <c r="CE434">
        <v>2</v>
      </c>
      <c r="CF434">
        <v>1</v>
      </c>
      <c r="CG434">
        <v>1</v>
      </c>
      <c r="CH434">
        <v>1</v>
      </c>
      <c r="CI434">
        <v>2</v>
      </c>
      <c r="CJ434">
        <v>3</v>
      </c>
      <c r="CK434">
        <v>10</v>
      </c>
      <c r="CL434">
        <v>3</v>
      </c>
      <c r="CM434">
        <v>6</v>
      </c>
      <c r="CN434">
        <v>10</v>
      </c>
      <c r="CO434">
        <v>2</v>
      </c>
      <c r="CP434">
        <v>0.6</v>
      </c>
      <c r="CQ434">
        <v>1.2</v>
      </c>
      <c r="CR434">
        <v>2</v>
      </c>
      <c r="CS434">
        <v>3</v>
      </c>
      <c r="CT434">
        <v>4</v>
      </c>
      <c r="CU434">
        <v>2</v>
      </c>
      <c r="CV434">
        <v>0</v>
      </c>
      <c r="CW434">
        <v>0</v>
      </c>
      <c r="CX434">
        <v>0</v>
      </c>
      <c r="CY434">
        <v>1</v>
      </c>
      <c r="CZ434">
        <v>4</v>
      </c>
    </row>
    <row r="435" spans="1:104" x14ac:dyDescent="0.25">
      <c r="A435" s="1" t="s">
        <v>2598</v>
      </c>
      <c r="B435">
        <v>878</v>
      </c>
      <c r="C435">
        <v>1591</v>
      </c>
      <c r="D435" s="2">
        <v>43744</v>
      </c>
      <c r="E435" s="3">
        <f t="shared" si="18"/>
        <v>2019</v>
      </c>
      <c r="F435" s="3">
        <f t="shared" si="19"/>
        <v>10</v>
      </c>
      <c r="G435" s="3">
        <f t="shared" si="20"/>
        <v>1</v>
      </c>
      <c r="H435" t="s">
        <v>2599</v>
      </c>
      <c r="I435">
        <v>922</v>
      </c>
      <c r="J435" t="s">
        <v>2011</v>
      </c>
      <c r="K435" t="s">
        <v>338</v>
      </c>
      <c r="L435">
        <v>2019</v>
      </c>
      <c r="M435" t="s">
        <v>2600</v>
      </c>
      <c r="N435" t="s">
        <v>2599</v>
      </c>
      <c r="O435" t="s">
        <v>2601</v>
      </c>
      <c r="P435">
        <v>7694</v>
      </c>
      <c r="Q435" t="s">
        <v>338</v>
      </c>
      <c r="R435">
        <v>1912</v>
      </c>
      <c r="S435" t="s">
        <v>2602</v>
      </c>
      <c r="T435" t="s">
        <v>2603</v>
      </c>
      <c r="U435">
        <v>4014</v>
      </c>
      <c r="V435" t="s">
        <v>338</v>
      </c>
      <c r="X435" t="s">
        <v>109</v>
      </c>
      <c r="Z435">
        <v>-3.5</v>
      </c>
      <c r="AA435">
        <v>-2.5</v>
      </c>
      <c r="AB435">
        <v>45</v>
      </c>
      <c r="AC435">
        <v>45</v>
      </c>
      <c r="AD435">
        <v>10</v>
      </c>
      <c r="AE435">
        <v>63</v>
      </c>
      <c r="AF435">
        <v>38</v>
      </c>
      <c r="AG435">
        <v>58</v>
      </c>
      <c r="AH435">
        <v>42</v>
      </c>
      <c r="AI435">
        <v>100</v>
      </c>
      <c r="AJ435">
        <v>0</v>
      </c>
      <c r="AK435">
        <v>81</v>
      </c>
      <c r="AL435">
        <v>19</v>
      </c>
      <c r="AM435">
        <v>85</v>
      </c>
      <c r="AN435">
        <v>15</v>
      </c>
      <c r="AO435">
        <v>69</v>
      </c>
      <c r="AP435">
        <v>31</v>
      </c>
      <c r="AQ435">
        <v>100</v>
      </c>
      <c r="AR435">
        <v>100</v>
      </c>
      <c r="AS435">
        <v>100</v>
      </c>
      <c r="AT435">
        <v>60</v>
      </c>
      <c r="AU435">
        <v>100</v>
      </c>
      <c r="AV435">
        <v>38</v>
      </c>
      <c r="AW435">
        <v>11</v>
      </c>
      <c r="AX435">
        <v>2.2000000000000002</v>
      </c>
      <c r="AY435">
        <v>0</v>
      </c>
      <c r="AZ435">
        <v>0</v>
      </c>
      <c r="BA435">
        <v>3</v>
      </c>
      <c r="BB435">
        <v>4</v>
      </c>
      <c r="BC435">
        <v>2</v>
      </c>
      <c r="BD435">
        <v>3</v>
      </c>
      <c r="BE435">
        <v>1</v>
      </c>
      <c r="BF435">
        <v>1</v>
      </c>
      <c r="BG435">
        <v>0</v>
      </c>
      <c r="BH435">
        <v>0</v>
      </c>
      <c r="BI435">
        <v>7</v>
      </c>
      <c r="BJ435">
        <v>7</v>
      </c>
      <c r="BK435">
        <v>2</v>
      </c>
      <c r="BL435">
        <v>1</v>
      </c>
      <c r="BM435">
        <v>2.2999999999999998</v>
      </c>
      <c r="BN435">
        <v>1.8</v>
      </c>
      <c r="BO435">
        <v>0.7</v>
      </c>
      <c r="BP435">
        <v>0.3</v>
      </c>
      <c r="BQ435">
        <v>4</v>
      </c>
      <c r="BR435">
        <v>4</v>
      </c>
      <c r="BS435">
        <v>2</v>
      </c>
      <c r="BT435">
        <v>2</v>
      </c>
      <c r="BU435">
        <v>1</v>
      </c>
      <c r="BV435">
        <v>2</v>
      </c>
      <c r="BW435">
        <v>1</v>
      </c>
      <c r="BX435">
        <v>0</v>
      </c>
      <c r="BY435">
        <v>8</v>
      </c>
      <c r="BZ435">
        <v>1.6</v>
      </c>
      <c r="CA435">
        <v>5</v>
      </c>
      <c r="CB435">
        <v>1</v>
      </c>
      <c r="CC435">
        <v>4</v>
      </c>
      <c r="CD435">
        <v>3</v>
      </c>
      <c r="CE435">
        <v>2</v>
      </c>
      <c r="CF435">
        <v>1</v>
      </c>
      <c r="CG435">
        <v>2</v>
      </c>
      <c r="CH435">
        <v>1</v>
      </c>
      <c r="CI435">
        <v>0</v>
      </c>
      <c r="CJ435">
        <v>1</v>
      </c>
      <c r="CK435">
        <v>7</v>
      </c>
      <c r="CL435">
        <v>4</v>
      </c>
      <c r="CM435">
        <v>4</v>
      </c>
      <c r="CN435">
        <v>6</v>
      </c>
      <c r="CO435">
        <v>1.8</v>
      </c>
      <c r="CP435">
        <v>1.3</v>
      </c>
      <c r="CQ435">
        <v>1</v>
      </c>
      <c r="CR435">
        <v>2</v>
      </c>
      <c r="CS435">
        <v>4</v>
      </c>
      <c r="CT435">
        <v>4</v>
      </c>
      <c r="CU435">
        <v>0</v>
      </c>
      <c r="CV435">
        <v>1</v>
      </c>
      <c r="CW435">
        <v>2</v>
      </c>
      <c r="CX435">
        <v>1</v>
      </c>
      <c r="CY435">
        <v>2</v>
      </c>
      <c r="CZ435">
        <v>2</v>
      </c>
    </row>
    <row r="436" spans="1:104" x14ac:dyDescent="0.25">
      <c r="A436" s="1" t="s">
        <v>2604</v>
      </c>
      <c r="B436">
        <v>9253</v>
      </c>
      <c r="C436">
        <v>9254</v>
      </c>
      <c r="D436" s="2">
        <v>43771</v>
      </c>
      <c r="E436" s="3">
        <f t="shared" si="18"/>
        <v>2019</v>
      </c>
      <c r="F436" s="3">
        <f t="shared" si="19"/>
        <v>11</v>
      </c>
      <c r="G436" s="3">
        <f t="shared" si="20"/>
        <v>7</v>
      </c>
      <c r="H436" t="s">
        <v>2605</v>
      </c>
      <c r="I436">
        <v>1223</v>
      </c>
      <c r="J436" t="s">
        <v>2350</v>
      </c>
      <c r="K436" t="s">
        <v>158</v>
      </c>
      <c r="L436">
        <v>2019</v>
      </c>
      <c r="M436" t="s">
        <v>2606</v>
      </c>
      <c r="N436" t="s">
        <v>2605</v>
      </c>
      <c r="O436" t="s">
        <v>2607</v>
      </c>
      <c r="P436">
        <v>1000</v>
      </c>
      <c r="Q436" t="s">
        <v>158</v>
      </c>
      <c r="R436">
        <v>1937</v>
      </c>
      <c r="S436" t="s">
        <v>2608</v>
      </c>
      <c r="T436" t="s">
        <v>2609</v>
      </c>
      <c r="U436">
        <v>5000</v>
      </c>
      <c r="V436" t="s">
        <v>158</v>
      </c>
      <c r="W436">
        <v>2000</v>
      </c>
      <c r="X436" t="s">
        <v>125</v>
      </c>
      <c r="Z436">
        <v>-1.5</v>
      </c>
      <c r="AA436">
        <v>-1.5</v>
      </c>
      <c r="AB436">
        <v>10</v>
      </c>
      <c r="AC436">
        <v>45</v>
      </c>
      <c r="AD436">
        <v>45</v>
      </c>
      <c r="AE436">
        <v>22</v>
      </c>
      <c r="AF436">
        <v>78</v>
      </c>
      <c r="AG436">
        <v>50</v>
      </c>
      <c r="AH436">
        <v>50</v>
      </c>
      <c r="AI436">
        <v>36</v>
      </c>
      <c r="AJ436">
        <v>64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13</v>
      </c>
      <c r="AR436">
        <v>63</v>
      </c>
      <c r="AS436">
        <v>0</v>
      </c>
      <c r="AT436">
        <v>47</v>
      </c>
      <c r="AU436">
        <v>63</v>
      </c>
      <c r="AV436">
        <v>38</v>
      </c>
      <c r="AW436">
        <v>5</v>
      </c>
      <c r="AX436">
        <v>1</v>
      </c>
      <c r="AY436">
        <v>9</v>
      </c>
      <c r="AZ436">
        <v>1.8</v>
      </c>
      <c r="BA436">
        <v>5</v>
      </c>
      <c r="BB436">
        <v>4</v>
      </c>
      <c r="BC436">
        <v>1</v>
      </c>
      <c r="BD436">
        <v>0</v>
      </c>
      <c r="BE436">
        <v>3</v>
      </c>
      <c r="BF436">
        <v>0</v>
      </c>
      <c r="BG436">
        <v>1</v>
      </c>
      <c r="BH436">
        <v>4</v>
      </c>
      <c r="BI436">
        <v>7</v>
      </c>
      <c r="BJ436">
        <v>2</v>
      </c>
      <c r="BK436">
        <v>5</v>
      </c>
      <c r="BL436">
        <v>7</v>
      </c>
      <c r="BM436">
        <v>1.4</v>
      </c>
      <c r="BN436">
        <v>0.5</v>
      </c>
      <c r="BO436">
        <v>1</v>
      </c>
      <c r="BP436">
        <v>1.8</v>
      </c>
      <c r="BQ436">
        <v>1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1</v>
      </c>
      <c r="BX436">
        <v>0</v>
      </c>
      <c r="BY436">
        <v>5</v>
      </c>
      <c r="BZ436">
        <v>1</v>
      </c>
      <c r="CA436">
        <v>5</v>
      </c>
      <c r="CB436">
        <v>1</v>
      </c>
      <c r="CC436">
        <v>5</v>
      </c>
      <c r="CD436">
        <v>4</v>
      </c>
      <c r="CE436">
        <v>0</v>
      </c>
      <c r="CF436">
        <v>3</v>
      </c>
      <c r="CG436">
        <v>2</v>
      </c>
      <c r="CH436">
        <v>1</v>
      </c>
      <c r="CI436">
        <v>3</v>
      </c>
      <c r="CJ436">
        <v>0</v>
      </c>
      <c r="CK436">
        <v>3</v>
      </c>
      <c r="CL436">
        <v>7</v>
      </c>
      <c r="CM436">
        <v>7</v>
      </c>
      <c r="CN436">
        <v>3</v>
      </c>
      <c r="CO436">
        <v>0.6</v>
      </c>
      <c r="CP436">
        <v>1.8</v>
      </c>
      <c r="CQ436">
        <v>1.4</v>
      </c>
      <c r="CR436">
        <v>0.8</v>
      </c>
      <c r="CS436">
        <v>0</v>
      </c>
      <c r="CT436">
        <v>1</v>
      </c>
      <c r="CU436">
        <v>0</v>
      </c>
      <c r="CV436">
        <v>1</v>
      </c>
      <c r="CW436">
        <v>0</v>
      </c>
      <c r="CX436">
        <v>0</v>
      </c>
      <c r="CY436">
        <v>0</v>
      </c>
      <c r="CZ436">
        <v>0</v>
      </c>
    </row>
    <row r="437" spans="1:104" x14ac:dyDescent="0.25">
      <c r="A437" s="1" t="s">
        <v>2610</v>
      </c>
      <c r="B437">
        <v>5227</v>
      </c>
      <c r="C437">
        <v>5221</v>
      </c>
      <c r="D437" s="2">
        <v>43768</v>
      </c>
      <c r="E437" s="3">
        <f t="shared" si="18"/>
        <v>2019</v>
      </c>
      <c r="F437" s="3">
        <f t="shared" si="19"/>
        <v>10</v>
      </c>
      <c r="G437" s="3">
        <f t="shared" si="20"/>
        <v>4</v>
      </c>
      <c r="H437" t="s">
        <v>2611</v>
      </c>
      <c r="I437">
        <v>806</v>
      </c>
      <c r="J437" t="s">
        <v>1407</v>
      </c>
      <c r="K437" t="s">
        <v>1408</v>
      </c>
      <c r="L437">
        <v>2019</v>
      </c>
      <c r="M437" t="s">
        <v>373</v>
      </c>
      <c r="Q437" t="s">
        <v>1408</v>
      </c>
      <c r="S437" t="s">
        <v>2612</v>
      </c>
      <c r="T437" t="s">
        <v>2613</v>
      </c>
      <c r="U437">
        <v>60000</v>
      </c>
      <c r="V437" t="s">
        <v>1408</v>
      </c>
      <c r="W437">
        <v>1963</v>
      </c>
      <c r="X437" t="s">
        <v>109</v>
      </c>
      <c r="Y437">
        <v>-3.5</v>
      </c>
      <c r="Z437">
        <v>-2.5</v>
      </c>
      <c r="AA437">
        <v>-1.5</v>
      </c>
      <c r="AB437">
        <v>45</v>
      </c>
      <c r="AC437">
        <v>45</v>
      </c>
      <c r="AD437">
        <v>10</v>
      </c>
      <c r="AE437">
        <v>62</v>
      </c>
      <c r="AF437">
        <v>38</v>
      </c>
      <c r="AG437">
        <v>67</v>
      </c>
      <c r="AH437">
        <v>33</v>
      </c>
      <c r="AI437">
        <v>43</v>
      </c>
      <c r="AJ437">
        <v>57</v>
      </c>
      <c r="AK437">
        <v>0</v>
      </c>
      <c r="AL437">
        <v>0</v>
      </c>
      <c r="AM437">
        <v>50</v>
      </c>
      <c r="AN437">
        <v>50</v>
      </c>
      <c r="AO437">
        <v>0</v>
      </c>
      <c r="AP437">
        <v>0</v>
      </c>
      <c r="AQ437">
        <v>53</v>
      </c>
      <c r="AR437">
        <v>100</v>
      </c>
      <c r="AS437">
        <v>20</v>
      </c>
      <c r="AT437">
        <v>33</v>
      </c>
      <c r="AU437">
        <v>60</v>
      </c>
      <c r="AV437">
        <v>40</v>
      </c>
      <c r="AW437">
        <v>6</v>
      </c>
      <c r="AX437">
        <v>1.2</v>
      </c>
      <c r="AY437">
        <v>4</v>
      </c>
      <c r="AZ437">
        <v>0.8</v>
      </c>
      <c r="BA437">
        <v>13</v>
      </c>
      <c r="BB437">
        <v>14</v>
      </c>
      <c r="BC437">
        <v>6</v>
      </c>
      <c r="BD437">
        <v>3</v>
      </c>
      <c r="BE437">
        <v>4</v>
      </c>
      <c r="BF437">
        <v>6</v>
      </c>
      <c r="BG437">
        <v>3</v>
      </c>
      <c r="BH437">
        <v>5</v>
      </c>
      <c r="BI437">
        <v>16</v>
      </c>
      <c r="BJ437">
        <v>14</v>
      </c>
      <c r="BK437">
        <v>12</v>
      </c>
      <c r="BL437">
        <v>16</v>
      </c>
      <c r="BM437">
        <v>1.2</v>
      </c>
      <c r="BN437">
        <v>1</v>
      </c>
      <c r="BO437">
        <v>0.9</v>
      </c>
      <c r="BP437">
        <v>1.1000000000000001</v>
      </c>
      <c r="BQ437">
        <v>1</v>
      </c>
      <c r="BR437">
        <v>1</v>
      </c>
      <c r="BS437">
        <v>0</v>
      </c>
      <c r="BT437">
        <v>0</v>
      </c>
      <c r="BU437">
        <v>1</v>
      </c>
      <c r="BV437">
        <v>1</v>
      </c>
      <c r="BW437">
        <v>0</v>
      </c>
      <c r="BX437">
        <v>0</v>
      </c>
      <c r="BY437">
        <v>3</v>
      </c>
      <c r="BZ437">
        <v>0.6</v>
      </c>
      <c r="CA437">
        <v>3</v>
      </c>
      <c r="CB437">
        <v>0.6</v>
      </c>
      <c r="CC437">
        <v>14</v>
      </c>
      <c r="CD437">
        <v>13</v>
      </c>
      <c r="CE437">
        <v>3</v>
      </c>
      <c r="CF437">
        <v>5</v>
      </c>
      <c r="CG437">
        <v>9</v>
      </c>
      <c r="CH437">
        <v>5</v>
      </c>
      <c r="CI437">
        <v>2</v>
      </c>
      <c r="CJ437">
        <v>3</v>
      </c>
      <c r="CK437">
        <v>10</v>
      </c>
      <c r="CL437">
        <v>13</v>
      </c>
      <c r="CM437">
        <v>8</v>
      </c>
      <c r="CN437">
        <v>12</v>
      </c>
      <c r="CO437">
        <v>0.7</v>
      </c>
      <c r="CP437">
        <v>1</v>
      </c>
      <c r="CQ437">
        <v>0.6</v>
      </c>
      <c r="CR437">
        <v>0.9</v>
      </c>
      <c r="CS437">
        <v>1</v>
      </c>
      <c r="CT437">
        <v>1</v>
      </c>
      <c r="CU437">
        <v>0</v>
      </c>
      <c r="CV437">
        <v>0</v>
      </c>
      <c r="CW437">
        <v>1</v>
      </c>
      <c r="CX437">
        <v>1</v>
      </c>
      <c r="CY437">
        <v>0</v>
      </c>
      <c r="CZ437">
        <v>0</v>
      </c>
    </row>
    <row r="438" spans="1:104" x14ac:dyDescent="0.25">
      <c r="A438" s="1" t="s">
        <v>2614</v>
      </c>
      <c r="B438">
        <v>9362</v>
      </c>
      <c r="C438">
        <v>1652</v>
      </c>
      <c r="D438" s="2">
        <v>43751</v>
      </c>
      <c r="E438" s="3">
        <f t="shared" si="18"/>
        <v>2019</v>
      </c>
      <c r="F438" s="3">
        <f t="shared" si="19"/>
        <v>10</v>
      </c>
      <c r="G438" s="3">
        <f t="shared" si="20"/>
        <v>1</v>
      </c>
      <c r="H438" t="s">
        <v>2615</v>
      </c>
      <c r="I438">
        <v>1243</v>
      </c>
      <c r="J438" t="s">
        <v>918</v>
      </c>
      <c r="K438" t="s">
        <v>558</v>
      </c>
      <c r="L438">
        <v>2019</v>
      </c>
      <c r="M438" t="s">
        <v>2616</v>
      </c>
      <c r="N438" t="s">
        <v>2615</v>
      </c>
      <c r="O438" t="s">
        <v>2617</v>
      </c>
      <c r="P438">
        <v>10000</v>
      </c>
      <c r="Q438" t="s">
        <v>558</v>
      </c>
      <c r="R438">
        <v>1927</v>
      </c>
      <c r="S438" t="s">
        <v>2618</v>
      </c>
      <c r="T438" t="s">
        <v>2619</v>
      </c>
      <c r="U438">
        <v>19500</v>
      </c>
      <c r="V438" t="s">
        <v>558</v>
      </c>
      <c r="W438">
        <v>1846</v>
      </c>
      <c r="X438" t="s">
        <v>109</v>
      </c>
      <c r="Z438">
        <v>-2.5</v>
      </c>
      <c r="AA438">
        <v>-2.5</v>
      </c>
      <c r="AB438">
        <v>45</v>
      </c>
      <c r="AC438">
        <v>45</v>
      </c>
      <c r="AD438">
        <v>10</v>
      </c>
      <c r="AE438">
        <v>73</v>
      </c>
      <c r="AF438">
        <v>27</v>
      </c>
      <c r="AG438">
        <v>64</v>
      </c>
      <c r="AH438">
        <v>36</v>
      </c>
      <c r="AI438">
        <v>59</v>
      </c>
      <c r="AJ438">
        <v>41</v>
      </c>
      <c r="AK438">
        <v>30</v>
      </c>
      <c r="AL438">
        <v>70</v>
      </c>
      <c r="AM438">
        <v>0</v>
      </c>
      <c r="AN438">
        <v>0</v>
      </c>
      <c r="AO438">
        <v>0</v>
      </c>
      <c r="AP438">
        <v>0</v>
      </c>
      <c r="AQ438">
        <v>53</v>
      </c>
      <c r="AR438">
        <v>53</v>
      </c>
      <c r="AS438">
        <v>59</v>
      </c>
      <c r="AT438">
        <v>20</v>
      </c>
      <c r="AU438">
        <v>29</v>
      </c>
      <c r="AV438">
        <v>41</v>
      </c>
      <c r="AW438">
        <v>9</v>
      </c>
      <c r="AX438">
        <v>1.8</v>
      </c>
      <c r="AY438">
        <v>7</v>
      </c>
      <c r="AZ438">
        <v>1.4</v>
      </c>
      <c r="BA438">
        <v>6</v>
      </c>
      <c r="BB438">
        <v>6</v>
      </c>
      <c r="BC438">
        <v>1</v>
      </c>
      <c r="BD438">
        <v>3</v>
      </c>
      <c r="BE438">
        <v>1</v>
      </c>
      <c r="BF438">
        <v>2</v>
      </c>
      <c r="BG438">
        <v>4</v>
      </c>
      <c r="BH438">
        <v>1</v>
      </c>
      <c r="BI438">
        <v>4</v>
      </c>
      <c r="BJ438">
        <v>8</v>
      </c>
      <c r="BK438">
        <v>10</v>
      </c>
      <c r="BL438">
        <v>10</v>
      </c>
      <c r="BM438">
        <v>0.7</v>
      </c>
      <c r="BN438">
        <v>1.3</v>
      </c>
      <c r="BO438">
        <v>1.7</v>
      </c>
      <c r="BP438">
        <v>1.7</v>
      </c>
      <c r="BQ438">
        <v>1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1</v>
      </c>
      <c r="BX438">
        <v>0</v>
      </c>
      <c r="BY438">
        <v>5</v>
      </c>
      <c r="BZ438">
        <v>1</v>
      </c>
      <c r="CA438">
        <v>10</v>
      </c>
      <c r="CB438">
        <v>2</v>
      </c>
      <c r="CC438">
        <v>6</v>
      </c>
      <c r="CD438">
        <v>6</v>
      </c>
      <c r="CE438">
        <v>3</v>
      </c>
      <c r="CF438">
        <v>2</v>
      </c>
      <c r="CG438">
        <v>0</v>
      </c>
      <c r="CH438">
        <v>0</v>
      </c>
      <c r="CI438">
        <v>3</v>
      </c>
      <c r="CJ438">
        <v>4</v>
      </c>
      <c r="CK438">
        <v>10</v>
      </c>
      <c r="CL438">
        <v>9</v>
      </c>
      <c r="CM438">
        <v>7</v>
      </c>
      <c r="CN438">
        <v>9</v>
      </c>
      <c r="CO438">
        <v>1.7</v>
      </c>
      <c r="CP438">
        <v>1.5</v>
      </c>
      <c r="CQ438">
        <v>1.2</v>
      </c>
      <c r="CR438">
        <v>1.5</v>
      </c>
      <c r="CS438">
        <v>0</v>
      </c>
      <c r="CT438">
        <v>1</v>
      </c>
      <c r="CU438">
        <v>0</v>
      </c>
      <c r="CV438">
        <v>1</v>
      </c>
      <c r="CW438">
        <v>0</v>
      </c>
      <c r="CX438">
        <v>0</v>
      </c>
      <c r="CY438">
        <v>0</v>
      </c>
      <c r="CZ438">
        <v>0</v>
      </c>
    </row>
    <row r="439" spans="1:104" x14ac:dyDescent="0.25">
      <c r="A439" s="1" t="s">
        <v>2620</v>
      </c>
      <c r="B439">
        <v>9336</v>
      </c>
      <c r="C439">
        <v>9328</v>
      </c>
      <c r="D439" s="2">
        <v>43679</v>
      </c>
      <c r="E439" s="3">
        <f t="shared" si="18"/>
        <v>2019</v>
      </c>
      <c r="F439" s="3">
        <f t="shared" si="19"/>
        <v>8</v>
      </c>
      <c r="G439" s="3">
        <f t="shared" si="20"/>
        <v>6</v>
      </c>
      <c r="H439" t="s">
        <v>2621</v>
      </c>
      <c r="I439">
        <v>1240</v>
      </c>
      <c r="J439" t="s">
        <v>2280</v>
      </c>
      <c r="K439" t="s">
        <v>558</v>
      </c>
      <c r="L439">
        <v>2019</v>
      </c>
      <c r="M439" t="s">
        <v>2622</v>
      </c>
      <c r="N439" t="s">
        <v>2621</v>
      </c>
      <c r="O439" t="s">
        <v>2623</v>
      </c>
      <c r="P439">
        <v>9000</v>
      </c>
      <c r="Q439" t="s">
        <v>558</v>
      </c>
      <c r="R439">
        <v>1901</v>
      </c>
      <c r="S439" t="s">
        <v>2624</v>
      </c>
      <c r="T439" t="s">
        <v>1881</v>
      </c>
      <c r="U439">
        <v>1000</v>
      </c>
      <c r="V439" t="s">
        <v>558</v>
      </c>
      <c r="W439">
        <v>1903</v>
      </c>
      <c r="X439" t="s">
        <v>125</v>
      </c>
      <c r="Y439">
        <v>1.5</v>
      </c>
      <c r="Z439">
        <v>-2.5</v>
      </c>
      <c r="AA439">
        <v>-3.5</v>
      </c>
      <c r="AB439">
        <v>10</v>
      </c>
      <c r="AC439">
        <v>45</v>
      </c>
      <c r="AD439">
        <v>45</v>
      </c>
      <c r="AE439">
        <v>46</v>
      </c>
      <c r="AF439">
        <v>54</v>
      </c>
      <c r="AG439">
        <v>56</v>
      </c>
      <c r="AH439">
        <v>44</v>
      </c>
      <c r="AI439">
        <v>18</v>
      </c>
      <c r="AJ439">
        <v>82</v>
      </c>
      <c r="AK439">
        <v>36</v>
      </c>
      <c r="AL439">
        <v>64</v>
      </c>
      <c r="AM439">
        <v>0</v>
      </c>
      <c r="AN439">
        <v>0</v>
      </c>
      <c r="AO439">
        <v>0</v>
      </c>
      <c r="AP439">
        <v>0</v>
      </c>
      <c r="AQ439">
        <v>50</v>
      </c>
      <c r="AR439">
        <v>33</v>
      </c>
      <c r="AS439">
        <v>67</v>
      </c>
      <c r="AT439">
        <v>78</v>
      </c>
      <c r="AU439">
        <v>26</v>
      </c>
      <c r="AV439">
        <v>93</v>
      </c>
      <c r="AW439">
        <v>9</v>
      </c>
      <c r="AX439">
        <v>2.2999999999999998</v>
      </c>
      <c r="AY439">
        <v>9</v>
      </c>
      <c r="AZ439">
        <v>2.2999999999999998</v>
      </c>
      <c r="BA439">
        <v>2</v>
      </c>
      <c r="BB439">
        <v>2</v>
      </c>
      <c r="BC439">
        <v>2</v>
      </c>
      <c r="BD439">
        <v>0</v>
      </c>
      <c r="BE439">
        <v>0</v>
      </c>
      <c r="BF439">
        <v>0</v>
      </c>
      <c r="BG439">
        <v>0</v>
      </c>
      <c r="BH439">
        <v>2</v>
      </c>
      <c r="BI439">
        <v>7</v>
      </c>
      <c r="BJ439">
        <v>2</v>
      </c>
      <c r="BK439">
        <v>2</v>
      </c>
      <c r="BL439">
        <v>7</v>
      </c>
      <c r="BM439">
        <v>3.5</v>
      </c>
      <c r="BN439">
        <v>1</v>
      </c>
      <c r="BO439">
        <v>1</v>
      </c>
      <c r="BP439">
        <v>3.5</v>
      </c>
      <c r="BQ439">
        <v>1</v>
      </c>
      <c r="BR439">
        <v>1</v>
      </c>
      <c r="BS439">
        <v>0</v>
      </c>
      <c r="BT439">
        <v>0</v>
      </c>
      <c r="BU439">
        <v>0</v>
      </c>
      <c r="BV439">
        <v>1</v>
      </c>
      <c r="BW439">
        <v>1</v>
      </c>
      <c r="BX439">
        <v>0</v>
      </c>
      <c r="BY439">
        <v>7</v>
      </c>
      <c r="BZ439">
        <v>2.2999999999999998</v>
      </c>
      <c r="CA439">
        <v>2</v>
      </c>
      <c r="CB439">
        <v>0.7</v>
      </c>
      <c r="CC439">
        <v>2</v>
      </c>
      <c r="CD439">
        <v>1</v>
      </c>
      <c r="CE439">
        <v>1</v>
      </c>
      <c r="CF439">
        <v>1</v>
      </c>
      <c r="CG439">
        <v>1</v>
      </c>
      <c r="CH439">
        <v>0</v>
      </c>
      <c r="CI439">
        <v>0</v>
      </c>
      <c r="CJ439">
        <v>0</v>
      </c>
      <c r="CK439">
        <v>4</v>
      </c>
      <c r="CL439">
        <v>3</v>
      </c>
      <c r="CM439">
        <v>1</v>
      </c>
      <c r="CN439">
        <v>1</v>
      </c>
      <c r="CO439">
        <v>2</v>
      </c>
      <c r="CP439">
        <v>3</v>
      </c>
      <c r="CQ439">
        <v>0.5</v>
      </c>
      <c r="CR439">
        <v>1</v>
      </c>
      <c r="CS439">
        <v>1</v>
      </c>
      <c r="CT439">
        <v>1</v>
      </c>
      <c r="CU439">
        <v>0</v>
      </c>
      <c r="CV439">
        <v>1</v>
      </c>
      <c r="CW439">
        <v>1</v>
      </c>
      <c r="CX439">
        <v>0</v>
      </c>
      <c r="CY439">
        <v>0</v>
      </c>
      <c r="CZ439">
        <v>0</v>
      </c>
    </row>
    <row r="440" spans="1:104" x14ac:dyDescent="0.25">
      <c r="A440" s="1" t="s">
        <v>2625</v>
      </c>
      <c r="B440">
        <v>12356</v>
      </c>
      <c r="C440">
        <v>12317</v>
      </c>
      <c r="D440" s="2">
        <v>43793</v>
      </c>
      <c r="E440" s="3">
        <f t="shared" si="18"/>
        <v>2019</v>
      </c>
      <c r="F440" s="3">
        <f t="shared" si="19"/>
        <v>11</v>
      </c>
      <c r="G440" s="3">
        <f t="shared" si="20"/>
        <v>1</v>
      </c>
      <c r="H440" t="s">
        <v>2626</v>
      </c>
      <c r="I440">
        <v>2153</v>
      </c>
      <c r="J440" t="s">
        <v>2627</v>
      </c>
      <c r="K440" t="s">
        <v>445</v>
      </c>
      <c r="L440">
        <v>2019</v>
      </c>
      <c r="M440" t="s">
        <v>2628</v>
      </c>
      <c r="Q440" t="s">
        <v>445</v>
      </c>
      <c r="R440">
        <v>1920</v>
      </c>
      <c r="S440" t="s">
        <v>2629</v>
      </c>
      <c r="T440" t="s">
        <v>2630</v>
      </c>
      <c r="U440">
        <v>1000</v>
      </c>
      <c r="V440" t="s">
        <v>445</v>
      </c>
      <c r="W440">
        <v>1936</v>
      </c>
      <c r="X440" t="s">
        <v>109</v>
      </c>
      <c r="Z440">
        <v>-2.5</v>
      </c>
      <c r="AA440">
        <v>-1.5</v>
      </c>
      <c r="AB440">
        <v>45</v>
      </c>
      <c r="AC440">
        <v>45</v>
      </c>
      <c r="AD440">
        <v>10</v>
      </c>
      <c r="AE440">
        <v>47</v>
      </c>
      <c r="AF440">
        <v>53</v>
      </c>
      <c r="AG440">
        <v>63</v>
      </c>
      <c r="AH440">
        <v>38</v>
      </c>
      <c r="AI440">
        <v>57</v>
      </c>
      <c r="AJ440">
        <v>43</v>
      </c>
      <c r="AK440">
        <v>89</v>
      </c>
      <c r="AL440">
        <v>11</v>
      </c>
      <c r="AM440">
        <v>50</v>
      </c>
      <c r="AN440">
        <v>50</v>
      </c>
      <c r="AO440">
        <v>0</v>
      </c>
      <c r="AP440">
        <v>0</v>
      </c>
      <c r="AQ440">
        <v>53</v>
      </c>
      <c r="AR440">
        <v>77</v>
      </c>
      <c r="AS440">
        <v>54</v>
      </c>
      <c r="AT440">
        <v>60</v>
      </c>
      <c r="AU440">
        <v>46</v>
      </c>
      <c r="AV440">
        <v>38</v>
      </c>
      <c r="AW440">
        <v>10</v>
      </c>
      <c r="AX440">
        <v>2</v>
      </c>
      <c r="AY440">
        <v>6</v>
      </c>
      <c r="AZ440">
        <v>1.2</v>
      </c>
      <c r="BA440">
        <v>6</v>
      </c>
      <c r="BB440">
        <v>8</v>
      </c>
      <c r="BC440">
        <v>3</v>
      </c>
      <c r="BD440">
        <v>4</v>
      </c>
      <c r="BE440">
        <v>2</v>
      </c>
      <c r="BF440">
        <v>3</v>
      </c>
      <c r="BG440">
        <v>1</v>
      </c>
      <c r="BH440">
        <v>1</v>
      </c>
      <c r="BI440">
        <v>10</v>
      </c>
      <c r="BJ440">
        <v>16</v>
      </c>
      <c r="BK440">
        <v>4</v>
      </c>
      <c r="BL440">
        <v>10</v>
      </c>
      <c r="BM440">
        <v>1.7</v>
      </c>
      <c r="BN440">
        <v>2</v>
      </c>
      <c r="BO440">
        <v>0.7</v>
      </c>
      <c r="BP440">
        <v>1.3</v>
      </c>
      <c r="BQ440">
        <v>1</v>
      </c>
      <c r="BR440">
        <v>0</v>
      </c>
      <c r="BS440">
        <v>0</v>
      </c>
      <c r="BT440">
        <v>0</v>
      </c>
      <c r="BU440">
        <v>1</v>
      </c>
      <c r="BV440">
        <v>0</v>
      </c>
      <c r="BW440">
        <v>0</v>
      </c>
      <c r="BX440">
        <v>0</v>
      </c>
      <c r="BY440">
        <v>6</v>
      </c>
      <c r="BZ440">
        <v>1.2</v>
      </c>
      <c r="CA440">
        <v>8</v>
      </c>
      <c r="CB440">
        <v>1.6</v>
      </c>
      <c r="CC440">
        <v>8</v>
      </c>
      <c r="CD440">
        <v>6</v>
      </c>
      <c r="CE440">
        <v>3</v>
      </c>
      <c r="CF440">
        <v>1</v>
      </c>
      <c r="CG440">
        <v>1</v>
      </c>
      <c r="CH440">
        <v>0</v>
      </c>
      <c r="CI440">
        <v>4</v>
      </c>
      <c r="CJ440">
        <v>5</v>
      </c>
      <c r="CK440">
        <v>11</v>
      </c>
      <c r="CL440">
        <v>2</v>
      </c>
      <c r="CM440">
        <v>14</v>
      </c>
      <c r="CN440">
        <v>10</v>
      </c>
      <c r="CO440">
        <v>1.4</v>
      </c>
      <c r="CP440">
        <v>0.3</v>
      </c>
      <c r="CQ440">
        <v>1.8</v>
      </c>
      <c r="CR440">
        <v>1.7</v>
      </c>
      <c r="CS440">
        <v>0</v>
      </c>
      <c r="CT440">
        <v>1</v>
      </c>
      <c r="CU440">
        <v>0</v>
      </c>
      <c r="CV440">
        <v>0</v>
      </c>
      <c r="CW440">
        <v>0</v>
      </c>
      <c r="CX440">
        <v>1</v>
      </c>
      <c r="CY440">
        <v>0</v>
      </c>
      <c r="CZ440">
        <v>0</v>
      </c>
    </row>
    <row r="441" spans="1:104" x14ac:dyDescent="0.25">
      <c r="A441" s="1" t="s">
        <v>2631</v>
      </c>
      <c r="B441">
        <v>12576</v>
      </c>
      <c r="C441">
        <v>11664</v>
      </c>
      <c r="D441" s="2">
        <v>43694</v>
      </c>
      <c r="E441" s="3">
        <f t="shared" si="18"/>
        <v>2019</v>
      </c>
      <c r="F441" s="3">
        <f t="shared" si="19"/>
        <v>8</v>
      </c>
      <c r="G441" s="3">
        <f t="shared" si="20"/>
        <v>7</v>
      </c>
      <c r="H441" t="s">
        <v>2632</v>
      </c>
      <c r="I441">
        <v>2213</v>
      </c>
      <c r="J441" t="s">
        <v>1017</v>
      </c>
      <c r="K441" t="s">
        <v>104</v>
      </c>
      <c r="L441">
        <v>2019</v>
      </c>
      <c r="M441" t="s">
        <v>249</v>
      </c>
      <c r="N441" t="s">
        <v>2632</v>
      </c>
      <c r="O441" t="s">
        <v>2633</v>
      </c>
      <c r="P441">
        <v>2500</v>
      </c>
      <c r="Q441" t="s">
        <v>104</v>
      </c>
      <c r="R441">
        <v>1932</v>
      </c>
      <c r="S441" t="s">
        <v>2634</v>
      </c>
      <c r="T441" t="s">
        <v>2635</v>
      </c>
      <c r="U441">
        <v>1000</v>
      </c>
      <c r="V441" t="s">
        <v>104</v>
      </c>
      <c r="W441">
        <v>1977</v>
      </c>
      <c r="X441" t="s">
        <v>109</v>
      </c>
      <c r="Z441">
        <v>-3.5</v>
      </c>
      <c r="AA441">
        <v>-2.5</v>
      </c>
      <c r="AB441">
        <v>35</v>
      </c>
      <c r="AC441">
        <v>35</v>
      </c>
      <c r="AD441">
        <v>30</v>
      </c>
      <c r="AE441">
        <v>50</v>
      </c>
      <c r="AF441">
        <v>50</v>
      </c>
      <c r="AG441">
        <v>63</v>
      </c>
      <c r="AH441">
        <v>37</v>
      </c>
      <c r="AI441">
        <v>38</v>
      </c>
      <c r="AJ441">
        <v>62</v>
      </c>
      <c r="AK441">
        <v>44</v>
      </c>
      <c r="AL441">
        <v>56</v>
      </c>
      <c r="AM441">
        <v>50</v>
      </c>
      <c r="AN441">
        <v>50</v>
      </c>
      <c r="AO441">
        <v>50</v>
      </c>
      <c r="AP441">
        <v>50</v>
      </c>
      <c r="AQ441">
        <v>80</v>
      </c>
      <c r="AR441">
        <v>100</v>
      </c>
      <c r="AS441">
        <v>33</v>
      </c>
      <c r="AT441">
        <v>80</v>
      </c>
      <c r="AU441">
        <v>83</v>
      </c>
      <c r="AV441">
        <v>58</v>
      </c>
      <c r="AW441">
        <v>17</v>
      </c>
      <c r="AX441">
        <v>3.4</v>
      </c>
      <c r="AY441">
        <v>8</v>
      </c>
      <c r="AZ441">
        <v>1.6</v>
      </c>
      <c r="BA441">
        <v>9</v>
      </c>
      <c r="BB441">
        <v>8</v>
      </c>
      <c r="BC441">
        <v>6</v>
      </c>
      <c r="BD441">
        <v>3</v>
      </c>
      <c r="BE441">
        <v>1</v>
      </c>
      <c r="BF441">
        <v>2</v>
      </c>
      <c r="BG441">
        <v>2</v>
      </c>
      <c r="BH441">
        <v>3</v>
      </c>
      <c r="BI441">
        <v>26</v>
      </c>
      <c r="BJ441">
        <v>14</v>
      </c>
      <c r="BK441">
        <v>10</v>
      </c>
      <c r="BL441">
        <v>14</v>
      </c>
      <c r="BM441">
        <v>2.9</v>
      </c>
      <c r="BN441">
        <v>1.8</v>
      </c>
      <c r="BO441">
        <v>1.1000000000000001</v>
      </c>
      <c r="BP441">
        <v>1.8</v>
      </c>
      <c r="BQ441">
        <v>1</v>
      </c>
      <c r="BR441">
        <v>1</v>
      </c>
      <c r="BS441">
        <v>0</v>
      </c>
      <c r="BT441">
        <v>0</v>
      </c>
      <c r="BU441">
        <v>0</v>
      </c>
      <c r="BV441">
        <v>1</v>
      </c>
      <c r="BW441">
        <v>1</v>
      </c>
      <c r="BX441">
        <v>0</v>
      </c>
      <c r="BY441">
        <v>10</v>
      </c>
      <c r="BZ441">
        <v>2</v>
      </c>
      <c r="CA441">
        <v>5</v>
      </c>
      <c r="CB441">
        <v>1</v>
      </c>
      <c r="CC441">
        <v>9</v>
      </c>
      <c r="CD441">
        <v>8</v>
      </c>
      <c r="CE441">
        <v>6</v>
      </c>
      <c r="CF441">
        <v>6</v>
      </c>
      <c r="CG441">
        <v>2</v>
      </c>
      <c r="CH441">
        <v>0</v>
      </c>
      <c r="CI441">
        <v>1</v>
      </c>
      <c r="CJ441">
        <v>2</v>
      </c>
      <c r="CK441">
        <v>29</v>
      </c>
      <c r="CL441">
        <v>20</v>
      </c>
      <c r="CM441">
        <v>10</v>
      </c>
      <c r="CN441">
        <v>7</v>
      </c>
      <c r="CO441">
        <v>3.2</v>
      </c>
      <c r="CP441">
        <v>2.5</v>
      </c>
      <c r="CQ441">
        <v>1.1000000000000001</v>
      </c>
      <c r="CR441">
        <v>0.9</v>
      </c>
      <c r="CS441">
        <v>1</v>
      </c>
      <c r="CT441">
        <v>1</v>
      </c>
      <c r="CU441">
        <v>0</v>
      </c>
      <c r="CV441">
        <v>1</v>
      </c>
      <c r="CW441">
        <v>1</v>
      </c>
      <c r="CX441">
        <v>0</v>
      </c>
      <c r="CY441">
        <v>0</v>
      </c>
      <c r="CZ441">
        <v>0</v>
      </c>
    </row>
    <row r="442" spans="1:104" x14ac:dyDescent="0.25">
      <c r="A442" s="1" t="s">
        <v>2636</v>
      </c>
      <c r="B442">
        <v>9335</v>
      </c>
      <c r="C442">
        <v>9336</v>
      </c>
      <c r="D442" s="2">
        <v>43666</v>
      </c>
      <c r="E442" s="3">
        <f t="shared" si="18"/>
        <v>2019</v>
      </c>
      <c r="F442" s="3">
        <f t="shared" si="19"/>
        <v>7</v>
      </c>
      <c r="G442" s="3">
        <f t="shared" si="20"/>
        <v>7</v>
      </c>
      <c r="H442" t="s">
        <v>2637</v>
      </c>
      <c r="I442">
        <v>1240</v>
      </c>
      <c r="J442" t="s">
        <v>2280</v>
      </c>
      <c r="K442" t="s">
        <v>558</v>
      </c>
      <c r="L442">
        <v>2019</v>
      </c>
      <c r="M442" t="s">
        <v>2281</v>
      </c>
      <c r="N442" t="s">
        <v>2637</v>
      </c>
      <c r="O442" t="s">
        <v>2638</v>
      </c>
      <c r="P442">
        <v>3100</v>
      </c>
      <c r="Q442" t="s">
        <v>558</v>
      </c>
      <c r="S442" t="s">
        <v>2621</v>
      </c>
      <c r="T442" t="s">
        <v>2623</v>
      </c>
      <c r="U442">
        <v>9000</v>
      </c>
      <c r="V442" t="s">
        <v>558</v>
      </c>
      <c r="W442">
        <v>1901</v>
      </c>
      <c r="X442">
        <v>2</v>
      </c>
      <c r="Y442">
        <v>2.5</v>
      </c>
      <c r="Z442">
        <v>-2.5</v>
      </c>
      <c r="AA442">
        <v>-4.5</v>
      </c>
      <c r="AB442">
        <v>10</v>
      </c>
      <c r="AC442">
        <v>45</v>
      </c>
      <c r="AD442">
        <v>45</v>
      </c>
      <c r="AE442">
        <v>50</v>
      </c>
      <c r="AF442">
        <v>50</v>
      </c>
      <c r="AG442">
        <v>33</v>
      </c>
      <c r="AH442">
        <v>67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100</v>
      </c>
      <c r="AR442">
        <v>17</v>
      </c>
      <c r="AS442">
        <v>100</v>
      </c>
      <c r="AT442">
        <v>100</v>
      </c>
      <c r="AU442">
        <v>33</v>
      </c>
      <c r="AV442">
        <v>100</v>
      </c>
      <c r="AW442">
        <v>2</v>
      </c>
      <c r="AX442">
        <v>2</v>
      </c>
      <c r="AY442">
        <v>0</v>
      </c>
      <c r="AZ442">
        <v>0</v>
      </c>
      <c r="BA442">
        <v>0</v>
      </c>
      <c r="BB442">
        <v>1</v>
      </c>
      <c r="BC442">
        <v>0</v>
      </c>
      <c r="BD442">
        <v>1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2</v>
      </c>
      <c r="BK442">
        <v>0</v>
      </c>
      <c r="BL442">
        <v>0</v>
      </c>
      <c r="BM442">
        <v>0</v>
      </c>
      <c r="BN442">
        <v>2</v>
      </c>
      <c r="BO442">
        <v>0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0</v>
      </c>
      <c r="BV442">
        <v>0</v>
      </c>
      <c r="BW442">
        <v>0</v>
      </c>
      <c r="BX442">
        <v>0</v>
      </c>
      <c r="BY442">
        <v>4</v>
      </c>
      <c r="BZ442">
        <v>4</v>
      </c>
      <c r="CA442">
        <v>0</v>
      </c>
      <c r="CB442">
        <v>0</v>
      </c>
      <c r="CC442">
        <v>1</v>
      </c>
      <c r="CD442">
        <v>0</v>
      </c>
      <c r="CE442">
        <v>1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4</v>
      </c>
      <c r="CL442">
        <v>0</v>
      </c>
      <c r="CM442">
        <v>0</v>
      </c>
      <c r="CN442">
        <v>0</v>
      </c>
      <c r="CO442">
        <v>4</v>
      </c>
      <c r="CP442">
        <v>0</v>
      </c>
      <c r="CQ442">
        <v>0</v>
      </c>
      <c r="CR442">
        <v>0</v>
      </c>
      <c r="CS442">
        <v>1</v>
      </c>
      <c r="CT442">
        <v>1</v>
      </c>
      <c r="CU442">
        <v>0</v>
      </c>
      <c r="CV442">
        <v>0</v>
      </c>
      <c r="CW442">
        <v>0</v>
      </c>
      <c r="CX442">
        <v>0</v>
      </c>
      <c r="CY442">
        <v>1</v>
      </c>
      <c r="CZ442">
        <v>1</v>
      </c>
    </row>
    <row r="443" spans="1:104" x14ac:dyDescent="0.25">
      <c r="A443" s="1" t="s">
        <v>2639</v>
      </c>
      <c r="B443">
        <v>12530</v>
      </c>
      <c r="C443">
        <v>12528</v>
      </c>
      <c r="D443" s="2">
        <v>43869</v>
      </c>
      <c r="E443" s="3">
        <f t="shared" si="18"/>
        <v>2020</v>
      </c>
      <c r="F443" s="3">
        <f t="shared" si="19"/>
        <v>2</v>
      </c>
      <c r="G443" s="3">
        <f t="shared" si="20"/>
        <v>7</v>
      </c>
      <c r="H443" t="s">
        <v>2079</v>
      </c>
      <c r="I443">
        <v>2183</v>
      </c>
      <c r="J443" t="s">
        <v>1048</v>
      </c>
      <c r="K443" t="s">
        <v>2081</v>
      </c>
      <c r="L443">
        <v>2020</v>
      </c>
      <c r="M443" t="s">
        <v>591</v>
      </c>
      <c r="N443" t="s">
        <v>2640</v>
      </c>
      <c r="O443" t="s">
        <v>2080</v>
      </c>
      <c r="P443">
        <v>40000</v>
      </c>
      <c r="Q443" t="s">
        <v>2081</v>
      </c>
      <c r="R443">
        <v>2010</v>
      </c>
      <c r="V443" t="s">
        <v>2081</v>
      </c>
      <c r="X443" t="s">
        <v>125</v>
      </c>
      <c r="Z443">
        <v>-1.5</v>
      </c>
      <c r="AA443">
        <v>-2.5</v>
      </c>
      <c r="AB443">
        <v>10</v>
      </c>
      <c r="AC443">
        <v>45</v>
      </c>
      <c r="AD443">
        <v>45</v>
      </c>
      <c r="AE443">
        <v>20</v>
      </c>
      <c r="AF443">
        <v>80</v>
      </c>
      <c r="AG443">
        <v>17</v>
      </c>
      <c r="AH443">
        <v>83</v>
      </c>
      <c r="AI443">
        <v>54</v>
      </c>
      <c r="AJ443">
        <v>46</v>
      </c>
      <c r="AK443">
        <v>0</v>
      </c>
      <c r="AL443">
        <v>100</v>
      </c>
      <c r="AM443">
        <v>80</v>
      </c>
      <c r="AN443">
        <v>20</v>
      </c>
      <c r="AO443">
        <v>58</v>
      </c>
      <c r="AP443">
        <v>42</v>
      </c>
      <c r="AQ443">
        <v>8</v>
      </c>
      <c r="AR443">
        <v>7</v>
      </c>
      <c r="AS443">
        <v>60</v>
      </c>
      <c r="AT443">
        <v>33</v>
      </c>
      <c r="AU443">
        <v>33</v>
      </c>
      <c r="AV443">
        <v>53</v>
      </c>
      <c r="AW443">
        <v>1</v>
      </c>
      <c r="AX443">
        <v>0.3</v>
      </c>
      <c r="AY443">
        <v>6</v>
      </c>
      <c r="AZ443">
        <v>1.5</v>
      </c>
      <c r="BA443">
        <v>2</v>
      </c>
      <c r="BB443">
        <v>2</v>
      </c>
      <c r="BC443">
        <v>0</v>
      </c>
      <c r="BD443">
        <v>0</v>
      </c>
      <c r="BE443">
        <v>1</v>
      </c>
      <c r="BF443">
        <v>0</v>
      </c>
      <c r="BG443">
        <v>1</v>
      </c>
      <c r="BH443">
        <v>2</v>
      </c>
      <c r="BI443">
        <v>0</v>
      </c>
      <c r="BJ443">
        <v>1</v>
      </c>
      <c r="BK443">
        <v>2</v>
      </c>
      <c r="BL443">
        <v>4</v>
      </c>
      <c r="BM443">
        <v>0</v>
      </c>
      <c r="BN443">
        <v>0.5</v>
      </c>
      <c r="BO443">
        <v>1</v>
      </c>
      <c r="BP443">
        <v>2</v>
      </c>
      <c r="BQ443">
        <v>3</v>
      </c>
      <c r="BR443">
        <v>2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5</v>
      </c>
      <c r="BZ443">
        <v>1.3</v>
      </c>
      <c r="CA443">
        <v>7</v>
      </c>
      <c r="CB443">
        <v>1.8</v>
      </c>
      <c r="CC443">
        <v>1</v>
      </c>
      <c r="CD443">
        <v>3</v>
      </c>
      <c r="CE443">
        <v>0</v>
      </c>
      <c r="CF443">
        <v>1</v>
      </c>
      <c r="CG443">
        <v>0</v>
      </c>
      <c r="CH443">
        <v>1</v>
      </c>
      <c r="CI443">
        <v>1</v>
      </c>
      <c r="CJ443">
        <v>1</v>
      </c>
      <c r="CK443">
        <v>1</v>
      </c>
      <c r="CL443">
        <v>4</v>
      </c>
      <c r="CM443">
        <v>2</v>
      </c>
      <c r="CN443">
        <v>5</v>
      </c>
      <c r="CO443">
        <v>1</v>
      </c>
      <c r="CP443">
        <v>1.3</v>
      </c>
      <c r="CQ443">
        <v>2</v>
      </c>
      <c r="CR443">
        <v>1.7</v>
      </c>
      <c r="CS443">
        <v>2</v>
      </c>
      <c r="CT443">
        <v>3</v>
      </c>
      <c r="CU443">
        <v>0</v>
      </c>
      <c r="CV443">
        <v>1</v>
      </c>
      <c r="CW443">
        <v>1</v>
      </c>
      <c r="CX443">
        <v>1</v>
      </c>
      <c r="CY443">
        <v>1</v>
      </c>
      <c r="CZ443">
        <v>1</v>
      </c>
    </row>
    <row r="444" spans="1:104" x14ac:dyDescent="0.25">
      <c r="A444" s="1" t="s">
        <v>2641</v>
      </c>
      <c r="B444">
        <v>2105</v>
      </c>
      <c r="C444">
        <v>2091</v>
      </c>
      <c r="D444" s="2">
        <v>43802</v>
      </c>
      <c r="E444" s="3">
        <f t="shared" si="18"/>
        <v>2019</v>
      </c>
      <c r="F444" s="3">
        <f t="shared" si="19"/>
        <v>12</v>
      </c>
      <c r="G444" s="3">
        <f t="shared" si="20"/>
        <v>3</v>
      </c>
      <c r="H444" t="s">
        <v>2642</v>
      </c>
      <c r="I444">
        <v>910</v>
      </c>
      <c r="J444" t="s">
        <v>1465</v>
      </c>
      <c r="K444" t="s">
        <v>597</v>
      </c>
      <c r="L444">
        <v>2019</v>
      </c>
      <c r="M444" t="s">
        <v>2643</v>
      </c>
      <c r="N444" t="s">
        <v>2642</v>
      </c>
      <c r="O444" t="s">
        <v>2644</v>
      </c>
      <c r="P444">
        <v>26400</v>
      </c>
      <c r="Q444" t="s">
        <v>597</v>
      </c>
      <c r="R444">
        <v>1929</v>
      </c>
      <c r="S444" t="s">
        <v>2645</v>
      </c>
      <c r="T444" t="s">
        <v>2646</v>
      </c>
      <c r="U444">
        <v>13100</v>
      </c>
      <c r="V444" t="s">
        <v>597</v>
      </c>
      <c r="W444">
        <v>1963</v>
      </c>
      <c r="X444" t="s">
        <v>125</v>
      </c>
      <c r="Z444">
        <v>-2.5</v>
      </c>
      <c r="AA444">
        <v>-2.5</v>
      </c>
      <c r="AB444">
        <v>10</v>
      </c>
      <c r="AC444">
        <v>45</v>
      </c>
      <c r="AD444">
        <v>45</v>
      </c>
      <c r="AE444">
        <v>25</v>
      </c>
      <c r="AF444">
        <v>75</v>
      </c>
      <c r="AG444">
        <v>40</v>
      </c>
      <c r="AH444">
        <v>60</v>
      </c>
      <c r="AI444">
        <v>50</v>
      </c>
      <c r="AJ444">
        <v>50</v>
      </c>
      <c r="AK444">
        <v>0</v>
      </c>
      <c r="AL444">
        <v>0</v>
      </c>
      <c r="AM444">
        <v>50</v>
      </c>
      <c r="AN444">
        <v>50</v>
      </c>
      <c r="AO444">
        <v>60</v>
      </c>
      <c r="AP444">
        <v>40</v>
      </c>
      <c r="AQ444">
        <v>50</v>
      </c>
      <c r="AR444">
        <v>21</v>
      </c>
      <c r="AS444">
        <v>84</v>
      </c>
      <c r="AT444">
        <v>100</v>
      </c>
      <c r="AU444">
        <v>32</v>
      </c>
      <c r="AV444">
        <v>84</v>
      </c>
      <c r="AW444">
        <v>4</v>
      </c>
      <c r="AX444">
        <v>2</v>
      </c>
      <c r="AY444">
        <v>3</v>
      </c>
      <c r="AZ444">
        <v>1.5</v>
      </c>
      <c r="BA444">
        <v>0</v>
      </c>
      <c r="BB444">
        <v>2</v>
      </c>
      <c r="BC444">
        <v>0</v>
      </c>
      <c r="BD444">
        <v>1</v>
      </c>
      <c r="BE444">
        <v>0</v>
      </c>
      <c r="BF444">
        <v>0</v>
      </c>
      <c r="BG444">
        <v>0</v>
      </c>
      <c r="BH444">
        <v>1</v>
      </c>
      <c r="BI444">
        <v>0</v>
      </c>
      <c r="BJ444">
        <v>4</v>
      </c>
      <c r="BK444">
        <v>0</v>
      </c>
      <c r="BL444">
        <v>3</v>
      </c>
      <c r="BM444">
        <v>0</v>
      </c>
      <c r="BN444">
        <v>2</v>
      </c>
      <c r="BO444">
        <v>0</v>
      </c>
      <c r="BP444">
        <v>1.5</v>
      </c>
      <c r="BQ444">
        <v>4</v>
      </c>
      <c r="BR444">
        <v>4</v>
      </c>
      <c r="BS444">
        <v>1</v>
      </c>
      <c r="BT444">
        <v>1</v>
      </c>
      <c r="BU444">
        <v>1</v>
      </c>
      <c r="BV444">
        <v>1</v>
      </c>
      <c r="BW444">
        <v>2</v>
      </c>
      <c r="BX444">
        <v>2</v>
      </c>
      <c r="BY444">
        <v>6</v>
      </c>
      <c r="BZ444">
        <v>2</v>
      </c>
      <c r="CA444">
        <v>3</v>
      </c>
      <c r="CB444">
        <v>1</v>
      </c>
      <c r="CC444">
        <v>2</v>
      </c>
      <c r="CD444">
        <v>1</v>
      </c>
      <c r="CE444">
        <v>2</v>
      </c>
      <c r="CF444">
        <v>1</v>
      </c>
      <c r="CG444">
        <v>0</v>
      </c>
      <c r="CH444">
        <v>0</v>
      </c>
      <c r="CI444">
        <v>0</v>
      </c>
      <c r="CJ444">
        <v>0</v>
      </c>
      <c r="CK444">
        <v>4</v>
      </c>
      <c r="CL444">
        <v>2</v>
      </c>
      <c r="CM444">
        <v>2</v>
      </c>
      <c r="CN444">
        <v>1</v>
      </c>
      <c r="CO444">
        <v>2</v>
      </c>
      <c r="CP444">
        <v>2</v>
      </c>
      <c r="CQ444">
        <v>1</v>
      </c>
      <c r="CR444">
        <v>1</v>
      </c>
      <c r="CS444">
        <v>4</v>
      </c>
      <c r="CT444">
        <v>4</v>
      </c>
      <c r="CU444">
        <v>2</v>
      </c>
      <c r="CV444">
        <v>2</v>
      </c>
      <c r="CW444">
        <v>1</v>
      </c>
      <c r="CX444">
        <v>1</v>
      </c>
      <c r="CY444">
        <v>1</v>
      </c>
      <c r="CZ444">
        <v>1</v>
      </c>
    </row>
    <row r="445" spans="1:104" x14ac:dyDescent="0.25">
      <c r="A445" s="1" t="s">
        <v>2647</v>
      </c>
      <c r="B445">
        <v>3514</v>
      </c>
      <c r="C445">
        <v>827</v>
      </c>
      <c r="D445" s="2">
        <v>43901</v>
      </c>
      <c r="E445" s="3">
        <f t="shared" si="18"/>
        <v>2020</v>
      </c>
      <c r="F445" s="3">
        <f t="shared" si="19"/>
        <v>3</v>
      </c>
      <c r="G445" s="3">
        <f t="shared" si="20"/>
        <v>4</v>
      </c>
      <c r="H445" t="s">
        <v>2648</v>
      </c>
      <c r="I445">
        <v>1323</v>
      </c>
      <c r="J445" t="s">
        <v>1390</v>
      </c>
      <c r="K445" t="s">
        <v>224</v>
      </c>
      <c r="L445">
        <v>2020</v>
      </c>
      <c r="M445" t="s">
        <v>2649</v>
      </c>
      <c r="N445" t="s">
        <v>2650</v>
      </c>
      <c r="O445" t="s">
        <v>2651</v>
      </c>
      <c r="P445">
        <v>1000</v>
      </c>
      <c r="Q445" t="s">
        <v>224</v>
      </c>
      <c r="R445">
        <v>1909</v>
      </c>
      <c r="S445" t="s">
        <v>2652</v>
      </c>
      <c r="T445" t="s">
        <v>2653</v>
      </c>
      <c r="U445">
        <v>3054</v>
      </c>
      <c r="V445" t="s">
        <v>224</v>
      </c>
      <c r="W445">
        <v>1946</v>
      </c>
      <c r="X445" t="s">
        <v>125</v>
      </c>
      <c r="Y445">
        <v>1.5</v>
      </c>
      <c r="Z445">
        <v>-3.5</v>
      </c>
      <c r="AA445">
        <v>-3.5</v>
      </c>
      <c r="AB445">
        <v>10</v>
      </c>
      <c r="AC445">
        <v>45</v>
      </c>
      <c r="AD445">
        <v>45</v>
      </c>
      <c r="AE445">
        <v>14</v>
      </c>
      <c r="AF445">
        <v>86</v>
      </c>
      <c r="AG445">
        <v>33</v>
      </c>
      <c r="AH445">
        <v>67</v>
      </c>
      <c r="AI445">
        <v>55</v>
      </c>
      <c r="AJ445">
        <v>45</v>
      </c>
      <c r="AK445">
        <v>66</v>
      </c>
      <c r="AL445">
        <v>34</v>
      </c>
      <c r="AM445">
        <v>0</v>
      </c>
      <c r="AN445">
        <v>0</v>
      </c>
      <c r="AO445">
        <v>0</v>
      </c>
      <c r="AP445">
        <v>0</v>
      </c>
      <c r="AQ445">
        <v>8</v>
      </c>
      <c r="AR445">
        <v>18</v>
      </c>
      <c r="AS445">
        <v>64</v>
      </c>
      <c r="AT445">
        <v>50</v>
      </c>
      <c r="AU445">
        <v>36</v>
      </c>
      <c r="AV445">
        <v>57</v>
      </c>
      <c r="AW445">
        <v>5</v>
      </c>
      <c r="AX445">
        <v>1.3</v>
      </c>
      <c r="AY445">
        <v>10</v>
      </c>
      <c r="AZ445">
        <v>2.5</v>
      </c>
      <c r="BA445">
        <v>2</v>
      </c>
      <c r="BB445">
        <v>2</v>
      </c>
      <c r="BC445">
        <v>0</v>
      </c>
      <c r="BD445">
        <v>0</v>
      </c>
      <c r="BE445">
        <v>0</v>
      </c>
      <c r="BF445">
        <v>1</v>
      </c>
      <c r="BG445">
        <v>2</v>
      </c>
      <c r="BH445">
        <v>1</v>
      </c>
      <c r="BI445">
        <v>2</v>
      </c>
      <c r="BJ445">
        <v>3</v>
      </c>
      <c r="BK445">
        <v>6</v>
      </c>
      <c r="BL445">
        <v>4</v>
      </c>
      <c r="BM445">
        <v>1</v>
      </c>
      <c r="BN445">
        <v>1.5</v>
      </c>
      <c r="BO445">
        <v>3</v>
      </c>
      <c r="BP445">
        <v>2</v>
      </c>
      <c r="BQ445">
        <v>1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1</v>
      </c>
      <c r="BX445">
        <v>0</v>
      </c>
      <c r="BY445">
        <v>10</v>
      </c>
      <c r="BZ445">
        <v>2.5</v>
      </c>
      <c r="CA445">
        <v>12</v>
      </c>
      <c r="CB445">
        <v>3</v>
      </c>
      <c r="CC445">
        <v>3</v>
      </c>
      <c r="CD445">
        <v>1</v>
      </c>
      <c r="CE445">
        <v>2</v>
      </c>
      <c r="CF445">
        <v>0</v>
      </c>
      <c r="CG445">
        <v>0</v>
      </c>
      <c r="CH445">
        <v>0</v>
      </c>
      <c r="CI445">
        <v>1</v>
      </c>
      <c r="CJ445">
        <v>1</v>
      </c>
      <c r="CK445">
        <v>9</v>
      </c>
      <c r="CL445">
        <v>1</v>
      </c>
      <c r="CM445">
        <v>5</v>
      </c>
      <c r="CN445">
        <v>7</v>
      </c>
      <c r="CO445">
        <v>3</v>
      </c>
      <c r="CP445">
        <v>1</v>
      </c>
      <c r="CQ445">
        <v>1.7</v>
      </c>
      <c r="CR445">
        <v>7</v>
      </c>
      <c r="CS445">
        <v>0</v>
      </c>
      <c r="CT445">
        <v>1</v>
      </c>
      <c r="CU445">
        <v>0</v>
      </c>
      <c r="CV445">
        <v>1</v>
      </c>
      <c r="CW445">
        <v>0</v>
      </c>
      <c r="CX445">
        <v>0</v>
      </c>
      <c r="CY445">
        <v>0</v>
      </c>
      <c r="CZ445">
        <v>0</v>
      </c>
    </row>
    <row r="446" spans="1:104" x14ac:dyDescent="0.25">
      <c r="A446" s="1" t="s">
        <v>2654</v>
      </c>
      <c r="B446">
        <v>1004</v>
      </c>
      <c r="C446">
        <v>1010</v>
      </c>
      <c r="D446" s="2">
        <v>43707</v>
      </c>
      <c r="E446" s="3">
        <f t="shared" si="18"/>
        <v>2019</v>
      </c>
      <c r="F446" s="3">
        <f t="shared" si="19"/>
        <v>8</v>
      </c>
      <c r="G446" s="3">
        <f t="shared" si="20"/>
        <v>6</v>
      </c>
      <c r="H446" t="s">
        <v>2655</v>
      </c>
      <c r="I446">
        <v>782</v>
      </c>
      <c r="J446" t="s">
        <v>1277</v>
      </c>
      <c r="K446" t="s">
        <v>329</v>
      </c>
      <c r="L446">
        <v>2019</v>
      </c>
      <c r="M446" t="s">
        <v>209</v>
      </c>
      <c r="N446" t="s">
        <v>2655</v>
      </c>
      <c r="O446" t="s">
        <v>436</v>
      </c>
      <c r="P446">
        <v>14234</v>
      </c>
      <c r="Q446" t="s">
        <v>329</v>
      </c>
      <c r="R446">
        <v>1921</v>
      </c>
      <c r="S446" t="s">
        <v>2656</v>
      </c>
      <c r="T446" t="s">
        <v>2657</v>
      </c>
      <c r="U446">
        <v>21092</v>
      </c>
      <c r="V446" t="s">
        <v>329</v>
      </c>
      <c r="W446">
        <v>1910</v>
      </c>
      <c r="X446" t="s">
        <v>109</v>
      </c>
      <c r="Z446">
        <v>-1.5</v>
      </c>
      <c r="AA446">
        <v>-1.5</v>
      </c>
      <c r="AB446">
        <v>35</v>
      </c>
      <c r="AC446">
        <v>35</v>
      </c>
      <c r="AD446">
        <v>30</v>
      </c>
      <c r="AE446">
        <v>33</v>
      </c>
      <c r="AF446">
        <v>67</v>
      </c>
      <c r="AG446">
        <v>67</v>
      </c>
      <c r="AH446">
        <v>33</v>
      </c>
      <c r="AI446">
        <v>17</v>
      </c>
      <c r="AJ446">
        <v>83</v>
      </c>
      <c r="AK446">
        <v>0</v>
      </c>
      <c r="AL446">
        <v>0</v>
      </c>
      <c r="AM446">
        <v>67</v>
      </c>
      <c r="AN446">
        <v>33</v>
      </c>
      <c r="AO446">
        <v>57</v>
      </c>
      <c r="AP446">
        <v>43</v>
      </c>
      <c r="AQ446">
        <v>17</v>
      </c>
      <c r="AR446">
        <v>13</v>
      </c>
      <c r="AS446">
        <v>67</v>
      </c>
      <c r="AT446">
        <v>33</v>
      </c>
      <c r="AU446">
        <v>7</v>
      </c>
      <c r="AV446">
        <v>93</v>
      </c>
      <c r="AW446">
        <v>2</v>
      </c>
      <c r="AX446">
        <v>1</v>
      </c>
      <c r="AY446">
        <v>5</v>
      </c>
      <c r="AZ446">
        <v>2.5</v>
      </c>
      <c r="BA446">
        <v>1</v>
      </c>
      <c r="BB446">
        <v>1</v>
      </c>
      <c r="BC446">
        <v>0</v>
      </c>
      <c r="BD446">
        <v>0</v>
      </c>
      <c r="BE446">
        <v>1</v>
      </c>
      <c r="BF446">
        <v>0</v>
      </c>
      <c r="BG446">
        <v>0</v>
      </c>
      <c r="BH446">
        <v>1</v>
      </c>
      <c r="BI446">
        <v>1</v>
      </c>
      <c r="BJ446">
        <v>1</v>
      </c>
      <c r="BK446">
        <v>1</v>
      </c>
      <c r="BL446">
        <v>4</v>
      </c>
      <c r="BM446">
        <v>1</v>
      </c>
      <c r="BN446">
        <v>1</v>
      </c>
      <c r="BO446">
        <v>1</v>
      </c>
      <c r="BP446">
        <v>4</v>
      </c>
      <c r="BQ446">
        <v>2</v>
      </c>
      <c r="BR446">
        <v>3</v>
      </c>
      <c r="BS446">
        <v>1</v>
      </c>
      <c r="BT446">
        <v>1</v>
      </c>
      <c r="BU446">
        <v>0</v>
      </c>
      <c r="BV446">
        <v>1</v>
      </c>
      <c r="BW446">
        <v>1</v>
      </c>
      <c r="BX446">
        <v>1</v>
      </c>
      <c r="BY446">
        <v>1</v>
      </c>
      <c r="BZ446">
        <v>0.5</v>
      </c>
      <c r="CA446">
        <v>1</v>
      </c>
      <c r="CB446">
        <v>0.5</v>
      </c>
      <c r="CC446">
        <v>1</v>
      </c>
      <c r="CD446">
        <v>1</v>
      </c>
      <c r="CE446">
        <v>0</v>
      </c>
      <c r="CF446">
        <v>0</v>
      </c>
      <c r="CG446">
        <v>1</v>
      </c>
      <c r="CH446">
        <v>1</v>
      </c>
      <c r="CI446">
        <v>0</v>
      </c>
      <c r="CJ446">
        <v>0</v>
      </c>
      <c r="CK446">
        <v>1</v>
      </c>
      <c r="CL446">
        <v>0</v>
      </c>
      <c r="CM446">
        <v>1</v>
      </c>
      <c r="CN446">
        <v>0</v>
      </c>
      <c r="CO446">
        <v>1</v>
      </c>
      <c r="CP446">
        <v>0</v>
      </c>
      <c r="CQ446">
        <v>1</v>
      </c>
      <c r="CR446">
        <v>0</v>
      </c>
      <c r="CS446">
        <v>3</v>
      </c>
      <c r="CT446">
        <v>2</v>
      </c>
      <c r="CU446">
        <v>1</v>
      </c>
      <c r="CV446">
        <v>1</v>
      </c>
      <c r="CW446">
        <v>1</v>
      </c>
      <c r="CX446">
        <v>0</v>
      </c>
      <c r="CY446">
        <v>1</v>
      </c>
      <c r="CZ446">
        <v>1</v>
      </c>
    </row>
    <row r="447" spans="1:104" x14ac:dyDescent="0.25">
      <c r="A447" s="1" t="s">
        <v>2658</v>
      </c>
      <c r="B447">
        <v>5495</v>
      </c>
      <c r="C447">
        <v>5493</v>
      </c>
      <c r="D447" s="2">
        <v>43777</v>
      </c>
      <c r="E447" s="3">
        <f t="shared" si="18"/>
        <v>2019</v>
      </c>
      <c r="F447" s="3">
        <f t="shared" si="19"/>
        <v>11</v>
      </c>
      <c r="G447" s="3">
        <f t="shared" si="20"/>
        <v>6</v>
      </c>
      <c r="H447" t="s">
        <v>2659</v>
      </c>
      <c r="I447">
        <v>909</v>
      </c>
      <c r="J447" t="s">
        <v>831</v>
      </c>
      <c r="K447" t="s">
        <v>832</v>
      </c>
      <c r="L447">
        <v>2019</v>
      </c>
      <c r="M447" t="s">
        <v>122</v>
      </c>
      <c r="N447" t="s">
        <v>2659</v>
      </c>
      <c r="O447" t="s">
        <v>2660</v>
      </c>
      <c r="P447">
        <v>3000</v>
      </c>
      <c r="Q447" t="s">
        <v>832</v>
      </c>
      <c r="R447">
        <v>2009</v>
      </c>
      <c r="S447" t="s">
        <v>833</v>
      </c>
      <c r="T447" t="s">
        <v>834</v>
      </c>
      <c r="U447">
        <v>3000</v>
      </c>
      <c r="V447" t="s">
        <v>832</v>
      </c>
      <c r="X447" t="s">
        <v>125</v>
      </c>
      <c r="Y447">
        <v>-3.5</v>
      </c>
      <c r="Z447">
        <v>-1.5</v>
      </c>
      <c r="AA447">
        <v>-1.5</v>
      </c>
      <c r="AB447">
        <v>10</v>
      </c>
      <c r="AC447">
        <v>45</v>
      </c>
      <c r="AD447">
        <v>45</v>
      </c>
      <c r="AE447">
        <v>43</v>
      </c>
      <c r="AF447">
        <v>57</v>
      </c>
      <c r="AG447">
        <v>20</v>
      </c>
      <c r="AH447">
        <v>80</v>
      </c>
      <c r="AI447">
        <v>44</v>
      </c>
      <c r="AJ447">
        <v>56</v>
      </c>
      <c r="AK447">
        <v>13</v>
      </c>
      <c r="AL447">
        <v>88</v>
      </c>
      <c r="AM447">
        <v>0</v>
      </c>
      <c r="AN447">
        <v>100</v>
      </c>
      <c r="AO447">
        <v>17</v>
      </c>
      <c r="AP447">
        <v>83</v>
      </c>
      <c r="AQ447">
        <v>20</v>
      </c>
      <c r="AR447">
        <v>8</v>
      </c>
      <c r="AS447">
        <v>23</v>
      </c>
      <c r="AT447">
        <v>27</v>
      </c>
      <c r="AU447">
        <v>31</v>
      </c>
      <c r="AV447">
        <v>38</v>
      </c>
      <c r="AW447">
        <v>1</v>
      </c>
      <c r="AX447">
        <v>0.2</v>
      </c>
      <c r="AY447">
        <v>10</v>
      </c>
      <c r="AZ447">
        <v>2</v>
      </c>
      <c r="BA447">
        <v>4</v>
      </c>
      <c r="BB447">
        <v>4</v>
      </c>
      <c r="BC447">
        <v>1</v>
      </c>
      <c r="BD447">
        <v>0</v>
      </c>
      <c r="BE447">
        <v>1</v>
      </c>
      <c r="BF447">
        <v>0</v>
      </c>
      <c r="BG447">
        <v>2</v>
      </c>
      <c r="BH447">
        <v>4</v>
      </c>
      <c r="BI447">
        <v>1</v>
      </c>
      <c r="BJ447">
        <v>4</v>
      </c>
      <c r="BK447">
        <v>3</v>
      </c>
      <c r="BL447">
        <v>15</v>
      </c>
      <c r="BM447">
        <v>0.3</v>
      </c>
      <c r="BN447">
        <v>1</v>
      </c>
      <c r="BO447">
        <v>0.8</v>
      </c>
      <c r="BP447">
        <v>3.8</v>
      </c>
      <c r="BQ447">
        <v>2</v>
      </c>
      <c r="BR447">
        <v>1</v>
      </c>
      <c r="BS447">
        <v>0</v>
      </c>
      <c r="BT447">
        <v>0</v>
      </c>
      <c r="BU447">
        <v>0</v>
      </c>
      <c r="BV447">
        <v>0</v>
      </c>
      <c r="BW447">
        <v>2</v>
      </c>
      <c r="BX447">
        <v>1</v>
      </c>
      <c r="BY447">
        <v>4</v>
      </c>
      <c r="BZ447">
        <v>0.8</v>
      </c>
      <c r="CA447">
        <v>8</v>
      </c>
      <c r="CB447">
        <v>1.6</v>
      </c>
      <c r="CC447">
        <v>5</v>
      </c>
      <c r="CD447">
        <v>4</v>
      </c>
      <c r="CE447">
        <v>0</v>
      </c>
      <c r="CF447">
        <v>3</v>
      </c>
      <c r="CG447">
        <v>2</v>
      </c>
      <c r="CH447">
        <v>0</v>
      </c>
      <c r="CI447">
        <v>3</v>
      </c>
      <c r="CJ447">
        <v>1</v>
      </c>
      <c r="CK447">
        <v>4</v>
      </c>
      <c r="CL447">
        <v>7</v>
      </c>
      <c r="CM447">
        <v>7</v>
      </c>
      <c r="CN447">
        <v>3</v>
      </c>
      <c r="CO447">
        <v>0.8</v>
      </c>
      <c r="CP447">
        <v>1.8</v>
      </c>
      <c r="CQ447">
        <v>1.4</v>
      </c>
      <c r="CR447">
        <v>0.8</v>
      </c>
      <c r="CS447">
        <v>1</v>
      </c>
      <c r="CT447">
        <v>2</v>
      </c>
      <c r="CU447">
        <v>1</v>
      </c>
      <c r="CV447">
        <v>2</v>
      </c>
      <c r="CW447">
        <v>0</v>
      </c>
      <c r="CX447">
        <v>0</v>
      </c>
      <c r="CY447">
        <v>0</v>
      </c>
      <c r="CZ447">
        <v>0</v>
      </c>
    </row>
    <row r="448" spans="1:104" x14ac:dyDescent="0.25">
      <c r="A448" s="1" t="s">
        <v>2661</v>
      </c>
      <c r="B448">
        <v>7345</v>
      </c>
      <c r="C448">
        <v>7388</v>
      </c>
      <c r="D448" s="2">
        <v>43702</v>
      </c>
      <c r="E448" s="3">
        <f t="shared" si="18"/>
        <v>2019</v>
      </c>
      <c r="F448" s="3">
        <f t="shared" si="19"/>
        <v>8</v>
      </c>
      <c r="G448" s="3">
        <f t="shared" si="20"/>
        <v>1</v>
      </c>
      <c r="H448" t="s">
        <v>2662</v>
      </c>
      <c r="I448">
        <v>1159</v>
      </c>
      <c r="J448" t="s">
        <v>2663</v>
      </c>
      <c r="K448" t="s">
        <v>121</v>
      </c>
      <c r="L448">
        <v>2019</v>
      </c>
      <c r="M448" t="s">
        <v>306</v>
      </c>
      <c r="N448" t="s">
        <v>2664</v>
      </c>
      <c r="O448" t="s">
        <v>2665</v>
      </c>
      <c r="P448">
        <v>3450</v>
      </c>
      <c r="Q448" t="s">
        <v>121</v>
      </c>
      <c r="R448">
        <v>1927</v>
      </c>
      <c r="S448" t="s">
        <v>2666</v>
      </c>
      <c r="T448" t="s">
        <v>2667</v>
      </c>
      <c r="U448">
        <v>1500</v>
      </c>
      <c r="V448" t="s">
        <v>121</v>
      </c>
      <c r="X448" t="s">
        <v>125</v>
      </c>
      <c r="Z448">
        <v>-1.5</v>
      </c>
      <c r="AA448">
        <v>-1.5</v>
      </c>
      <c r="AB448">
        <v>10</v>
      </c>
      <c r="AC448">
        <v>45</v>
      </c>
      <c r="AD448">
        <v>45</v>
      </c>
      <c r="AE448">
        <v>0</v>
      </c>
      <c r="AF448">
        <v>0</v>
      </c>
      <c r="AG448">
        <v>33</v>
      </c>
      <c r="AH448">
        <v>67</v>
      </c>
      <c r="AI448">
        <v>55</v>
      </c>
      <c r="AJ448">
        <v>45</v>
      </c>
      <c r="AK448">
        <v>0</v>
      </c>
      <c r="AL448">
        <v>100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6</v>
      </c>
      <c r="AS448">
        <v>72</v>
      </c>
      <c r="AT448">
        <v>0</v>
      </c>
      <c r="AU448">
        <v>11</v>
      </c>
      <c r="AV448">
        <v>67</v>
      </c>
      <c r="AW448">
        <v>1</v>
      </c>
      <c r="AX448">
        <v>0.5</v>
      </c>
      <c r="AY448">
        <v>5</v>
      </c>
      <c r="AZ448">
        <v>2.5</v>
      </c>
      <c r="BA448">
        <v>1</v>
      </c>
      <c r="BB448">
        <v>1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1</v>
      </c>
      <c r="BI448">
        <v>0</v>
      </c>
      <c r="BJ448">
        <v>1</v>
      </c>
      <c r="BK448">
        <v>2</v>
      </c>
      <c r="BL448">
        <v>3</v>
      </c>
      <c r="BM448">
        <v>0</v>
      </c>
      <c r="BN448">
        <v>1</v>
      </c>
      <c r="BO448">
        <v>2</v>
      </c>
      <c r="BP448">
        <v>3</v>
      </c>
      <c r="BQ448">
        <v>1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1</v>
      </c>
      <c r="BX448">
        <v>0</v>
      </c>
      <c r="BY448">
        <v>2</v>
      </c>
      <c r="BZ448">
        <v>1</v>
      </c>
      <c r="CA448">
        <v>6</v>
      </c>
      <c r="CB448">
        <v>3</v>
      </c>
      <c r="CC448">
        <v>1</v>
      </c>
      <c r="CD448">
        <v>1</v>
      </c>
      <c r="CE448">
        <v>0</v>
      </c>
      <c r="CF448">
        <v>0</v>
      </c>
      <c r="CG448">
        <v>0</v>
      </c>
      <c r="CH448">
        <v>0</v>
      </c>
      <c r="CI448">
        <v>1</v>
      </c>
      <c r="CJ448">
        <v>1</v>
      </c>
      <c r="CK448">
        <v>1</v>
      </c>
      <c r="CL448">
        <v>1</v>
      </c>
      <c r="CM448">
        <v>2</v>
      </c>
      <c r="CN448">
        <v>4</v>
      </c>
      <c r="CO448">
        <v>1</v>
      </c>
      <c r="CP448">
        <v>1</v>
      </c>
      <c r="CQ448">
        <v>2</v>
      </c>
      <c r="CR448">
        <v>4</v>
      </c>
      <c r="CS448">
        <v>0</v>
      </c>
      <c r="CT448">
        <v>1</v>
      </c>
      <c r="CU448">
        <v>0</v>
      </c>
      <c r="CV448">
        <v>1</v>
      </c>
      <c r="CW448">
        <v>0</v>
      </c>
      <c r="CX448">
        <v>0</v>
      </c>
      <c r="CY448">
        <v>0</v>
      </c>
      <c r="CZ448">
        <v>0</v>
      </c>
    </row>
    <row r="449" spans="1:104" x14ac:dyDescent="0.25">
      <c r="A449" s="1" t="s">
        <v>2668</v>
      </c>
      <c r="B449">
        <v>503</v>
      </c>
      <c r="C449">
        <v>39</v>
      </c>
      <c r="D449" s="2">
        <v>43699</v>
      </c>
      <c r="E449" s="3">
        <f t="shared" si="18"/>
        <v>2019</v>
      </c>
      <c r="F449" s="3">
        <f t="shared" si="19"/>
        <v>8</v>
      </c>
      <c r="G449" s="3">
        <f t="shared" si="20"/>
        <v>5</v>
      </c>
      <c r="H449" t="s">
        <v>2669</v>
      </c>
      <c r="I449">
        <v>514</v>
      </c>
      <c r="J449" t="s">
        <v>2670</v>
      </c>
      <c r="K449" t="s">
        <v>129</v>
      </c>
      <c r="L449">
        <v>2019</v>
      </c>
      <c r="M449" t="s">
        <v>440</v>
      </c>
      <c r="N449" t="s">
        <v>2669</v>
      </c>
      <c r="O449" t="s">
        <v>2671</v>
      </c>
      <c r="P449">
        <v>27958</v>
      </c>
      <c r="Q449" t="s">
        <v>338</v>
      </c>
      <c r="R449">
        <v>1906</v>
      </c>
      <c r="S449" t="s">
        <v>2672</v>
      </c>
      <c r="T449" t="s">
        <v>2673</v>
      </c>
      <c r="U449">
        <v>32050</v>
      </c>
      <c r="V449" t="s">
        <v>241</v>
      </c>
      <c r="W449">
        <v>1877</v>
      </c>
      <c r="X449" t="s">
        <v>125</v>
      </c>
      <c r="Y449">
        <v>1.5</v>
      </c>
      <c r="Z449">
        <v>-4.5</v>
      </c>
      <c r="AA449">
        <v>-4.5</v>
      </c>
      <c r="AB449">
        <v>10</v>
      </c>
      <c r="AC449">
        <v>45</v>
      </c>
      <c r="AD449">
        <v>45</v>
      </c>
      <c r="AE449">
        <v>45</v>
      </c>
      <c r="AF449">
        <v>55</v>
      </c>
      <c r="AG449">
        <v>48</v>
      </c>
      <c r="AH449">
        <v>52</v>
      </c>
      <c r="AI449">
        <v>33</v>
      </c>
      <c r="AJ449">
        <v>67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83</v>
      </c>
      <c r="AR449">
        <v>100</v>
      </c>
      <c r="AS449">
        <v>85</v>
      </c>
      <c r="AT449">
        <v>100</v>
      </c>
      <c r="AU449">
        <v>100</v>
      </c>
      <c r="AV449">
        <v>92</v>
      </c>
      <c r="AW449">
        <v>13</v>
      </c>
      <c r="AX449">
        <v>3.3</v>
      </c>
      <c r="AY449">
        <v>2</v>
      </c>
      <c r="AZ449">
        <v>0.5</v>
      </c>
      <c r="BA449">
        <v>2</v>
      </c>
      <c r="BB449">
        <v>2</v>
      </c>
      <c r="BC449">
        <v>2</v>
      </c>
      <c r="BD449">
        <v>1</v>
      </c>
      <c r="BE449">
        <v>0</v>
      </c>
      <c r="BF449">
        <v>1</v>
      </c>
      <c r="BG449">
        <v>0</v>
      </c>
      <c r="BH449">
        <v>0</v>
      </c>
      <c r="BI449">
        <v>8</v>
      </c>
      <c r="BJ449">
        <v>5</v>
      </c>
      <c r="BK449">
        <v>0</v>
      </c>
      <c r="BL449">
        <v>2</v>
      </c>
      <c r="BM449">
        <v>4</v>
      </c>
      <c r="BN449">
        <v>2.5</v>
      </c>
      <c r="BO449">
        <v>0</v>
      </c>
      <c r="BP449">
        <v>1</v>
      </c>
      <c r="BQ449">
        <v>1</v>
      </c>
      <c r="BR449">
        <v>1</v>
      </c>
      <c r="BS449">
        <v>0</v>
      </c>
      <c r="BT449">
        <v>0</v>
      </c>
      <c r="BU449">
        <v>0</v>
      </c>
      <c r="BV449">
        <v>0</v>
      </c>
      <c r="BW449">
        <v>1</v>
      </c>
      <c r="BX449">
        <v>1</v>
      </c>
      <c r="BY449">
        <v>14</v>
      </c>
      <c r="BZ449">
        <v>3.5</v>
      </c>
      <c r="CA449">
        <v>1</v>
      </c>
      <c r="CB449">
        <v>0.3</v>
      </c>
      <c r="CC449">
        <v>2</v>
      </c>
      <c r="CD449">
        <v>2</v>
      </c>
      <c r="CE449">
        <v>2</v>
      </c>
      <c r="CF449">
        <v>2</v>
      </c>
      <c r="CG449">
        <v>0</v>
      </c>
      <c r="CH449">
        <v>0</v>
      </c>
      <c r="CI449">
        <v>0</v>
      </c>
      <c r="CJ449">
        <v>0</v>
      </c>
      <c r="CK449">
        <v>6</v>
      </c>
      <c r="CL449">
        <v>8</v>
      </c>
      <c r="CM449">
        <v>0</v>
      </c>
      <c r="CN449">
        <v>1</v>
      </c>
      <c r="CO449">
        <v>3</v>
      </c>
      <c r="CP449">
        <v>4</v>
      </c>
      <c r="CQ449">
        <v>0</v>
      </c>
      <c r="CR449">
        <v>0.5</v>
      </c>
      <c r="CS449">
        <v>1</v>
      </c>
      <c r="CT449">
        <v>1</v>
      </c>
      <c r="CU449">
        <v>1</v>
      </c>
      <c r="CV449">
        <v>1</v>
      </c>
      <c r="CW449">
        <v>0</v>
      </c>
      <c r="CX449">
        <v>0</v>
      </c>
      <c r="CY449">
        <v>0</v>
      </c>
      <c r="CZ449">
        <v>0</v>
      </c>
    </row>
    <row r="450" spans="1:104" x14ac:dyDescent="0.25">
      <c r="A450" s="1" t="s">
        <v>2674</v>
      </c>
      <c r="B450">
        <v>9883</v>
      </c>
      <c r="C450">
        <v>8158</v>
      </c>
      <c r="D450" s="2">
        <v>43723</v>
      </c>
      <c r="E450" s="3">
        <f t="shared" si="18"/>
        <v>2019</v>
      </c>
      <c r="F450" s="3">
        <f t="shared" si="19"/>
        <v>9</v>
      </c>
      <c r="G450" s="3">
        <f t="shared" si="20"/>
        <v>1</v>
      </c>
      <c r="H450" t="s">
        <v>2675</v>
      </c>
      <c r="I450">
        <v>1285</v>
      </c>
      <c r="J450" t="s">
        <v>397</v>
      </c>
      <c r="K450" t="s">
        <v>380</v>
      </c>
      <c r="L450">
        <v>2019</v>
      </c>
      <c r="M450" t="s">
        <v>2676</v>
      </c>
      <c r="N450" t="s">
        <v>2675</v>
      </c>
      <c r="O450" t="s">
        <v>2677</v>
      </c>
      <c r="P450">
        <v>1000</v>
      </c>
      <c r="Q450" t="s">
        <v>380</v>
      </c>
      <c r="R450">
        <v>1971</v>
      </c>
      <c r="S450" t="s">
        <v>2678</v>
      </c>
      <c r="T450" t="s">
        <v>2679</v>
      </c>
      <c r="U450">
        <v>3000</v>
      </c>
      <c r="V450" t="s">
        <v>380</v>
      </c>
      <c r="X450" t="s">
        <v>109</v>
      </c>
      <c r="Z450">
        <v>-1.5</v>
      </c>
      <c r="AA450">
        <v>-2.5</v>
      </c>
      <c r="AB450">
        <v>45</v>
      </c>
      <c r="AC450">
        <v>45</v>
      </c>
      <c r="AD450">
        <v>10</v>
      </c>
      <c r="AE450">
        <v>60</v>
      </c>
      <c r="AF450">
        <v>40</v>
      </c>
      <c r="AG450">
        <v>33</v>
      </c>
      <c r="AH450">
        <v>67</v>
      </c>
      <c r="AI450">
        <v>80</v>
      </c>
      <c r="AJ450">
        <v>20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67</v>
      </c>
      <c r="AR450">
        <v>33</v>
      </c>
      <c r="AS450">
        <v>89</v>
      </c>
      <c r="AT450">
        <v>44</v>
      </c>
      <c r="AU450">
        <v>67</v>
      </c>
      <c r="AV450">
        <v>56</v>
      </c>
      <c r="AW450">
        <v>3</v>
      </c>
      <c r="AX450">
        <v>1</v>
      </c>
      <c r="AY450">
        <v>1</v>
      </c>
      <c r="AZ450">
        <v>0.3</v>
      </c>
      <c r="BA450">
        <v>1</v>
      </c>
      <c r="BB450">
        <v>2</v>
      </c>
      <c r="BC450">
        <v>1</v>
      </c>
      <c r="BD450">
        <v>1</v>
      </c>
      <c r="BE450">
        <v>0</v>
      </c>
      <c r="BF450">
        <v>0</v>
      </c>
      <c r="BG450">
        <v>0</v>
      </c>
      <c r="BH450">
        <v>1</v>
      </c>
      <c r="BI450">
        <v>2</v>
      </c>
      <c r="BJ450">
        <v>1</v>
      </c>
      <c r="BK450">
        <v>0</v>
      </c>
      <c r="BL450">
        <v>1</v>
      </c>
      <c r="BM450">
        <v>2</v>
      </c>
      <c r="BN450">
        <v>0.5</v>
      </c>
      <c r="BO450">
        <v>0</v>
      </c>
      <c r="BP450">
        <v>0.5</v>
      </c>
      <c r="BQ450">
        <v>1</v>
      </c>
      <c r="BR450">
        <v>1</v>
      </c>
      <c r="BS450">
        <v>0</v>
      </c>
      <c r="BT450">
        <v>0</v>
      </c>
      <c r="BU450">
        <v>0</v>
      </c>
      <c r="BV450">
        <v>1</v>
      </c>
      <c r="BW450">
        <v>1</v>
      </c>
      <c r="BX450">
        <v>0</v>
      </c>
      <c r="BY450">
        <v>6</v>
      </c>
      <c r="BZ450">
        <v>2</v>
      </c>
      <c r="CA450">
        <v>4</v>
      </c>
      <c r="CB450">
        <v>1.3</v>
      </c>
      <c r="CC450">
        <v>2</v>
      </c>
      <c r="CD450">
        <v>1</v>
      </c>
      <c r="CE450">
        <v>1</v>
      </c>
      <c r="CF450">
        <v>0</v>
      </c>
      <c r="CG450">
        <v>0</v>
      </c>
      <c r="CH450">
        <v>1</v>
      </c>
      <c r="CI450">
        <v>1</v>
      </c>
      <c r="CJ450">
        <v>0</v>
      </c>
      <c r="CK450">
        <v>5</v>
      </c>
      <c r="CL450">
        <v>1</v>
      </c>
      <c r="CM450">
        <v>3</v>
      </c>
      <c r="CN450">
        <v>1</v>
      </c>
      <c r="CO450">
        <v>2.5</v>
      </c>
      <c r="CP450">
        <v>1</v>
      </c>
      <c r="CQ450">
        <v>1.5</v>
      </c>
      <c r="CR450">
        <v>1</v>
      </c>
      <c r="CS450">
        <v>1</v>
      </c>
      <c r="CT450">
        <v>1</v>
      </c>
      <c r="CU450">
        <v>0</v>
      </c>
      <c r="CV450">
        <v>1</v>
      </c>
      <c r="CW450">
        <v>1</v>
      </c>
      <c r="CX450">
        <v>0</v>
      </c>
      <c r="CY450">
        <v>0</v>
      </c>
      <c r="CZ450">
        <v>0</v>
      </c>
    </row>
    <row r="451" spans="1:104" x14ac:dyDescent="0.25">
      <c r="A451" s="1" t="s">
        <v>2680</v>
      </c>
      <c r="B451">
        <v>8509</v>
      </c>
      <c r="C451">
        <v>8516</v>
      </c>
      <c r="D451" s="2">
        <v>43757</v>
      </c>
      <c r="E451" s="3">
        <f t="shared" ref="E451:E501" si="21">YEAR(D451)</f>
        <v>2019</v>
      </c>
      <c r="F451" s="3">
        <f t="shared" ref="F451:F501" si="22">MONTH(D451)</f>
        <v>10</v>
      </c>
      <c r="G451" s="3">
        <f t="shared" ref="G451:G501" si="23">WEEKDAY(D451)</f>
        <v>7</v>
      </c>
      <c r="H451" t="s">
        <v>2681</v>
      </c>
      <c r="I451">
        <v>1138</v>
      </c>
      <c r="J451" t="s">
        <v>978</v>
      </c>
      <c r="K451" t="s">
        <v>172</v>
      </c>
      <c r="L451">
        <v>2019</v>
      </c>
      <c r="M451" t="s">
        <v>2682</v>
      </c>
      <c r="Q451" t="s">
        <v>172</v>
      </c>
      <c r="V451" t="s">
        <v>172</v>
      </c>
      <c r="X451" t="s">
        <v>125</v>
      </c>
      <c r="Z451">
        <v>-1.5</v>
      </c>
      <c r="AA451">
        <v>-1.5</v>
      </c>
      <c r="AB451">
        <v>10</v>
      </c>
      <c r="AC451">
        <v>45</v>
      </c>
      <c r="AD451">
        <v>45</v>
      </c>
      <c r="AE451">
        <v>0</v>
      </c>
      <c r="AF451">
        <v>100</v>
      </c>
      <c r="AG451">
        <v>33</v>
      </c>
      <c r="AH451">
        <v>67</v>
      </c>
      <c r="AI451">
        <v>48</v>
      </c>
      <c r="AJ451">
        <v>52</v>
      </c>
      <c r="AK451">
        <v>0</v>
      </c>
      <c r="AL451">
        <v>0</v>
      </c>
      <c r="AM451">
        <v>50</v>
      </c>
      <c r="AN451">
        <v>50</v>
      </c>
      <c r="AO451">
        <v>50</v>
      </c>
      <c r="AP451">
        <v>50</v>
      </c>
      <c r="AQ451">
        <v>0</v>
      </c>
      <c r="AR451">
        <v>9</v>
      </c>
      <c r="AS451">
        <v>41</v>
      </c>
      <c r="AT451">
        <v>20</v>
      </c>
      <c r="AU451">
        <v>18</v>
      </c>
      <c r="AV451">
        <v>45</v>
      </c>
      <c r="AW451">
        <v>2</v>
      </c>
      <c r="AX451">
        <v>0.4</v>
      </c>
      <c r="AY451">
        <v>13</v>
      </c>
      <c r="AZ451">
        <v>2.6</v>
      </c>
      <c r="BA451">
        <v>5</v>
      </c>
      <c r="BB451">
        <v>2</v>
      </c>
      <c r="BC451">
        <v>0</v>
      </c>
      <c r="BD451">
        <v>0</v>
      </c>
      <c r="BE451">
        <v>1</v>
      </c>
      <c r="BF451">
        <v>0</v>
      </c>
      <c r="BG451">
        <v>4</v>
      </c>
      <c r="BH451">
        <v>2</v>
      </c>
      <c r="BI451">
        <v>2</v>
      </c>
      <c r="BJ451">
        <v>1</v>
      </c>
      <c r="BK451">
        <v>12</v>
      </c>
      <c r="BL451">
        <v>6</v>
      </c>
      <c r="BM451">
        <v>0.4</v>
      </c>
      <c r="BN451">
        <v>0.5</v>
      </c>
      <c r="BO451">
        <v>2.4</v>
      </c>
      <c r="BP451">
        <v>3</v>
      </c>
      <c r="BQ451">
        <v>2</v>
      </c>
      <c r="BR451">
        <v>1</v>
      </c>
      <c r="BS451">
        <v>1</v>
      </c>
      <c r="BT451">
        <v>0</v>
      </c>
      <c r="BU451">
        <v>0</v>
      </c>
      <c r="BV451">
        <v>0</v>
      </c>
      <c r="BW451">
        <v>1</v>
      </c>
      <c r="BX451">
        <v>1</v>
      </c>
      <c r="BY451">
        <v>4</v>
      </c>
      <c r="BZ451">
        <v>0.8</v>
      </c>
      <c r="CA451">
        <v>12</v>
      </c>
      <c r="CB451">
        <v>2.4</v>
      </c>
      <c r="CC451">
        <v>4</v>
      </c>
      <c r="CD451">
        <v>4</v>
      </c>
      <c r="CE451">
        <v>2</v>
      </c>
      <c r="CF451">
        <v>0</v>
      </c>
      <c r="CG451">
        <v>1</v>
      </c>
      <c r="CH451">
        <v>0</v>
      </c>
      <c r="CI451">
        <v>1</v>
      </c>
      <c r="CJ451">
        <v>4</v>
      </c>
      <c r="CK451">
        <v>6</v>
      </c>
      <c r="CL451">
        <v>3</v>
      </c>
      <c r="CM451">
        <v>4</v>
      </c>
      <c r="CN451">
        <v>11</v>
      </c>
      <c r="CO451">
        <v>1.5</v>
      </c>
      <c r="CP451">
        <v>0.8</v>
      </c>
      <c r="CQ451">
        <v>1</v>
      </c>
      <c r="CR451">
        <v>2.8</v>
      </c>
      <c r="CS451">
        <v>1</v>
      </c>
      <c r="CT451">
        <v>2</v>
      </c>
      <c r="CU451">
        <v>1</v>
      </c>
      <c r="CV451">
        <v>1</v>
      </c>
      <c r="CW451">
        <v>0</v>
      </c>
      <c r="CX451">
        <v>0</v>
      </c>
      <c r="CY451">
        <v>0</v>
      </c>
      <c r="CZ451">
        <v>1</v>
      </c>
    </row>
    <row r="452" spans="1:104" x14ac:dyDescent="0.25">
      <c r="A452" s="1" t="s">
        <v>2683</v>
      </c>
      <c r="B452">
        <v>6768</v>
      </c>
      <c r="C452">
        <v>2275</v>
      </c>
      <c r="D452" s="2">
        <v>43715</v>
      </c>
      <c r="E452" s="3">
        <f t="shared" si="21"/>
        <v>2019</v>
      </c>
      <c r="F452" s="3">
        <f t="shared" si="22"/>
        <v>9</v>
      </c>
      <c r="G452" s="3">
        <f t="shared" si="23"/>
        <v>7</v>
      </c>
      <c r="H452" t="s">
        <v>2684</v>
      </c>
      <c r="I452">
        <v>946</v>
      </c>
      <c r="J452" t="s">
        <v>1869</v>
      </c>
      <c r="K452" t="s">
        <v>1029</v>
      </c>
      <c r="L452">
        <v>2019</v>
      </c>
      <c r="M452" t="s">
        <v>1713</v>
      </c>
      <c r="N452" t="s">
        <v>2684</v>
      </c>
      <c r="O452" t="s">
        <v>2685</v>
      </c>
      <c r="P452">
        <v>1800</v>
      </c>
      <c r="Q452" t="s">
        <v>1029</v>
      </c>
      <c r="R452">
        <v>1946</v>
      </c>
      <c r="S452" t="s">
        <v>2686</v>
      </c>
      <c r="T452" t="s">
        <v>699</v>
      </c>
      <c r="U452">
        <v>4160</v>
      </c>
      <c r="V452" t="s">
        <v>695</v>
      </c>
      <c r="W452">
        <v>1889</v>
      </c>
      <c r="X452">
        <v>1</v>
      </c>
      <c r="Y452">
        <v>-2.5</v>
      </c>
      <c r="Z452">
        <v>-2.5</v>
      </c>
      <c r="AB452">
        <v>45</v>
      </c>
      <c r="AC452">
        <v>45</v>
      </c>
      <c r="AD452">
        <v>10</v>
      </c>
      <c r="AE452">
        <v>100</v>
      </c>
      <c r="AF452">
        <v>0</v>
      </c>
      <c r="AG452">
        <v>100</v>
      </c>
      <c r="AH452">
        <v>0</v>
      </c>
      <c r="AI452">
        <v>0</v>
      </c>
      <c r="AJ452">
        <v>100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67</v>
      </c>
      <c r="AR452">
        <v>14</v>
      </c>
      <c r="AS452">
        <v>95</v>
      </c>
      <c r="AT452">
        <v>0</v>
      </c>
      <c r="AU452">
        <v>0</v>
      </c>
      <c r="AV452">
        <v>0</v>
      </c>
      <c r="AW452">
        <v>3</v>
      </c>
      <c r="AX452">
        <v>1.5</v>
      </c>
      <c r="AY452">
        <v>1</v>
      </c>
      <c r="AZ452">
        <v>0.5</v>
      </c>
      <c r="BA452">
        <v>0</v>
      </c>
      <c r="BB452">
        <v>2</v>
      </c>
      <c r="BC452">
        <v>0</v>
      </c>
      <c r="BD452">
        <v>1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3</v>
      </c>
      <c r="BK452">
        <v>0</v>
      </c>
      <c r="BL452">
        <v>1</v>
      </c>
      <c r="BM452">
        <v>0</v>
      </c>
      <c r="BN452">
        <v>1.5</v>
      </c>
      <c r="BO452">
        <v>0</v>
      </c>
      <c r="BP452">
        <v>0.5</v>
      </c>
      <c r="BQ452">
        <v>1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1</v>
      </c>
      <c r="CU452">
        <v>0</v>
      </c>
      <c r="CV452">
        <v>1</v>
      </c>
      <c r="CW452">
        <v>0</v>
      </c>
      <c r="CX452">
        <v>0</v>
      </c>
      <c r="CY452">
        <v>0</v>
      </c>
      <c r="CZ452">
        <v>0</v>
      </c>
    </row>
    <row r="453" spans="1:104" x14ac:dyDescent="0.25">
      <c r="A453" s="1" t="s">
        <v>2687</v>
      </c>
      <c r="B453">
        <v>9622</v>
      </c>
      <c r="C453">
        <v>9623</v>
      </c>
      <c r="D453" s="2">
        <v>43870</v>
      </c>
      <c r="E453" s="3">
        <f t="shared" si="21"/>
        <v>2020</v>
      </c>
      <c r="F453" s="3">
        <f t="shared" si="22"/>
        <v>2</v>
      </c>
      <c r="G453" s="3">
        <f t="shared" si="23"/>
        <v>1</v>
      </c>
      <c r="H453" t="s">
        <v>2688</v>
      </c>
      <c r="I453">
        <v>1270</v>
      </c>
      <c r="J453" t="s">
        <v>379</v>
      </c>
      <c r="K453" t="s">
        <v>380</v>
      </c>
      <c r="L453">
        <v>2019</v>
      </c>
      <c r="M453" t="s">
        <v>2689</v>
      </c>
      <c r="N453" t="s">
        <v>2688</v>
      </c>
      <c r="O453" t="s">
        <v>2690</v>
      </c>
      <c r="P453">
        <v>2000</v>
      </c>
      <c r="Q453" t="s">
        <v>380</v>
      </c>
      <c r="R453">
        <v>1940</v>
      </c>
      <c r="S453" t="s">
        <v>2691</v>
      </c>
      <c r="T453" t="s">
        <v>2440</v>
      </c>
      <c r="U453">
        <v>2000</v>
      </c>
      <c r="V453" t="s">
        <v>380</v>
      </c>
      <c r="W453">
        <v>1979</v>
      </c>
      <c r="X453" t="s">
        <v>125</v>
      </c>
      <c r="Z453">
        <v>-2.5</v>
      </c>
      <c r="AA453">
        <v>-2.5</v>
      </c>
      <c r="AB453">
        <v>10</v>
      </c>
      <c r="AC453">
        <v>45</v>
      </c>
      <c r="AD453">
        <v>45</v>
      </c>
      <c r="AE453">
        <v>38</v>
      </c>
      <c r="AF453">
        <v>62</v>
      </c>
      <c r="AG453">
        <v>33</v>
      </c>
      <c r="AH453">
        <v>67</v>
      </c>
      <c r="AI453">
        <v>25</v>
      </c>
      <c r="AJ453">
        <v>75</v>
      </c>
      <c r="AK453">
        <v>48</v>
      </c>
      <c r="AL453">
        <v>52</v>
      </c>
      <c r="AM453">
        <v>0</v>
      </c>
      <c r="AN453">
        <v>100</v>
      </c>
      <c r="AO453">
        <v>33</v>
      </c>
      <c r="AP453">
        <v>67</v>
      </c>
      <c r="AQ453">
        <v>53</v>
      </c>
      <c r="AR453">
        <v>42</v>
      </c>
      <c r="AS453">
        <v>50</v>
      </c>
      <c r="AT453">
        <v>87</v>
      </c>
      <c r="AU453">
        <v>83</v>
      </c>
      <c r="AV453">
        <v>83</v>
      </c>
      <c r="AW453">
        <v>5</v>
      </c>
      <c r="AX453">
        <v>1</v>
      </c>
      <c r="AY453">
        <v>6</v>
      </c>
      <c r="AZ453">
        <v>1.2</v>
      </c>
      <c r="BA453">
        <v>12</v>
      </c>
      <c r="BB453">
        <v>11</v>
      </c>
      <c r="BC453">
        <v>4</v>
      </c>
      <c r="BD453">
        <v>2</v>
      </c>
      <c r="BE453">
        <v>7</v>
      </c>
      <c r="BF453">
        <v>3</v>
      </c>
      <c r="BG453">
        <v>1</v>
      </c>
      <c r="BH453">
        <v>6</v>
      </c>
      <c r="BI453">
        <v>15</v>
      </c>
      <c r="BJ453">
        <v>11</v>
      </c>
      <c r="BK453">
        <v>8</v>
      </c>
      <c r="BL453">
        <v>19</v>
      </c>
      <c r="BM453">
        <v>1.3</v>
      </c>
      <c r="BN453">
        <v>1</v>
      </c>
      <c r="BO453">
        <v>0.7</v>
      </c>
      <c r="BP453">
        <v>1.7</v>
      </c>
      <c r="BQ453">
        <v>1</v>
      </c>
      <c r="BR453">
        <v>1</v>
      </c>
      <c r="BS453">
        <v>0</v>
      </c>
      <c r="BT453">
        <v>0</v>
      </c>
      <c r="BU453">
        <v>0</v>
      </c>
      <c r="BV453">
        <v>0</v>
      </c>
      <c r="BW453">
        <v>1</v>
      </c>
      <c r="BX453">
        <v>1</v>
      </c>
      <c r="BY453">
        <v>10</v>
      </c>
      <c r="BZ453">
        <v>2</v>
      </c>
      <c r="CA453">
        <v>2</v>
      </c>
      <c r="CB453">
        <v>0.4</v>
      </c>
      <c r="CC453">
        <v>13</v>
      </c>
      <c r="CD453">
        <v>10</v>
      </c>
      <c r="CE453">
        <v>7</v>
      </c>
      <c r="CF453">
        <v>6</v>
      </c>
      <c r="CG453">
        <v>5</v>
      </c>
      <c r="CH453">
        <v>2</v>
      </c>
      <c r="CI453">
        <v>1</v>
      </c>
      <c r="CJ453">
        <v>2</v>
      </c>
      <c r="CK453">
        <v>32</v>
      </c>
      <c r="CL453">
        <v>21</v>
      </c>
      <c r="CM453">
        <v>16</v>
      </c>
      <c r="CN453">
        <v>13</v>
      </c>
      <c r="CO453">
        <v>2.5</v>
      </c>
      <c r="CP453">
        <v>2.1</v>
      </c>
      <c r="CQ453">
        <v>1.2</v>
      </c>
      <c r="CR453">
        <v>1.3</v>
      </c>
      <c r="CS453">
        <v>1</v>
      </c>
      <c r="CT453">
        <v>1</v>
      </c>
      <c r="CU453">
        <v>1</v>
      </c>
      <c r="CV453">
        <v>1</v>
      </c>
      <c r="CW453">
        <v>0</v>
      </c>
      <c r="CX453">
        <v>0</v>
      </c>
      <c r="CY453">
        <v>0</v>
      </c>
      <c r="CZ453">
        <v>0</v>
      </c>
    </row>
    <row r="454" spans="1:104" x14ac:dyDescent="0.25">
      <c r="A454" s="1" t="s">
        <v>2692</v>
      </c>
      <c r="B454">
        <v>2289</v>
      </c>
      <c r="C454">
        <v>2282</v>
      </c>
      <c r="D454" s="2">
        <v>44047</v>
      </c>
      <c r="E454" s="3">
        <f t="shared" si="21"/>
        <v>2020</v>
      </c>
      <c r="F454" s="3">
        <f t="shared" si="22"/>
        <v>8</v>
      </c>
      <c r="G454" s="3">
        <f t="shared" si="23"/>
        <v>3</v>
      </c>
      <c r="H454" t="s">
        <v>2693</v>
      </c>
      <c r="I454">
        <v>2656</v>
      </c>
      <c r="J454" t="s">
        <v>1379</v>
      </c>
      <c r="K454" t="s">
        <v>1380</v>
      </c>
      <c r="L454">
        <v>2020</v>
      </c>
      <c r="M454" t="s">
        <v>1304</v>
      </c>
      <c r="Q454" t="s">
        <v>1380</v>
      </c>
      <c r="R454">
        <v>1944</v>
      </c>
      <c r="V454" t="s">
        <v>1380</v>
      </c>
      <c r="W454">
        <v>1945</v>
      </c>
      <c r="X454">
        <v>2</v>
      </c>
      <c r="Y454">
        <v>-3.5</v>
      </c>
      <c r="AA454">
        <v>-3.5</v>
      </c>
      <c r="AB454">
        <v>10</v>
      </c>
      <c r="AC454">
        <v>45</v>
      </c>
      <c r="AD454">
        <v>45</v>
      </c>
      <c r="AE454">
        <v>25</v>
      </c>
      <c r="AF454">
        <v>75</v>
      </c>
      <c r="AG454">
        <v>0</v>
      </c>
      <c r="AH454">
        <v>100</v>
      </c>
      <c r="AI454">
        <v>100</v>
      </c>
      <c r="AJ454">
        <v>0</v>
      </c>
      <c r="AK454">
        <v>0</v>
      </c>
      <c r="AL454">
        <v>0</v>
      </c>
      <c r="AM454">
        <v>29</v>
      </c>
      <c r="AN454">
        <v>71</v>
      </c>
      <c r="AO454">
        <v>38</v>
      </c>
      <c r="AP454">
        <v>62</v>
      </c>
      <c r="AQ454">
        <v>33</v>
      </c>
      <c r="AR454">
        <v>0</v>
      </c>
      <c r="AS454">
        <v>100</v>
      </c>
      <c r="AT454">
        <v>100</v>
      </c>
      <c r="AU454">
        <v>19</v>
      </c>
      <c r="AV454">
        <v>94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5</v>
      </c>
      <c r="BR454">
        <v>4</v>
      </c>
      <c r="BS454">
        <v>2</v>
      </c>
      <c r="BT454">
        <v>0</v>
      </c>
      <c r="BU454">
        <v>0</v>
      </c>
      <c r="BV454">
        <v>2</v>
      </c>
      <c r="BW454">
        <v>3</v>
      </c>
      <c r="BX454">
        <v>2</v>
      </c>
      <c r="BY454">
        <v>3</v>
      </c>
      <c r="BZ454">
        <v>3</v>
      </c>
      <c r="CA454">
        <v>1</v>
      </c>
      <c r="CB454">
        <v>1</v>
      </c>
      <c r="CC454">
        <v>1</v>
      </c>
      <c r="CD454">
        <v>0</v>
      </c>
      <c r="CE454">
        <v>1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3</v>
      </c>
      <c r="CL454">
        <v>0</v>
      </c>
      <c r="CM454">
        <v>1</v>
      </c>
      <c r="CN454">
        <v>0</v>
      </c>
      <c r="CO454">
        <v>3</v>
      </c>
      <c r="CP454">
        <v>0</v>
      </c>
      <c r="CQ454">
        <v>1</v>
      </c>
      <c r="CR454">
        <v>0</v>
      </c>
      <c r="CS454">
        <v>4</v>
      </c>
      <c r="CT454">
        <v>5</v>
      </c>
      <c r="CU454">
        <v>2</v>
      </c>
      <c r="CV454">
        <v>3</v>
      </c>
      <c r="CW454">
        <v>2</v>
      </c>
      <c r="CX454">
        <v>0</v>
      </c>
      <c r="CY454">
        <v>0</v>
      </c>
      <c r="CZ454">
        <v>2</v>
      </c>
    </row>
    <row r="455" spans="1:104" x14ac:dyDescent="0.25">
      <c r="A455" s="1" t="s">
        <v>2694</v>
      </c>
      <c r="B455">
        <v>2823</v>
      </c>
      <c r="C455">
        <v>2815</v>
      </c>
      <c r="D455" s="2">
        <v>43765</v>
      </c>
      <c r="E455" s="3">
        <f t="shared" si="21"/>
        <v>2019</v>
      </c>
      <c r="F455" s="3">
        <f t="shared" si="22"/>
        <v>10</v>
      </c>
      <c r="G455" s="3">
        <f t="shared" si="23"/>
        <v>1</v>
      </c>
      <c r="H455" t="s">
        <v>2491</v>
      </c>
      <c r="I455">
        <v>398</v>
      </c>
      <c r="J455" t="s">
        <v>344</v>
      </c>
      <c r="K455" t="s">
        <v>665</v>
      </c>
      <c r="L455">
        <v>2019</v>
      </c>
      <c r="M455" t="s">
        <v>2695</v>
      </c>
      <c r="N455" t="s">
        <v>669</v>
      </c>
      <c r="O455" t="s">
        <v>670</v>
      </c>
      <c r="P455">
        <v>13000</v>
      </c>
      <c r="Q455" t="s">
        <v>665</v>
      </c>
      <c r="R455">
        <v>1985</v>
      </c>
      <c r="S455" t="s">
        <v>2696</v>
      </c>
      <c r="T455" t="s">
        <v>2697</v>
      </c>
      <c r="U455">
        <v>12765</v>
      </c>
      <c r="V455" t="s">
        <v>665</v>
      </c>
      <c r="W455">
        <v>1981</v>
      </c>
      <c r="X455" t="s">
        <v>125</v>
      </c>
      <c r="Z455">
        <v>-2.5</v>
      </c>
      <c r="AA455">
        <v>-2.5</v>
      </c>
      <c r="AB455">
        <v>10</v>
      </c>
      <c r="AC455">
        <v>45</v>
      </c>
      <c r="AD455">
        <v>45</v>
      </c>
      <c r="AE455">
        <v>50</v>
      </c>
      <c r="AF455">
        <v>50</v>
      </c>
      <c r="AG455">
        <v>30</v>
      </c>
      <c r="AH455">
        <v>70</v>
      </c>
      <c r="AI455">
        <v>41</v>
      </c>
      <c r="AJ455">
        <v>59</v>
      </c>
      <c r="AK455">
        <v>48</v>
      </c>
      <c r="AL455">
        <v>52</v>
      </c>
      <c r="AM455">
        <v>29</v>
      </c>
      <c r="AN455">
        <v>71</v>
      </c>
      <c r="AO455">
        <v>41</v>
      </c>
      <c r="AP455">
        <v>59</v>
      </c>
      <c r="AQ455">
        <v>40</v>
      </c>
      <c r="AR455">
        <v>20</v>
      </c>
      <c r="AS455">
        <v>33</v>
      </c>
      <c r="AT455">
        <v>40</v>
      </c>
      <c r="AU455">
        <v>47</v>
      </c>
      <c r="AV455">
        <v>53</v>
      </c>
      <c r="AW455">
        <v>3</v>
      </c>
      <c r="AX455">
        <v>0.6</v>
      </c>
      <c r="AY455">
        <v>10</v>
      </c>
      <c r="AZ455">
        <v>2</v>
      </c>
      <c r="BA455">
        <v>16</v>
      </c>
      <c r="BB455">
        <v>18</v>
      </c>
      <c r="BC455">
        <v>6</v>
      </c>
      <c r="BD455">
        <v>4</v>
      </c>
      <c r="BE455">
        <v>4</v>
      </c>
      <c r="BF455">
        <v>3</v>
      </c>
      <c r="BG455">
        <v>6</v>
      </c>
      <c r="BH455">
        <v>11</v>
      </c>
      <c r="BI455">
        <v>22</v>
      </c>
      <c r="BJ455">
        <v>25</v>
      </c>
      <c r="BK455">
        <v>22</v>
      </c>
      <c r="BL455">
        <v>46</v>
      </c>
      <c r="BM455">
        <v>1.4</v>
      </c>
      <c r="BN455">
        <v>1.4</v>
      </c>
      <c r="BO455">
        <v>1.4</v>
      </c>
      <c r="BP455">
        <v>2.6</v>
      </c>
      <c r="BQ455">
        <v>6</v>
      </c>
      <c r="BR455">
        <v>7</v>
      </c>
      <c r="BS455">
        <v>2</v>
      </c>
      <c r="BT455">
        <v>1</v>
      </c>
      <c r="BU455">
        <v>3</v>
      </c>
      <c r="BV455">
        <v>0</v>
      </c>
      <c r="BW455">
        <v>1</v>
      </c>
      <c r="BX455">
        <v>6</v>
      </c>
      <c r="BY455">
        <v>7</v>
      </c>
      <c r="BZ455">
        <v>1.4</v>
      </c>
      <c r="CA455">
        <v>7</v>
      </c>
      <c r="CB455">
        <v>1.4</v>
      </c>
      <c r="CC455">
        <v>17</v>
      </c>
      <c r="CD455">
        <v>17</v>
      </c>
      <c r="CE455">
        <v>4</v>
      </c>
      <c r="CF455">
        <v>6</v>
      </c>
      <c r="CG455">
        <v>3</v>
      </c>
      <c r="CH455">
        <v>3</v>
      </c>
      <c r="CI455">
        <v>10</v>
      </c>
      <c r="CJ455">
        <v>8</v>
      </c>
      <c r="CK455">
        <v>17</v>
      </c>
      <c r="CL455">
        <v>25</v>
      </c>
      <c r="CM455">
        <v>30</v>
      </c>
      <c r="CN455">
        <v>31</v>
      </c>
      <c r="CO455">
        <v>1</v>
      </c>
      <c r="CP455">
        <v>1.5</v>
      </c>
      <c r="CQ455">
        <v>1.8</v>
      </c>
      <c r="CR455">
        <v>1.8</v>
      </c>
      <c r="CS455">
        <v>7</v>
      </c>
      <c r="CT455">
        <v>6</v>
      </c>
      <c r="CU455">
        <v>6</v>
      </c>
      <c r="CV455">
        <v>1</v>
      </c>
      <c r="CW455">
        <v>0</v>
      </c>
      <c r="CX455">
        <v>3</v>
      </c>
      <c r="CY455">
        <v>1</v>
      </c>
      <c r="CZ455">
        <v>2</v>
      </c>
    </row>
    <row r="456" spans="1:104" x14ac:dyDescent="0.25">
      <c r="A456" s="1" t="s">
        <v>2698</v>
      </c>
      <c r="B456">
        <v>11111</v>
      </c>
      <c r="C456">
        <v>11110</v>
      </c>
      <c r="D456" s="2">
        <v>43897</v>
      </c>
      <c r="E456" s="3">
        <f t="shared" si="21"/>
        <v>2020</v>
      </c>
      <c r="F456" s="3">
        <f t="shared" si="22"/>
        <v>3</v>
      </c>
      <c r="G456" s="3">
        <f t="shared" si="23"/>
        <v>7</v>
      </c>
      <c r="H456" t="s">
        <v>2699</v>
      </c>
      <c r="I456">
        <v>1641</v>
      </c>
      <c r="J456" t="s">
        <v>694</v>
      </c>
      <c r="K456" t="s">
        <v>695</v>
      </c>
      <c r="L456">
        <v>2019</v>
      </c>
      <c r="M456" t="s">
        <v>968</v>
      </c>
      <c r="N456" t="s">
        <v>2700</v>
      </c>
      <c r="O456" t="s">
        <v>2701</v>
      </c>
      <c r="P456">
        <v>1500</v>
      </c>
      <c r="Q456" t="s">
        <v>695</v>
      </c>
      <c r="R456">
        <v>1947</v>
      </c>
      <c r="S456" t="s">
        <v>2702</v>
      </c>
      <c r="T456" t="s">
        <v>2703</v>
      </c>
      <c r="U456">
        <v>3000</v>
      </c>
      <c r="V456" t="s">
        <v>695</v>
      </c>
      <c r="W456">
        <v>1964</v>
      </c>
      <c r="X456" t="s">
        <v>109</v>
      </c>
      <c r="Z456">
        <v>-2.5</v>
      </c>
      <c r="AA456">
        <v>-1.5</v>
      </c>
      <c r="AB456">
        <v>45</v>
      </c>
      <c r="AC456">
        <v>45</v>
      </c>
      <c r="AD456">
        <v>10</v>
      </c>
      <c r="AE456">
        <v>47</v>
      </c>
      <c r="AF456">
        <v>53</v>
      </c>
      <c r="AG456">
        <v>63</v>
      </c>
      <c r="AH456">
        <v>38</v>
      </c>
      <c r="AI456">
        <v>35</v>
      </c>
      <c r="AJ456">
        <v>65</v>
      </c>
      <c r="AK456">
        <v>49</v>
      </c>
      <c r="AL456">
        <v>51</v>
      </c>
      <c r="AM456">
        <v>75</v>
      </c>
      <c r="AN456">
        <v>25</v>
      </c>
      <c r="AO456">
        <v>65</v>
      </c>
      <c r="AP456">
        <v>35</v>
      </c>
      <c r="AQ456">
        <v>47</v>
      </c>
      <c r="AR456">
        <v>50</v>
      </c>
      <c r="AS456">
        <v>45</v>
      </c>
      <c r="AT456">
        <v>53</v>
      </c>
      <c r="AU456">
        <v>30</v>
      </c>
      <c r="AV456">
        <v>70</v>
      </c>
      <c r="AW456">
        <v>10</v>
      </c>
      <c r="AX456">
        <v>2</v>
      </c>
      <c r="AY456">
        <v>11</v>
      </c>
      <c r="AZ456">
        <v>2.2000000000000002</v>
      </c>
      <c r="BA456">
        <v>4</v>
      </c>
      <c r="BB456">
        <v>7</v>
      </c>
      <c r="BC456">
        <v>0</v>
      </c>
      <c r="BD456">
        <v>2</v>
      </c>
      <c r="BE456">
        <v>2</v>
      </c>
      <c r="BF456">
        <v>2</v>
      </c>
      <c r="BG456">
        <v>2</v>
      </c>
      <c r="BH456">
        <v>3</v>
      </c>
      <c r="BI456">
        <v>2</v>
      </c>
      <c r="BJ456">
        <v>11</v>
      </c>
      <c r="BK456">
        <v>4</v>
      </c>
      <c r="BL456">
        <v>16</v>
      </c>
      <c r="BM456">
        <v>0.5</v>
      </c>
      <c r="BN456">
        <v>1.6</v>
      </c>
      <c r="BO456">
        <v>1</v>
      </c>
      <c r="BP456">
        <v>2.2999999999999998</v>
      </c>
      <c r="BQ456">
        <v>3</v>
      </c>
      <c r="BR456">
        <v>3</v>
      </c>
      <c r="BS456">
        <v>2</v>
      </c>
      <c r="BT456">
        <v>1</v>
      </c>
      <c r="BU456">
        <v>1</v>
      </c>
      <c r="BV456">
        <v>2</v>
      </c>
      <c r="BW456">
        <v>0</v>
      </c>
      <c r="BX456">
        <v>0</v>
      </c>
      <c r="BY456">
        <v>6</v>
      </c>
      <c r="BZ456">
        <v>1.2</v>
      </c>
      <c r="CA456">
        <v>6</v>
      </c>
      <c r="CB456">
        <v>1.2</v>
      </c>
      <c r="CC456">
        <v>7</v>
      </c>
      <c r="CD456">
        <v>6</v>
      </c>
      <c r="CE456">
        <v>2</v>
      </c>
      <c r="CF456">
        <v>1</v>
      </c>
      <c r="CG456">
        <v>3</v>
      </c>
      <c r="CH456">
        <v>2</v>
      </c>
      <c r="CI456">
        <v>2</v>
      </c>
      <c r="CJ456">
        <v>3</v>
      </c>
      <c r="CK456">
        <v>10</v>
      </c>
      <c r="CL456">
        <v>5</v>
      </c>
      <c r="CM456">
        <v>12</v>
      </c>
      <c r="CN456">
        <v>11</v>
      </c>
      <c r="CO456">
        <v>1.4</v>
      </c>
      <c r="CP456">
        <v>0.8</v>
      </c>
      <c r="CQ456">
        <v>1.7</v>
      </c>
      <c r="CR456">
        <v>1.8</v>
      </c>
      <c r="CS456">
        <v>3</v>
      </c>
      <c r="CT456">
        <v>3</v>
      </c>
      <c r="CU456">
        <v>0</v>
      </c>
      <c r="CV456">
        <v>0</v>
      </c>
      <c r="CW456">
        <v>2</v>
      </c>
      <c r="CX456">
        <v>1</v>
      </c>
      <c r="CY456">
        <v>1</v>
      </c>
      <c r="CZ456">
        <v>2</v>
      </c>
    </row>
    <row r="457" spans="1:104" x14ac:dyDescent="0.25">
      <c r="A457" s="1" t="s">
        <v>2704</v>
      </c>
      <c r="B457">
        <v>1015</v>
      </c>
      <c r="C457">
        <v>2184</v>
      </c>
      <c r="D457" s="2">
        <v>43743</v>
      </c>
      <c r="E457" s="3">
        <f t="shared" si="21"/>
        <v>2019</v>
      </c>
      <c r="F457" s="3">
        <f t="shared" si="22"/>
        <v>10</v>
      </c>
      <c r="G457" s="3">
        <f t="shared" si="23"/>
        <v>7</v>
      </c>
      <c r="H457" t="s">
        <v>2705</v>
      </c>
      <c r="I457">
        <v>576</v>
      </c>
      <c r="J457" t="s">
        <v>761</v>
      </c>
      <c r="K457" t="s">
        <v>442</v>
      </c>
      <c r="L457">
        <v>2019</v>
      </c>
      <c r="M457" t="s">
        <v>122</v>
      </c>
      <c r="N457" t="s">
        <v>2705</v>
      </c>
      <c r="O457" t="s">
        <v>2706</v>
      </c>
      <c r="P457">
        <v>12500</v>
      </c>
      <c r="Q457" t="s">
        <v>442</v>
      </c>
      <c r="R457">
        <v>1970</v>
      </c>
      <c r="S457" t="s">
        <v>2707</v>
      </c>
      <c r="T457" t="s">
        <v>2708</v>
      </c>
      <c r="U457">
        <v>30084</v>
      </c>
      <c r="V457" t="s">
        <v>442</v>
      </c>
      <c r="W457">
        <v>1890</v>
      </c>
      <c r="X457">
        <v>2</v>
      </c>
      <c r="Z457">
        <v>-1.5</v>
      </c>
      <c r="AA457">
        <v>-3.5</v>
      </c>
      <c r="AB457">
        <v>10</v>
      </c>
      <c r="AC457">
        <v>45</v>
      </c>
      <c r="AD457">
        <v>45</v>
      </c>
      <c r="AE457">
        <v>44</v>
      </c>
      <c r="AF457">
        <v>56</v>
      </c>
      <c r="AG457">
        <v>36</v>
      </c>
      <c r="AH457">
        <v>64</v>
      </c>
      <c r="AI457">
        <v>40</v>
      </c>
      <c r="AJ457">
        <v>60</v>
      </c>
      <c r="AK457">
        <v>19</v>
      </c>
      <c r="AL457">
        <v>81</v>
      </c>
      <c r="AM457">
        <v>75</v>
      </c>
      <c r="AN457">
        <v>25</v>
      </c>
      <c r="AO457">
        <v>57</v>
      </c>
      <c r="AP457">
        <v>43</v>
      </c>
      <c r="AQ457">
        <v>27</v>
      </c>
      <c r="AR457">
        <v>29</v>
      </c>
      <c r="AS457">
        <v>36</v>
      </c>
      <c r="AT457">
        <v>33</v>
      </c>
      <c r="AU457">
        <v>50</v>
      </c>
      <c r="AV457">
        <v>57</v>
      </c>
      <c r="AW457">
        <v>4</v>
      </c>
      <c r="AX457">
        <v>0.8</v>
      </c>
      <c r="AY457">
        <v>9</v>
      </c>
      <c r="AZ457">
        <v>1.8</v>
      </c>
      <c r="BA457">
        <v>4</v>
      </c>
      <c r="BB457">
        <v>5</v>
      </c>
      <c r="BC457">
        <v>0</v>
      </c>
      <c r="BD457">
        <v>1</v>
      </c>
      <c r="BE457">
        <v>1</v>
      </c>
      <c r="BF457">
        <v>3</v>
      </c>
      <c r="BG457">
        <v>3</v>
      </c>
      <c r="BH457">
        <v>1</v>
      </c>
      <c r="BI457">
        <v>2</v>
      </c>
      <c r="BJ457">
        <v>7</v>
      </c>
      <c r="BK457">
        <v>8</v>
      </c>
      <c r="BL457">
        <v>7</v>
      </c>
      <c r="BM457">
        <v>0.5</v>
      </c>
      <c r="BN457">
        <v>1.4</v>
      </c>
      <c r="BO457">
        <v>2</v>
      </c>
      <c r="BP457">
        <v>1.4</v>
      </c>
      <c r="BQ457">
        <v>7</v>
      </c>
      <c r="BR457">
        <v>7</v>
      </c>
      <c r="BS457">
        <v>3</v>
      </c>
      <c r="BT457">
        <v>2</v>
      </c>
      <c r="BU457">
        <v>2</v>
      </c>
      <c r="BV457">
        <v>4</v>
      </c>
      <c r="BW457">
        <v>2</v>
      </c>
      <c r="BX457">
        <v>1</v>
      </c>
      <c r="BY457">
        <v>7</v>
      </c>
      <c r="BZ457">
        <v>1.4</v>
      </c>
      <c r="CA457">
        <v>6</v>
      </c>
      <c r="CB457">
        <v>1.2</v>
      </c>
      <c r="CC457">
        <v>5</v>
      </c>
      <c r="CD457">
        <v>4</v>
      </c>
      <c r="CE457">
        <v>1</v>
      </c>
      <c r="CF457">
        <v>1</v>
      </c>
      <c r="CG457">
        <v>3</v>
      </c>
      <c r="CH457">
        <v>1</v>
      </c>
      <c r="CI457">
        <v>1</v>
      </c>
      <c r="CJ457">
        <v>2</v>
      </c>
      <c r="CK457">
        <v>3</v>
      </c>
      <c r="CL457">
        <v>7</v>
      </c>
      <c r="CM457">
        <v>3</v>
      </c>
      <c r="CN457">
        <v>7</v>
      </c>
      <c r="CO457">
        <v>0.6</v>
      </c>
      <c r="CP457">
        <v>1.8</v>
      </c>
      <c r="CQ457">
        <v>0.6</v>
      </c>
      <c r="CR457">
        <v>1.8</v>
      </c>
      <c r="CS457">
        <v>7</v>
      </c>
      <c r="CT457">
        <v>7</v>
      </c>
      <c r="CU457">
        <v>1</v>
      </c>
      <c r="CV457">
        <v>2</v>
      </c>
      <c r="CW457">
        <v>4</v>
      </c>
      <c r="CX457">
        <v>2</v>
      </c>
      <c r="CY457">
        <v>2</v>
      </c>
      <c r="CZ457">
        <v>3</v>
      </c>
    </row>
    <row r="458" spans="1:104" x14ac:dyDescent="0.25">
      <c r="A458" s="1" t="s">
        <v>2709</v>
      </c>
      <c r="B458">
        <v>9909</v>
      </c>
      <c r="C458">
        <v>9903</v>
      </c>
      <c r="D458" s="2">
        <v>43723</v>
      </c>
      <c r="E458" s="3">
        <f t="shared" si="21"/>
        <v>2019</v>
      </c>
      <c r="F458" s="3">
        <f t="shared" si="22"/>
        <v>9</v>
      </c>
      <c r="G458" s="3">
        <f t="shared" si="23"/>
        <v>1</v>
      </c>
      <c r="H458" t="s">
        <v>2710</v>
      </c>
      <c r="I458">
        <v>1286</v>
      </c>
      <c r="J458" t="s">
        <v>2711</v>
      </c>
      <c r="K458" t="s">
        <v>380</v>
      </c>
      <c r="L458">
        <v>2019</v>
      </c>
      <c r="M458" t="s">
        <v>2712</v>
      </c>
      <c r="N458" t="s">
        <v>2710</v>
      </c>
      <c r="O458" t="s">
        <v>2713</v>
      </c>
      <c r="P458">
        <v>2500</v>
      </c>
      <c r="Q458" t="s">
        <v>380</v>
      </c>
      <c r="S458" t="s">
        <v>2714</v>
      </c>
      <c r="T458" t="s">
        <v>2715</v>
      </c>
      <c r="U458">
        <v>2000</v>
      </c>
      <c r="V458" t="s">
        <v>380</v>
      </c>
      <c r="X458">
        <v>2</v>
      </c>
      <c r="AA458">
        <v>-2.5</v>
      </c>
      <c r="AB458">
        <v>10</v>
      </c>
      <c r="AC458">
        <v>45</v>
      </c>
      <c r="AD458">
        <v>45</v>
      </c>
      <c r="AE458">
        <v>0</v>
      </c>
      <c r="AF458">
        <v>100</v>
      </c>
      <c r="AG458">
        <v>0</v>
      </c>
      <c r="AH458">
        <v>100</v>
      </c>
      <c r="AI458">
        <v>71</v>
      </c>
      <c r="AJ458">
        <v>29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78</v>
      </c>
      <c r="AT458">
        <v>44</v>
      </c>
      <c r="AU458">
        <v>56</v>
      </c>
      <c r="AV458">
        <v>44</v>
      </c>
      <c r="AW458">
        <v>0</v>
      </c>
      <c r="AX458">
        <v>0</v>
      </c>
      <c r="AY458">
        <v>2</v>
      </c>
      <c r="AZ458">
        <v>2</v>
      </c>
      <c r="BA458">
        <v>0</v>
      </c>
      <c r="BB458">
        <v>1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1</v>
      </c>
      <c r="BI458">
        <v>0</v>
      </c>
      <c r="BJ458">
        <v>0</v>
      </c>
      <c r="BK458">
        <v>0</v>
      </c>
      <c r="BL458">
        <v>2</v>
      </c>
      <c r="BM458">
        <v>0</v>
      </c>
      <c r="BN458">
        <v>0</v>
      </c>
      <c r="BO458">
        <v>0</v>
      </c>
      <c r="BP458">
        <v>2</v>
      </c>
      <c r="BQ458">
        <v>1</v>
      </c>
      <c r="BR458">
        <v>1</v>
      </c>
      <c r="BS458">
        <v>1</v>
      </c>
      <c r="BT458">
        <v>0</v>
      </c>
      <c r="BU458">
        <v>0</v>
      </c>
      <c r="BV458">
        <v>0</v>
      </c>
      <c r="BW458">
        <v>0</v>
      </c>
      <c r="BX458">
        <v>1</v>
      </c>
      <c r="BY458">
        <v>5</v>
      </c>
      <c r="BZ458">
        <v>1.7</v>
      </c>
      <c r="CA458">
        <v>5</v>
      </c>
      <c r="CB458">
        <v>1.7</v>
      </c>
      <c r="CC458">
        <v>2</v>
      </c>
      <c r="CD458">
        <v>1</v>
      </c>
      <c r="CE458">
        <v>1</v>
      </c>
      <c r="CF458">
        <v>0</v>
      </c>
      <c r="CG458">
        <v>0</v>
      </c>
      <c r="CH458">
        <v>1</v>
      </c>
      <c r="CI458">
        <v>1</v>
      </c>
      <c r="CJ458">
        <v>0</v>
      </c>
      <c r="CK458">
        <v>3</v>
      </c>
      <c r="CL458">
        <v>2</v>
      </c>
      <c r="CM458">
        <v>3</v>
      </c>
      <c r="CN458">
        <v>2</v>
      </c>
      <c r="CO458">
        <v>1.5</v>
      </c>
      <c r="CP458">
        <v>2</v>
      </c>
      <c r="CQ458">
        <v>1.5</v>
      </c>
      <c r="CR458">
        <v>2</v>
      </c>
      <c r="CS458">
        <v>1</v>
      </c>
      <c r="CT458">
        <v>1</v>
      </c>
      <c r="CU458">
        <v>1</v>
      </c>
      <c r="CV458">
        <v>0</v>
      </c>
      <c r="CW458">
        <v>0</v>
      </c>
      <c r="CX458">
        <v>0</v>
      </c>
      <c r="CY458">
        <v>0</v>
      </c>
      <c r="CZ458">
        <v>1</v>
      </c>
    </row>
    <row r="459" spans="1:104" x14ac:dyDescent="0.25">
      <c r="A459" s="1" t="s">
        <v>2716</v>
      </c>
      <c r="B459">
        <v>395</v>
      </c>
      <c r="C459">
        <v>4676</v>
      </c>
      <c r="D459" s="2">
        <v>43757</v>
      </c>
      <c r="E459" s="3">
        <f t="shared" si="21"/>
        <v>2019</v>
      </c>
      <c r="F459" s="3">
        <f t="shared" si="22"/>
        <v>10</v>
      </c>
      <c r="G459" s="3">
        <f t="shared" si="23"/>
        <v>7</v>
      </c>
      <c r="H459" t="s">
        <v>2717</v>
      </c>
      <c r="I459">
        <v>757</v>
      </c>
      <c r="J459" t="s">
        <v>2718</v>
      </c>
      <c r="K459" t="s">
        <v>113</v>
      </c>
      <c r="L459">
        <v>2019</v>
      </c>
      <c r="M459" t="s">
        <v>218</v>
      </c>
      <c r="N459" t="s">
        <v>2717</v>
      </c>
      <c r="O459" t="s">
        <v>2719</v>
      </c>
      <c r="P459">
        <v>10418</v>
      </c>
      <c r="Q459" t="s">
        <v>113</v>
      </c>
      <c r="R459">
        <v>1891</v>
      </c>
      <c r="S459" t="s">
        <v>2720</v>
      </c>
      <c r="T459" t="s">
        <v>2721</v>
      </c>
      <c r="U459">
        <v>10000</v>
      </c>
      <c r="V459" t="s">
        <v>113</v>
      </c>
      <c r="W459">
        <v>1895</v>
      </c>
      <c r="X459" t="s">
        <v>109</v>
      </c>
      <c r="Z459">
        <v>-2.5</v>
      </c>
      <c r="AA459">
        <v>-2.5</v>
      </c>
      <c r="AB459">
        <v>45</v>
      </c>
      <c r="AC459">
        <v>45</v>
      </c>
      <c r="AD459">
        <v>10</v>
      </c>
      <c r="AE459">
        <v>59</v>
      </c>
      <c r="AF459">
        <v>41</v>
      </c>
      <c r="AG459">
        <v>47</v>
      </c>
      <c r="AH459">
        <v>53</v>
      </c>
      <c r="AI459">
        <v>80</v>
      </c>
      <c r="AJ459">
        <v>20</v>
      </c>
      <c r="AK459">
        <v>62</v>
      </c>
      <c r="AL459">
        <v>38</v>
      </c>
      <c r="AM459">
        <v>20</v>
      </c>
      <c r="AN459">
        <v>80</v>
      </c>
      <c r="AO459">
        <v>33</v>
      </c>
      <c r="AP459">
        <v>67</v>
      </c>
      <c r="AQ459">
        <v>87</v>
      </c>
      <c r="AR459">
        <v>56</v>
      </c>
      <c r="AS459">
        <v>88</v>
      </c>
      <c r="AT459">
        <v>60</v>
      </c>
      <c r="AU459">
        <v>63</v>
      </c>
      <c r="AV459">
        <v>50</v>
      </c>
      <c r="AW459">
        <v>9</v>
      </c>
      <c r="AX459">
        <v>1.8</v>
      </c>
      <c r="AY459">
        <v>2</v>
      </c>
      <c r="AZ459">
        <v>0.4</v>
      </c>
      <c r="BA459">
        <v>7</v>
      </c>
      <c r="BB459">
        <v>5</v>
      </c>
      <c r="BC459">
        <v>5</v>
      </c>
      <c r="BD459">
        <v>2</v>
      </c>
      <c r="BE459">
        <v>0</v>
      </c>
      <c r="BF459">
        <v>3</v>
      </c>
      <c r="BG459">
        <v>2</v>
      </c>
      <c r="BH459">
        <v>0</v>
      </c>
      <c r="BI459">
        <v>14</v>
      </c>
      <c r="BJ459">
        <v>9</v>
      </c>
      <c r="BK459">
        <v>7</v>
      </c>
      <c r="BL459">
        <v>5</v>
      </c>
      <c r="BM459">
        <v>2</v>
      </c>
      <c r="BN459">
        <v>1.8</v>
      </c>
      <c r="BO459">
        <v>1</v>
      </c>
      <c r="BP459">
        <v>1</v>
      </c>
      <c r="BQ459">
        <v>1</v>
      </c>
      <c r="BR459">
        <v>3</v>
      </c>
      <c r="BS459">
        <v>1</v>
      </c>
      <c r="BT459">
        <v>1</v>
      </c>
      <c r="BU459">
        <v>0</v>
      </c>
      <c r="BV459">
        <v>1</v>
      </c>
      <c r="BW459">
        <v>0</v>
      </c>
      <c r="BX459">
        <v>1</v>
      </c>
      <c r="BY459">
        <v>10</v>
      </c>
      <c r="BZ459">
        <v>2</v>
      </c>
      <c r="CA459">
        <v>8</v>
      </c>
      <c r="CB459">
        <v>1.6</v>
      </c>
      <c r="CC459">
        <v>7</v>
      </c>
      <c r="CD459">
        <v>6</v>
      </c>
      <c r="CE459">
        <v>4</v>
      </c>
      <c r="CF459">
        <v>3</v>
      </c>
      <c r="CG459">
        <v>2</v>
      </c>
      <c r="CH459">
        <v>0</v>
      </c>
      <c r="CI459">
        <v>1</v>
      </c>
      <c r="CJ459">
        <v>3</v>
      </c>
      <c r="CK459">
        <v>15</v>
      </c>
      <c r="CL459">
        <v>11</v>
      </c>
      <c r="CM459">
        <v>10</v>
      </c>
      <c r="CN459">
        <v>11</v>
      </c>
      <c r="CO459">
        <v>2.1</v>
      </c>
      <c r="CP459">
        <v>1.8</v>
      </c>
      <c r="CQ459">
        <v>1.4</v>
      </c>
      <c r="CR459">
        <v>1.8</v>
      </c>
      <c r="CS459">
        <v>3</v>
      </c>
      <c r="CT459">
        <v>1</v>
      </c>
      <c r="CU459">
        <v>1</v>
      </c>
      <c r="CV459">
        <v>0</v>
      </c>
      <c r="CW459">
        <v>1</v>
      </c>
      <c r="CX459">
        <v>0</v>
      </c>
      <c r="CY459">
        <v>1</v>
      </c>
      <c r="CZ459">
        <v>1</v>
      </c>
    </row>
    <row r="460" spans="1:104" x14ac:dyDescent="0.25">
      <c r="A460" s="1" t="s">
        <v>2722</v>
      </c>
      <c r="B460">
        <v>4780</v>
      </c>
      <c r="C460">
        <v>763</v>
      </c>
      <c r="D460" s="2">
        <v>43729</v>
      </c>
      <c r="E460" s="3">
        <f t="shared" si="21"/>
        <v>2019</v>
      </c>
      <c r="F460" s="3">
        <f t="shared" si="22"/>
        <v>9</v>
      </c>
      <c r="G460" s="3">
        <f t="shared" si="23"/>
        <v>7</v>
      </c>
      <c r="H460" t="s">
        <v>2723</v>
      </c>
      <c r="I460">
        <v>1287</v>
      </c>
      <c r="J460" t="s">
        <v>255</v>
      </c>
      <c r="K460" t="s">
        <v>140</v>
      </c>
      <c r="L460">
        <v>2019</v>
      </c>
      <c r="M460" t="s">
        <v>2724</v>
      </c>
      <c r="N460" t="s">
        <v>2725</v>
      </c>
      <c r="O460" t="s">
        <v>2726</v>
      </c>
      <c r="P460">
        <v>3500</v>
      </c>
      <c r="Q460" t="s">
        <v>140</v>
      </c>
      <c r="R460">
        <v>1977</v>
      </c>
      <c r="S460" t="s">
        <v>1621</v>
      </c>
      <c r="T460" t="s">
        <v>1622</v>
      </c>
      <c r="U460">
        <v>2495</v>
      </c>
      <c r="V460" t="s">
        <v>140</v>
      </c>
      <c r="X460" t="s">
        <v>109</v>
      </c>
      <c r="Z460">
        <v>-2.5</v>
      </c>
      <c r="AA460">
        <v>-1.5</v>
      </c>
      <c r="AB460">
        <v>35</v>
      </c>
      <c r="AC460">
        <v>35</v>
      </c>
      <c r="AD460">
        <v>30</v>
      </c>
      <c r="AE460">
        <v>20</v>
      </c>
      <c r="AF460">
        <v>80</v>
      </c>
      <c r="AG460">
        <v>67</v>
      </c>
      <c r="AH460">
        <v>33</v>
      </c>
      <c r="AI460">
        <v>29</v>
      </c>
      <c r="AJ460">
        <v>71</v>
      </c>
      <c r="AK460">
        <v>100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8</v>
      </c>
      <c r="AR460">
        <v>31</v>
      </c>
      <c r="AS460">
        <v>8</v>
      </c>
      <c r="AT460">
        <v>44</v>
      </c>
      <c r="AU460">
        <v>15</v>
      </c>
      <c r="AV460">
        <v>62</v>
      </c>
      <c r="AW460">
        <v>4</v>
      </c>
      <c r="AX460">
        <v>1</v>
      </c>
      <c r="AY460">
        <v>12</v>
      </c>
      <c r="AZ460">
        <v>3</v>
      </c>
      <c r="BA460">
        <v>2</v>
      </c>
      <c r="BB460">
        <v>2</v>
      </c>
      <c r="BC460">
        <v>0</v>
      </c>
      <c r="BD460">
        <v>0</v>
      </c>
      <c r="BE460">
        <v>0</v>
      </c>
      <c r="BF460">
        <v>1</v>
      </c>
      <c r="BG460">
        <v>2</v>
      </c>
      <c r="BH460">
        <v>1</v>
      </c>
      <c r="BI460">
        <v>1</v>
      </c>
      <c r="BJ460">
        <v>3</v>
      </c>
      <c r="BK460">
        <v>7</v>
      </c>
      <c r="BL460">
        <v>5</v>
      </c>
      <c r="BM460">
        <v>0.5</v>
      </c>
      <c r="BN460">
        <v>1.5</v>
      </c>
      <c r="BO460">
        <v>3.5</v>
      </c>
      <c r="BP460">
        <v>2.5</v>
      </c>
      <c r="BQ460">
        <v>1</v>
      </c>
      <c r="BR460">
        <v>1</v>
      </c>
      <c r="BS460">
        <v>0</v>
      </c>
      <c r="BT460">
        <v>0</v>
      </c>
      <c r="BU460">
        <v>0</v>
      </c>
      <c r="BV460">
        <v>1</v>
      </c>
      <c r="BW460">
        <v>1</v>
      </c>
      <c r="BX460">
        <v>0</v>
      </c>
      <c r="BY460">
        <v>2</v>
      </c>
      <c r="BZ460">
        <v>0.7</v>
      </c>
      <c r="CA460">
        <v>5</v>
      </c>
      <c r="CB460">
        <v>1.7</v>
      </c>
      <c r="CC460">
        <v>2</v>
      </c>
      <c r="CD460">
        <v>1</v>
      </c>
      <c r="CE460">
        <v>1</v>
      </c>
      <c r="CF460">
        <v>0</v>
      </c>
      <c r="CG460">
        <v>1</v>
      </c>
      <c r="CH460">
        <v>0</v>
      </c>
      <c r="CI460">
        <v>0</v>
      </c>
      <c r="CJ460">
        <v>1</v>
      </c>
      <c r="CK460">
        <v>2</v>
      </c>
      <c r="CL460">
        <v>0</v>
      </c>
      <c r="CM460">
        <v>1</v>
      </c>
      <c r="CN460">
        <v>4</v>
      </c>
      <c r="CO460">
        <v>1</v>
      </c>
      <c r="CP460">
        <v>0</v>
      </c>
      <c r="CQ460">
        <v>0.5</v>
      </c>
      <c r="CR460">
        <v>4</v>
      </c>
      <c r="CS460">
        <v>1</v>
      </c>
      <c r="CT460">
        <v>1</v>
      </c>
      <c r="CU460">
        <v>0</v>
      </c>
      <c r="CV460">
        <v>1</v>
      </c>
      <c r="CW460">
        <v>1</v>
      </c>
      <c r="CX460">
        <v>0</v>
      </c>
      <c r="CY460">
        <v>0</v>
      </c>
      <c r="CZ460">
        <v>0</v>
      </c>
    </row>
    <row r="461" spans="1:104" x14ac:dyDescent="0.25">
      <c r="A461" s="1" t="s">
        <v>2727</v>
      </c>
      <c r="B461">
        <v>1436</v>
      </c>
      <c r="C461">
        <v>2624</v>
      </c>
      <c r="D461" s="2">
        <v>43687</v>
      </c>
      <c r="E461" s="3">
        <f t="shared" si="21"/>
        <v>2019</v>
      </c>
      <c r="F461" s="3">
        <f t="shared" si="22"/>
        <v>8</v>
      </c>
      <c r="G461" s="3">
        <f t="shared" si="23"/>
        <v>7</v>
      </c>
      <c r="H461" t="s">
        <v>2728</v>
      </c>
      <c r="I461">
        <v>360</v>
      </c>
      <c r="J461" t="s">
        <v>371</v>
      </c>
      <c r="K461" t="s">
        <v>372</v>
      </c>
      <c r="L461">
        <v>2019</v>
      </c>
      <c r="M461" t="s">
        <v>354</v>
      </c>
      <c r="N461" t="s">
        <v>2728</v>
      </c>
      <c r="O461" t="s">
        <v>2729</v>
      </c>
      <c r="P461">
        <v>36228</v>
      </c>
      <c r="Q461" t="s">
        <v>372</v>
      </c>
      <c r="R461">
        <v>2004</v>
      </c>
      <c r="S461" t="s">
        <v>2730</v>
      </c>
      <c r="T461" t="s">
        <v>2731</v>
      </c>
      <c r="U461">
        <v>12700</v>
      </c>
      <c r="V461" t="s">
        <v>372</v>
      </c>
      <c r="X461">
        <v>1</v>
      </c>
      <c r="Z461">
        <v>-4.5</v>
      </c>
      <c r="AA461">
        <v>-1.5</v>
      </c>
      <c r="AB461">
        <v>45</v>
      </c>
      <c r="AC461">
        <v>45</v>
      </c>
      <c r="AD461">
        <v>10</v>
      </c>
      <c r="AE461">
        <v>80</v>
      </c>
      <c r="AF461">
        <v>20</v>
      </c>
      <c r="AG461">
        <v>84</v>
      </c>
      <c r="AH461">
        <v>16</v>
      </c>
      <c r="AI461">
        <v>63</v>
      </c>
      <c r="AJ461">
        <v>38</v>
      </c>
      <c r="AK461">
        <v>0</v>
      </c>
      <c r="AL461">
        <v>0</v>
      </c>
      <c r="AM461">
        <v>50</v>
      </c>
      <c r="AN461">
        <v>50</v>
      </c>
      <c r="AO461">
        <v>50</v>
      </c>
      <c r="AP461">
        <v>50</v>
      </c>
      <c r="AQ461">
        <v>80</v>
      </c>
      <c r="AR461">
        <v>100</v>
      </c>
      <c r="AS461">
        <v>81</v>
      </c>
      <c r="AT461">
        <v>20</v>
      </c>
      <c r="AU461">
        <v>19</v>
      </c>
      <c r="AV461">
        <v>69</v>
      </c>
      <c r="AW461">
        <v>16</v>
      </c>
      <c r="AX461">
        <v>3.2</v>
      </c>
      <c r="AY461">
        <v>3</v>
      </c>
      <c r="AZ461">
        <v>0.6</v>
      </c>
      <c r="BA461">
        <v>11</v>
      </c>
      <c r="BB461">
        <v>9</v>
      </c>
      <c r="BC461">
        <v>7</v>
      </c>
      <c r="BD461">
        <v>2</v>
      </c>
      <c r="BE461">
        <v>2</v>
      </c>
      <c r="BF461">
        <v>3</v>
      </c>
      <c r="BG461">
        <v>2</v>
      </c>
      <c r="BH461">
        <v>4</v>
      </c>
      <c r="BI461">
        <v>26</v>
      </c>
      <c r="BJ461">
        <v>10</v>
      </c>
      <c r="BK461">
        <v>10</v>
      </c>
      <c r="BL461">
        <v>7</v>
      </c>
      <c r="BM461">
        <v>2.4</v>
      </c>
      <c r="BN461">
        <v>1.1000000000000001</v>
      </c>
      <c r="BO461">
        <v>0.9</v>
      </c>
      <c r="BP461">
        <v>0.8</v>
      </c>
      <c r="BQ461">
        <v>1</v>
      </c>
      <c r="BR461">
        <v>1</v>
      </c>
      <c r="BS461">
        <v>1</v>
      </c>
      <c r="BT461">
        <v>0</v>
      </c>
      <c r="BU461">
        <v>0</v>
      </c>
      <c r="BV461">
        <v>1</v>
      </c>
      <c r="BW461">
        <v>0</v>
      </c>
      <c r="BX461">
        <v>0</v>
      </c>
      <c r="BY461">
        <v>3</v>
      </c>
      <c r="BZ461">
        <v>0.6</v>
      </c>
      <c r="CA461">
        <v>5</v>
      </c>
      <c r="CB461">
        <v>1</v>
      </c>
      <c r="CC461">
        <v>10</v>
      </c>
      <c r="CD461">
        <v>10</v>
      </c>
      <c r="CE461">
        <v>3</v>
      </c>
      <c r="CF461">
        <v>1</v>
      </c>
      <c r="CG461">
        <v>2</v>
      </c>
      <c r="CH461">
        <v>4</v>
      </c>
      <c r="CI461">
        <v>5</v>
      </c>
      <c r="CJ461">
        <v>5</v>
      </c>
      <c r="CK461">
        <v>9</v>
      </c>
      <c r="CL461">
        <v>7</v>
      </c>
      <c r="CM461">
        <v>13</v>
      </c>
      <c r="CN461">
        <v>16</v>
      </c>
      <c r="CO461">
        <v>0.9</v>
      </c>
      <c r="CP461">
        <v>0.7</v>
      </c>
      <c r="CQ461">
        <v>1.3</v>
      </c>
      <c r="CR461">
        <v>1.6</v>
      </c>
      <c r="CS461">
        <v>1</v>
      </c>
      <c r="CT461">
        <v>1</v>
      </c>
      <c r="CU461">
        <v>0</v>
      </c>
      <c r="CV461">
        <v>0</v>
      </c>
      <c r="CW461">
        <v>1</v>
      </c>
      <c r="CX461">
        <v>0</v>
      </c>
      <c r="CY461">
        <v>0</v>
      </c>
      <c r="CZ461">
        <v>1</v>
      </c>
    </row>
    <row r="462" spans="1:104" x14ac:dyDescent="0.25">
      <c r="A462" s="1" t="s">
        <v>2732</v>
      </c>
      <c r="B462">
        <v>2636</v>
      </c>
      <c r="C462">
        <v>2651</v>
      </c>
      <c r="D462" s="2">
        <v>43765</v>
      </c>
      <c r="E462" s="3">
        <f t="shared" si="21"/>
        <v>2019</v>
      </c>
      <c r="F462" s="3">
        <f t="shared" si="22"/>
        <v>10</v>
      </c>
      <c r="G462" s="3">
        <f t="shared" si="23"/>
        <v>1</v>
      </c>
      <c r="H462" t="s">
        <v>2733</v>
      </c>
      <c r="I462">
        <v>575</v>
      </c>
      <c r="J462" t="s">
        <v>2320</v>
      </c>
      <c r="K462" t="s">
        <v>445</v>
      </c>
      <c r="L462">
        <v>2019</v>
      </c>
      <c r="M462" t="s">
        <v>173</v>
      </c>
      <c r="N462" t="s">
        <v>2733</v>
      </c>
      <c r="O462" t="s">
        <v>2734</v>
      </c>
      <c r="P462">
        <v>2500</v>
      </c>
      <c r="Q462" t="s">
        <v>445</v>
      </c>
      <c r="R462">
        <v>1919</v>
      </c>
      <c r="S462" t="s">
        <v>2448</v>
      </c>
      <c r="T462" t="s">
        <v>2735</v>
      </c>
      <c r="U462">
        <v>18000</v>
      </c>
      <c r="V462" t="s">
        <v>445</v>
      </c>
      <c r="X462" t="s">
        <v>109</v>
      </c>
      <c r="Y462">
        <v>-3.5</v>
      </c>
      <c r="Z462">
        <v>-1.5</v>
      </c>
      <c r="AA462">
        <v>-1.5</v>
      </c>
      <c r="AB462">
        <v>35</v>
      </c>
      <c r="AC462">
        <v>35</v>
      </c>
      <c r="AD462">
        <v>30</v>
      </c>
      <c r="AE462">
        <v>64</v>
      </c>
      <c r="AF462">
        <v>36</v>
      </c>
      <c r="AG462">
        <v>57</v>
      </c>
      <c r="AH462">
        <v>43</v>
      </c>
      <c r="AI462">
        <v>50</v>
      </c>
      <c r="AJ462">
        <v>50</v>
      </c>
      <c r="AK462">
        <v>70</v>
      </c>
      <c r="AL462">
        <v>30</v>
      </c>
      <c r="AM462">
        <v>0</v>
      </c>
      <c r="AN462">
        <v>100</v>
      </c>
      <c r="AO462">
        <v>33</v>
      </c>
      <c r="AP462">
        <v>67</v>
      </c>
      <c r="AQ462">
        <v>47</v>
      </c>
      <c r="AR462">
        <v>36</v>
      </c>
      <c r="AS462">
        <v>64</v>
      </c>
      <c r="AT462">
        <v>27</v>
      </c>
      <c r="AU462">
        <v>27</v>
      </c>
      <c r="AV462">
        <v>64</v>
      </c>
      <c r="AW462">
        <v>4</v>
      </c>
      <c r="AX462">
        <v>0.8</v>
      </c>
      <c r="AY462">
        <v>4</v>
      </c>
      <c r="AZ462">
        <v>0.8</v>
      </c>
      <c r="BA462">
        <v>7</v>
      </c>
      <c r="BB462">
        <v>8</v>
      </c>
      <c r="BC462">
        <v>4</v>
      </c>
      <c r="BD462">
        <v>2</v>
      </c>
      <c r="BE462">
        <v>2</v>
      </c>
      <c r="BF462">
        <v>1</v>
      </c>
      <c r="BG462">
        <v>1</v>
      </c>
      <c r="BH462">
        <v>5</v>
      </c>
      <c r="BI462">
        <v>7</v>
      </c>
      <c r="BJ462">
        <v>7</v>
      </c>
      <c r="BK462">
        <v>3</v>
      </c>
      <c r="BL462">
        <v>9</v>
      </c>
      <c r="BM462">
        <v>1</v>
      </c>
      <c r="BN462">
        <v>0.9</v>
      </c>
      <c r="BO462">
        <v>0.4</v>
      </c>
      <c r="BP462">
        <v>1.1000000000000001</v>
      </c>
      <c r="BQ462">
        <v>1</v>
      </c>
      <c r="BR462">
        <v>1</v>
      </c>
      <c r="BS462">
        <v>1</v>
      </c>
      <c r="BT462">
        <v>0</v>
      </c>
      <c r="BU462">
        <v>0</v>
      </c>
      <c r="BV462">
        <v>0</v>
      </c>
      <c r="BW462">
        <v>0</v>
      </c>
      <c r="BX462">
        <v>1</v>
      </c>
      <c r="BY462">
        <v>3</v>
      </c>
      <c r="BZ462">
        <v>0.6</v>
      </c>
      <c r="CA462">
        <v>4</v>
      </c>
      <c r="CB462">
        <v>0.8</v>
      </c>
      <c r="CC462">
        <v>8</v>
      </c>
      <c r="CD462">
        <v>7</v>
      </c>
      <c r="CE462">
        <v>2</v>
      </c>
      <c r="CF462">
        <v>1</v>
      </c>
      <c r="CG462">
        <v>4</v>
      </c>
      <c r="CH462">
        <v>4</v>
      </c>
      <c r="CI462">
        <v>2</v>
      </c>
      <c r="CJ462">
        <v>2</v>
      </c>
      <c r="CK462">
        <v>7</v>
      </c>
      <c r="CL462">
        <v>4</v>
      </c>
      <c r="CM462">
        <v>8</v>
      </c>
      <c r="CN462">
        <v>6</v>
      </c>
      <c r="CO462">
        <v>0.9</v>
      </c>
      <c r="CP462">
        <v>0.6</v>
      </c>
      <c r="CQ462">
        <v>1</v>
      </c>
      <c r="CR462">
        <v>0.9</v>
      </c>
      <c r="CS462">
        <v>1</v>
      </c>
      <c r="CT462">
        <v>1</v>
      </c>
      <c r="CU462">
        <v>1</v>
      </c>
      <c r="CV462">
        <v>0</v>
      </c>
      <c r="CW462">
        <v>0</v>
      </c>
      <c r="CX462">
        <v>0</v>
      </c>
      <c r="CY462">
        <v>0</v>
      </c>
      <c r="CZ462">
        <v>1</v>
      </c>
    </row>
    <row r="463" spans="1:104" x14ac:dyDescent="0.25">
      <c r="A463" s="1" t="s">
        <v>2736</v>
      </c>
      <c r="B463">
        <v>9879</v>
      </c>
      <c r="C463">
        <v>9882</v>
      </c>
      <c r="D463" s="2">
        <v>43765</v>
      </c>
      <c r="E463" s="3">
        <f t="shared" si="21"/>
        <v>2019</v>
      </c>
      <c r="F463" s="3">
        <f t="shared" si="22"/>
        <v>10</v>
      </c>
      <c r="G463" s="3">
        <f t="shared" si="23"/>
        <v>1</v>
      </c>
      <c r="H463" t="s">
        <v>2737</v>
      </c>
      <c r="I463">
        <v>1285</v>
      </c>
      <c r="J463" t="s">
        <v>397</v>
      </c>
      <c r="K463" t="s">
        <v>380</v>
      </c>
      <c r="L463">
        <v>2019</v>
      </c>
      <c r="M463" t="s">
        <v>2546</v>
      </c>
      <c r="N463" t="s">
        <v>2737</v>
      </c>
      <c r="O463" t="s">
        <v>2738</v>
      </c>
      <c r="P463">
        <v>5000</v>
      </c>
      <c r="Q463" t="s">
        <v>380</v>
      </c>
      <c r="R463">
        <v>1934</v>
      </c>
      <c r="S463" t="s">
        <v>2739</v>
      </c>
      <c r="T463" t="s">
        <v>2740</v>
      </c>
      <c r="U463">
        <v>2000</v>
      </c>
      <c r="V463" t="s">
        <v>380</v>
      </c>
      <c r="W463">
        <v>1969</v>
      </c>
      <c r="X463" t="s">
        <v>125</v>
      </c>
      <c r="Z463">
        <v>-2.5</v>
      </c>
      <c r="AA463">
        <v>-2.5</v>
      </c>
      <c r="AB463">
        <v>10</v>
      </c>
      <c r="AC463">
        <v>45</v>
      </c>
      <c r="AD463">
        <v>45</v>
      </c>
      <c r="AE463">
        <v>35</v>
      </c>
      <c r="AF463">
        <v>65</v>
      </c>
      <c r="AG463">
        <v>39</v>
      </c>
      <c r="AH463">
        <v>61</v>
      </c>
      <c r="AI463">
        <v>42</v>
      </c>
      <c r="AJ463">
        <v>58</v>
      </c>
      <c r="AK463">
        <v>39</v>
      </c>
      <c r="AL463">
        <v>61</v>
      </c>
      <c r="AM463">
        <v>0</v>
      </c>
      <c r="AN463">
        <v>0</v>
      </c>
      <c r="AO463">
        <v>0</v>
      </c>
      <c r="AP463">
        <v>0</v>
      </c>
      <c r="AQ463">
        <v>47</v>
      </c>
      <c r="AR463">
        <v>64</v>
      </c>
      <c r="AS463">
        <v>36</v>
      </c>
      <c r="AT463">
        <v>87</v>
      </c>
      <c r="AU463">
        <v>100</v>
      </c>
      <c r="AV463">
        <v>55</v>
      </c>
      <c r="AW463">
        <v>7</v>
      </c>
      <c r="AX463">
        <v>1.4</v>
      </c>
      <c r="AY463">
        <v>7</v>
      </c>
      <c r="AZ463">
        <v>1.4</v>
      </c>
      <c r="BA463">
        <v>5</v>
      </c>
      <c r="BB463">
        <v>5</v>
      </c>
      <c r="BC463">
        <v>2</v>
      </c>
      <c r="BD463">
        <v>1</v>
      </c>
      <c r="BE463">
        <v>0</v>
      </c>
      <c r="BF463">
        <v>1</v>
      </c>
      <c r="BG463">
        <v>3</v>
      </c>
      <c r="BH463">
        <v>3</v>
      </c>
      <c r="BI463">
        <v>3</v>
      </c>
      <c r="BJ463">
        <v>8</v>
      </c>
      <c r="BK463">
        <v>3</v>
      </c>
      <c r="BL463">
        <v>12</v>
      </c>
      <c r="BM463">
        <v>0.6</v>
      </c>
      <c r="BN463">
        <v>1.6</v>
      </c>
      <c r="BO463">
        <v>0.6</v>
      </c>
      <c r="BP463">
        <v>2.4</v>
      </c>
      <c r="BQ463">
        <v>1</v>
      </c>
      <c r="BR463">
        <v>0</v>
      </c>
      <c r="BS463">
        <v>1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11</v>
      </c>
      <c r="BZ463">
        <v>2.2000000000000002</v>
      </c>
      <c r="CA463">
        <v>5</v>
      </c>
      <c r="CB463">
        <v>1</v>
      </c>
      <c r="CC463">
        <v>4</v>
      </c>
      <c r="CD463">
        <v>5</v>
      </c>
      <c r="CE463">
        <v>3</v>
      </c>
      <c r="CF463">
        <v>2</v>
      </c>
      <c r="CG463">
        <v>1</v>
      </c>
      <c r="CH463">
        <v>2</v>
      </c>
      <c r="CI463">
        <v>0</v>
      </c>
      <c r="CJ463">
        <v>1</v>
      </c>
      <c r="CK463">
        <v>6</v>
      </c>
      <c r="CL463">
        <v>9</v>
      </c>
      <c r="CM463">
        <v>1</v>
      </c>
      <c r="CN463">
        <v>8</v>
      </c>
      <c r="CO463">
        <v>1.5</v>
      </c>
      <c r="CP463">
        <v>1.8</v>
      </c>
      <c r="CQ463">
        <v>0.3</v>
      </c>
      <c r="CR463">
        <v>1.6</v>
      </c>
      <c r="CS463">
        <v>0</v>
      </c>
      <c r="CT463">
        <v>1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1</v>
      </c>
    </row>
    <row r="464" spans="1:104" x14ac:dyDescent="0.25">
      <c r="A464" s="1" t="s">
        <v>2741</v>
      </c>
      <c r="B464">
        <v>797</v>
      </c>
      <c r="C464">
        <v>732</v>
      </c>
      <c r="D464" s="2">
        <v>43876</v>
      </c>
      <c r="E464" s="3">
        <f t="shared" si="21"/>
        <v>2020</v>
      </c>
      <c r="F464" s="3">
        <f t="shared" si="22"/>
        <v>2</v>
      </c>
      <c r="G464" s="3">
        <f t="shared" si="23"/>
        <v>7</v>
      </c>
      <c r="H464" t="s">
        <v>2742</v>
      </c>
      <c r="I464">
        <v>776</v>
      </c>
      <c r="J464" t="s">
        <v>578</v>
      </c>
      <c r="K464" t="s">
        <v>380</v>
      </c>
      <c r="L464">
        <v>2019</v>
      </c>
      <c r="M464" t="s">
        <v>373</v>
      </c>
      <c r="N464" t="s">
        <v>2742</v>
      </c>
      <c r="O464" t="s">
        <v>2743</v>
      </c>
      <c r="P464">
        <v>36017</v>
      </c>
      <c r="Q464" t="s">
        <v>380</v>
      </c>
      <c r="R464">
        <v>1923</v>
      </c>
      <c r="S464" t="s">
        <v>2744</v>
      </c>
      <c r="T464" t="s">
        <v>1517</v>
      </c>
      <c r="U464">
        <v>34596</v>
      </c>
      <c r="V464" t="s">
        <v>380</v>
      </c>
      <c r="W464">
        <v>1932</v>
      </c>
      <c r="X464" t="s">
        <v>125</v>
      </c>
      <c r="Y464">
        <v>-3.5</v>
      </c>
      <c r="Z464">
        <v>-2.5</v>
      </c>
      <c r="AA464">
        <v>-2.5</v>
      </c>
      <c r="AB464">
        <v>10</v>
      </c>
      <c r="AC464">
        <v>45</v>
      </c>
      <c r="AD464">
        <v>45</v>
      </c>
      <c r="AE464">
        <v>42</v>
      </c>
      <c r="AF464">
        <v>58</v>
      </c>
      <c r="AG464">
        <v>58</v>
      </c>
      <c r="AH464">
        <v>42</v>
      </c>
      <c r="AI464">
        <v>20</v>
      </c>
      <c r="AJ464">
        <v>80</v>
      </c>
      <c r="AK464">
        <v>47</v>
      </c>
      <c r="AL464">
        <v>53</v>
      </c>
      <c r="AM464">
        <v>40</v>
      </c>
      <c r="AN464">
        <v>60</v>
      </c>
      <c r="AO464">
        <v>45</v>
      </c>
      <c r="AP464">
        <v>55</v>
      </c>
      <c r="AQ464">
        <v>53</v>
      </c>
      <c r="AR464">
        <v>41</v>
      </c>
      <c r="AS464">
        <v>76</v>
      </c>
      <c r="AT464">
        <v>73</v>
      </c>
      <c r="AU464">
        <v>29</v>
      </c>
      <c r="AV464">
        <v>94</v>
      </c>
      <c r="AW464">
        <v>7</v>
      </c>
      <c r="AX464">
        <v>1.4</v>
      </c>
      <c r="AY464">
        <v>4</v>
      </c>
      <c r="AZ464">
        <v>0.8</v>
      </c>
      <c r="BA464">
        <v>13</v>
      </c>
      <c r="BB464">
        <v>14</v>
      </c>
      <c r="BC464">
        <v>4</v>
      </c>
      <c r="BD464">
        <v>6</v>
      </c>
      <c r="BE464">
        <v>6</v>
      </c>
      <c r="BF464">
        <v>4</v>
      </c>
      <c r="BG464">
        <v>3</v>
      </c>
      <c r="BH464">
        <v>4</v>
      </c>
      <c r="BI464">
        <v>17</v>
      </c>
      <c r="BJ464">
        <v>18</v>
      </c>
      <c r="BK464">
        <v>14</v>
      </c>
      <c r="BL464">
        <v>14</v>
      </c>
      <c r="BM464">
        <v>1.3</v>
      </c>
      <c r="BN464">
        <v>1.3</v>
      </c>
      <c r="BO464">
        <v>1.1000000000000001</v>
      </c>
      <c r="BP464">
        <v>1</v>
      </c>
      <c r="BQ464">
        <v>4</v>
      </c>
      <c r="BR464">
        <v>4</v>
      </c>
      <c r="BS464">
        <v>1</v>
      </c>
      <c r="BT464">
        <v>2</v>
      </c>
      <c r="BU464">
        <v>1</v>
      </c>
      <c r="BV464">
        <v>0</v>
      </c>
      <c r="BW464">
        <v>2</v>
      </c>
      <c r="BX464">
        <v>2</v>
      </c>
      <c r="BY464">
        <v>5</v>
      </c>
      <c r="BZ464">
        <v>1</v>
      </c>
      <c r="CA464">
        <v>1</v>
      </c>
      <c r="CB464">
        <v>0.2</v>
      </c>
      <c r="CC464">
        <v>14</v>
      </c>
      <c r="CD464">
        <v>12</v>
      </c>
      <c r="CE464">
        <v>7</v>
      </c>
      <c r="CF464">
        <v>5</v>
      </c>
      <c r="CG464">
        <v>4</v>
      </c>
      <c r="CH464">
        <v>4</v>
      </c>
      <c r="CI464">
        <v>3</v>
      </c>
      <c r="CJ464">
        <v>3</v>
      </c>
      <c r="CK464">
        <v>20</v>
      </c>
      <c r="CL464">
        <v>16</v>
      </c>
      <c r="CM464">
        <v>11</v>
      </c>
      <c r="CN464">
        <v>14</v>
      </c>
      <c r="CO464">
        <v>1.4</v>
      </c>
      <c r="CP464">
        <v>1.3</v>
      </c>
      <c r="CQ464">
        <v>0.8</v>
      </c>
      <c r="CR464">
        <v>1.2</v>
      </c>
      <c r="CS464">
        <v>4</v>
      </c>
      <c r="CT464">
        <v>4</v>
      </c>
      <c r="CU464">
        <v>2</v>
      </c>
      <c r="CV464">
        <v>2</v>
      </c>
      <c r="CW464">
        <v>0</v>
      </c>
      <c r="CX464">
        <v>1</v>
      </c>
      <c r="CY464">
        <v>2</v>
      </c>
      <c r="CZ464">
        <v>1</v>
      </c>
    </row>
    <row r="465" spans="1:104" x14ac:dyDescent="0.25">
      <c r="A465" s="1" t="s">
        <v>2745</v>
      </c>
      <c r="B465">
        <v>937</v>
      </c>
      <c r="C465">
        <v>920</v>
      </c>
      <c r="D465" s="2">
        <v>43879</v>
      </c>
      <c r="E465" s="3">
        <f t="shared" si="21"/>
        <v>2020</v>
      </c>
      <c r="F465" s="3">
        <f t="shared" si="22"/>
        <v>2</v>
      </c>
      <c r="G465" s="3">
        <f t="shared" si="23"/>
        <v>3</v>
      </c>
      <c r="H465" t="s">
        <v>2746</v>
      </c>
      <c r="I465">
        <v>904</v>
      </c>
      <c r="J465" t="s">
        <v>290</v>
      </c>
      <c r="K465" t="s">
        <v>1055</v>
      </c>
      <c r="L465">
        <v>2019</v>
      </c>
      <c r="M465" t="s">
        <v>173</v>
      </c>
      <c r="N465" t="s">
        <v>2746</v>
      </c>
      <c r="O465" t="s">
        <v>2747</v>
      </c>
      <c r="P465">
        <v>8000</v>
      </c>
      <c r="Q465" t="s">
        <v>1055</v>
      </c>
      <c r="R465">
        <v>1941</v>
      </c>
      <c r="S465" t="s">
        <v>2748</v>
      </c>
      <c r="T465" t="s">
        <v>2749</v>
      </c>
      <c r="U465">
        <v>19000</v>
      </c>
      <c r="V465" t="s">
        <v>1055</v>
      </c>
      <c r="X465" t="s">
        <v>109</v>
      </c>
      <c r="Z465">
        <v>-2.5</v>
      </c>
      <c r="AA465">
        <v>-1.5</v>
      </c>
      <c r="AB465">
        <v>45</v>
      </c>
      <c r="AC465">
        <v>45</v>
      </c>
      <c r="AD465">
        <v>10</v>
      </c>
      <c r="AE465">
        <v>67</v>
      </c>
      <c r="AF465">
        <v>33</v>
      </c>
      <c r="AG465">
        <v>42</v>
      </c>
      <c r="AH465">
        <v>58</v>
      </c>
      <c r="AI465">
        <v>73</v>
      </c>
      <c r="AJ465">
        <v>27</v>
      </c>
      <c r="AK465">
        <v>69</v>
      </c>
      <c r="AL465">
        <v>31</v>
      </c>
      <c r="AM465">
        <v>20</v>
      </c>
      <c r="AN465">
        <v>80</v>
      </c>
      <c r="AO465">
        <v>27</v>
      </c>
      <c r="AP465">
        <v>73</v>
      </c>
      <c r="AQ465">
        <v>53</v>
      </c>
      <c r="AR465">
        <v>31</v>
      </c>
      <c r="AS465">
        <v>81</v>
      </c>
      <c r="AT465">
        <v>27</v>
      </c>
      <c r="AU465">
        <v>44</v>
      </c>
      <c r="AV465">
        <v>50</v>
      </c>
      <c r="AW465">
        <v>5</v>
      </c>
      <c r="AX465">
        <v>1</v>
      </c>
      <c r="AY465">
        <v>3</v>
      </c>
      <c r="AZ465">
        <v>0.6</v>
      </c>
      <c r="BA465">
        <v>9</v>
      </c>
      <c r="BB465">
        <v>9</v>
      </c>
      <c r="BC465">
        <v>5</v>
      </c>
      <c r="BD465">
        <v>3</v>
      </c>
      <c r="BE465">
        <v>2</v>
      </c>
      <c r="BF465">
        <v>3</v>
      </c>
      <c r="BG465">
        <v>2</v>
      </c>
      <c r="BH465">
        <v>3</v>
      </c>
      <c r="BI465">
        <v>11</v>
      </c>
      <c r="BJ465">
        <v>10</v>
      </c>
      <c r="BK465">
        <v>7</v>
      </c>
      <c r="BL465">
        <v>10</v>
      </c>
      <c r="BM465">
        <v>1.2</v>
      </c>
      <c r="BN465">
        <v>1.1000000000000001</v>
      </c>
      <c r="BO465">
        <v>0.8</v>
      </c>
      <c r="BP465">
        <v>1.1000000000000001</v>
      </c>
      <c r="BQ465">
        <v>5</v>
      </c>
      <c r="BR465">
        <v>5</v>
      </c>
      <c r="BS465">
        <v>3</v>
      </c>
      <c r="BT465">
        <v>0</v>
      </c>
      <c r="BU465">
        <v>0</v>
      </c>
      <c r="BV465">
        <v>0</v>
      </c>
      <c r="BW465">
        <v>2</v>
      </c>
      <c r="BX465">
        <v>5</v>
      </c>
      <c r="BY465">
        <v>7</v>
      </c>
      <c r="BZ465">
        <v>1.4</v>
      </c>
      <c r="CA465">
        <v>8</v>
      </c>
      <c r="CB465">
        <v>1.6</v>
      </c>
      <c r="CC465">
        <v>9</v>
      </c>
      <c r="CD465">
        <v>9</v>
      </c>
      <c r="CE465">
        <v>6</v>
      </c>
      <c r="CF465">
        <v>0</v>
      </c>
      <c r="CG465">
        <v>1</v>
      </c>
      <c r="CH465">
        <v>1</v>
      </c>
      <c r="CI465">
        <v>2</v>
      </c>
      <c r="CJ465">
        <v>8</v>
      </c>
      <c r="CK465">
        <v>13</v>
      </c>
      <c r="CL465">
        <v>4</v>
      </c>
      <c r="CM465">
        <v>6</v>
      </c>
      <c r="CN465">
        <v>12</v>
      </c>
      <c r="CO465">
        <v>1.4</v>
      </c>
      <c r="CP465">
        <v>0.4</v>
      </c>
      <c r="CQ465">
        <v>0.7</v>
      </c>
      <c r="CR465">
        <v>1.3</v>
      </c>
      <c r="CS465">
        <v>5</v>
      </c>
      <c r="CT465">
        <v>5</v>
      </c>
      <c r="CU465">
        <v>5</v>
      </c>
      <c r="CV465">
        <v>2</v>
      </c>
      <c r="CW465">
        <v>0</v>
      </c>
      <c r="CX465">
        <v>0</v>
      </c>
      <c r="CY465">
        <v>0</v>
      </c>
      <c r="CZ465">
        <v>3</v>
      </c>
    </row>
    <row r="466" spans="1:104" x14ac:dyDescent="0.25">
      <c r="A466" s="1" t="s">
        <v>2750</v>
      </c>
      <c r="B466">
        <v>7293</v>
      </c>
      <c r="C466">
        <v>7294</v>
      </c>
      <c r="D466" s="2">
        <v>44073</v>
      </c>
      <c r="E466" s="3">
        <f t="shared" si="21"/>
        <v>2020</v>
      </c>
      <c r="F466" s="3">
        <f t="shared" si="22"/>
        <v>8</v>
      </c>
      <c r="G466" s="3">
        <f t="shared" si="23"/>
        <v>1</v>
      </c>
      <c r="H466" t="s">
        <v>2751</v>
      </c>
      <c r="I466">
        <v>2904</v>
      </c>
      <c r="J466" t="s">
        <v>2752</v>
      </c>
      <c r="K466" t="s">
        <v>121</v>
      </c>
      <c r="L466">
        <v>2020</v>
      </c>
      <c r="M466" t="s">
        <v>2753</v>
      </c>
      <c r="N466" t="s">
        <v>2751</v>
      </c>
      <c r="O466" t="s">
        <v>2754</v>
      </c>
      <c r="P466">
        <v>10400</v>
      </c>
      <c r="Q466" t="s">
        <v>121</v>
      </c>
      <c r="S466" t="s">
        <v>2755</v>
      </c>
      <c r="T466" t="s">
        <v>2756</v>
      </c>
      <c r="U466">
        <v>1500</v>
      </c>
      <c r="V466" t="s">
        <v>121</v>
      </c>
      <c r="X466" t="s">
        <v>109</v>
      </c>
      <c r="Z466">
        <v>-2.5</v>
      </c>
      <c r="AA466">
        <v>-1.5</v>
      </c>
      <c r="AB466">
        <v>45</v>
      </c>
      <c r="AC466">
        <v>45</v>
      </c>
      <c r="AD466">
        <v>10</v>
      </c>
      <c r="AE466">
        <v>100</v>
      </c>
      <c r="AF466">
        <v>0</v>
      </c>
      <c r="AG466">
        <v>57</v>
      </c>
      <c r="AH466">
        <v>43</v>
      </c>
      <c r="AI466">
        <v>73</v>
      </c>
      <c r="AJ466">
        <v>27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44</v>
      </c>
      <c r="AR466">
        <v>24</v>
      </c>
      <c r="AS466">
        <v>76</v>
      </c>
      <c r="AT466">
        <v>0</v>
      </c>
      <c r="AU466">
        <v>18</v>
      </c>
      <c r="AV466">
        <v>35</v>
      </c>
      <c r="AW466">
        <v>4</v>
      </c>
      <c r="AX466">
        <v>1.3</v>
      </c>
      <c r="AY466">
        <v>4</v>
      </c>
      <c r="AZ466">
        <v>1.3</v>
      </c>
      <c r="BA466">
        <v>1</v>
      </c>
      <c r="BB466">
        <v>2</v>
      </c>
      <c r="BC466">
        <v>0</v>
      </c>
      <c r="BD466">
        <v>1</v>
      </c>
      <c r="BE466">
        <v>0</v>
      </c>
      <c r="BF466">
        <v>1</v>
      </c>
      <c r="BG466">
        <v>1</v>
      </c>
      <c r="BH466">
        <v>0</v>
      </c>
      <c r="BI466">
        <v>0</v>
      </c>
      <c r="BJ466">
        <v>4</v>
      </c>
      <c r="BK466">
        <v>2</v>
      </c>
      <c r="BL466">
        <v>2</v>
      </c>
      <c r="BM466">
        <v>0</v>
      </c>
      <c r="BN466">
        <v>2</v>
      </c>
      <c r="BO466">
        <v>2</v>
      </c>
      <c r="BP466">
        <v>1</v>
      </c>
      <c r="BQ466">
        <v>1</v>
      </c>
      <c r="BR466">
        <v>0</v>
      </c>
      <c r="BS466">
        <v>1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3</v>
      </c>
      <c r="BZ466">
        <v>1</v>
      </c>
      <c r="CA466">
        <v>11</v>
      </c>
      <c r="CB466">
        <v>3.7</v>
      </c>
      <c r="CC466">
        <v>2</v>
      </c>
      <c r="CD466">
        <v>1</v>
      </c>
      <c r="CE466">
        <v>0</v>
      </c>
      <c r="CF466">
        <v>0</v>
      </c>
      <c r="CG466">
        <v>0</v>
      </c>
      <c r="CH466">
        <v>0</v>
      </c>
      <c r="CI466">
        <v>2</v>
      </c>
      <c r="CJ466">
        <v>1</v>
      </c>
      <c r="CK466">
        <v>3</v>
      </c>
      <c r="CL466">
        <v>0</v>
      </c>
      <c r="CM466">
        <v>7</v>
      </c>
      <c r="CN466">
        <v>4</v>
      </c>
      <c r="CO466">
        <v>1.5</v>
      </c>
      <c r="CP466">
        <v>0</v>
      </c>
      <c r="CQ466">
        <v>3.5</v>
      </c>
      <c r="CR466">
        <v>4</v>
      </c>
      <c r="CS466">
        <v>0</v>
      </c>
      <c r="CT466">
        <v>1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1</v>
      </c>
    </row>
    <row r="467" spans="1:104" x14ac:dyDescent="0.25">
      <c r="A467" s="1" t="s">
        <v>2757</v>
      </c>
      <c r="B467">
        <v>12457</v>
      </c>
      <c r="C467">
        <v>12460</v>
      </c>
      <c r="D467" s="2">
        <v>43747</v>
      </c>
      <c r="E467" s="3">
        <f t="shared" si="21"/>
        <v>2019</v>
      </c>
      <c r="F467" s="3">
        <f t="shared" si="22"/>
        <v>10</v>
      </c>
      <c r="G467" s="3">
        <f t="shared" si="23"/>
        <v>4</v>
      </c>
      <c r="H467" t="s">
        <v>2758</v>
      </c>
      <c r="I467">
        <v>2165</v>
      </c>
      <c r="J467" t="s">
        <v>320</v>
      </c>
      <c r="K467" t="s">
        <v>2759</v>
      </c>
      <c r="L467">
        <v>2019</v>
      </c>
      <c r="M467" t="s">
        <v>828</v>
      </c>
      <c r="N467" t="s">
        <v>2760</v>
      </c>
      <c r="O467" t="s">
        <v>2761</v>
      </c>
      <c r="P467">
        <v>1000</v>
      </c>
      <c r="Q467" t="s">
        <v>2759</v>
      </c>
      <c r="R467">
        <v>1975</v>
      </c>
      <c r="S467" t="s">
        <v>2762</v>
      </c>
      <c r="T467" t="s">
        <v>2763</v>
      </c>
      <c r="U467">
        <v>1500</v>
      </c>
      <c r="V467" t="s">
        <v>2759</v>
      </c>
      <c r="X467" t="s">
        <v>109</v>
      </c>
      <c r="Y467">
        <v>-3.5</v>
      </c>
      <c r="Z467">
        <v>-2.5</v>
      </c>
      <c r="AA467">
        <v>-1.5</v>
      </c>
      <c r="AB467">
        <v>45</v>
      </c>
      <c r="AC467">
        <v>45</v>
      </c>
      <c r="AD467">
        <v>10</v>
      </c>
      <c r="AE467">
        <v>56</v>
      </c>
      <c r="AF467">
        <v>44</v>
      </c>
      <c r="AG467">
        <v>60</v>
      </c>
      <c r="AH467">
        <v>40</v>
      </c>
      <c r="AI467">
        <v>67</v>
      </c>
      <c r="AJ467">
        <v>33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60</v>
      </c>
      <c r="AR467">
        <v>55</v>
      </c>
      <c r="AS467">
        <v>82</v>
      </c>
      <c r="AT467">
        <v>47</v>
      </c>
      <c r="AU467">
        <v>36</v>
      </c>
      <c r="AV467">
        <v>64</v>
      </c>
      <c r="AW467">
        <v>6</v>
      </c>
      <c r="AX467">
        <v>1.2</v>
      </c>
      <c r="AY467">
        <v>2</v>
      </c>
      <c r="AZ467">
        <v>0.4</v>
      </c>
      <c r="BA467">
        <v>3</v>
      </c>
      <c r="BB467">
        <v>4</v>
      </c>
      <c r="BC467">
        <v>1</v>
      </c>
      <c r="BD467">
        <v>2</v>
      </c>
      <c r="BE467">
        <v>2</v>
      </c>
      <c r="BF467">
        <v>1</v>
      </c>
      <c r="BG467">
        <v>0</v>
      </c>
      <c r="BH467">
        <v>1</v>
      </c>
      <c r="BI467">
        <v>4</v>
      </c>
      <c r="BJ467">
        <v>5</v>
      </c>
      <c r="BK467">
        <v>2</v>
      </c>
      <c r="BL467">
        <v>2</v>
      </c>
      <c r="BM467">
        <v>1.3</v>
      </c>
      <c r="BN467">
        <v>1.3</v>
      </c>
      <c r="BO467">
        <v>0.7</v>
      </c>
      <c r="BP467">
        <v>0.5</v>
      </c>
      <c r="BQ467">
        <v>1</v>
      </c>
      <c r="BR467">
        <v>0</v>
      </c>
      <c r="BS467">
        <v>1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4</v>
      </c>
      <c r="BZ467">
        <v>0.8</v>
      </c>
      <c r="CA467">
        <v>4</v>
      </c>
      <c r="CB467">
        <v>0.8</v>
      </c>
      <c r="CC467">
        <v>4</v>
      </c>
      <c r="CD467">
        <v>3</v>
      </c>
      <c r="CE467">
        <v>3</v>
      </c>
      <c r="CF467">
        <v>0</v>
      </c>
      <c r="CG467">
        <v>0</v>
      </c>
      <c r="CH467">
        <v>1</v>
      </c>
      <c r="CI467">
        <v>1</v>
      </c>
      <c r="CJ467">
        <v>2</v>
      </c>
      <c r="CK467">
        <v>6</v>
      </c>
      <c r="CL467">
        <v>1</v>
      </c>
      <c r="CM467">
        <v>3</v>
      </c>
      <c r="CN467">
        <v>3</v>
      </c>
      <c r="CO467">
        <v>1.5</v>
      </c>
      <c r="CP467">
        <v>0.3</v>
      </c>
      <c r="CQ467">
        <v>0.8</v>
      </c>
      <c r="CR467">
        <v>1</v>
      </c>
      <c r="CS467">
        <v>0</v>
      </c>
      <c r="CT467">
        <v>1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1</v>
      </c>
    </row>
    <row r="468" spans="1:104" x14ac:dyDescent="0.25">
      <c r="A468" s="1" t="s">
        <v>2764</v>
      </c>
      <c r="B468">
        <v>2580</v>
      </c>
      <c r="C468">
        <v>6916</v>
      </c>
      <c r="D468" s="2">
        <v>44079</v>
      </c>
      <c r="E468" s="3">
        <f t="shared" si="21"/>
        <v>2020</v>
      </c>
      <c r="F468" s="3">
        <f t="shared" si="22"/>
        <v>9</v>
      </c>
      <c r="G468" s="3">
        <f t="shared" si="23"/>
        <v>7</v>
      </c>
      <c r="H468" t="s">
        <v>2765</v>
      </c>
      <c r="I468">
        <v>2814</v>
      </c>
      <c r="J468" t="s">
        <v>1706</v>
      </c>
      <c r="K468" t="s">
        <v>1707</v>
      </c>
      <c r="L468">
        <v>2020</v>
      </c>
      <c r="M468" t="s">
        <v>405</v>
      </c>
      <c r="N468" t="s">
        <v>1705</v>
      </c>
      <c r="O468" t="s">
        <v>1708</v>
      </c>
      <c r="P468">
        <v>5123</v>
      </c>
      <c r="Q468" t="s">
        <v>1707</v>
      </c>
      <c r="R468">
        <v>1957</v>
      </c>
      <c r="S468" t="s">
        <v>2766</v>
      </c>
      <c r="T468" t="s">
        <v>2767</v>
      </c>
      <c r="U468">
        <v>6000</v>
      </c>
      <c r="V468" t="s">
        <v>1707</v>
      </c>
      <c r="W468">
        <v>2004</v>
      </c>
      <c r="X468" t="s">
        <v>125</v>
      </c>
      <c r="Y468">
        <v>-3.5</v>
      </c>
      <c r="Z468">
        <v>-1.5</v>
      </c>
      <c r="AA468">
        <v>-1.5</v>
      </c>
      <c r="AB468">
        <v>10</v>
      </c>
      <c r="AC468">
        <v>45</v>
      </c>
      <c r="AD468">
        <v>45</v>
      </c>
      <c r="AE468">
        <v>25</v>
      </c>
      <c r="AF468">
        <v>75</v>
      </c>
      <c r="AG468">
        <v>50</v>
      </c>
      <c r="AH468">
        <v>50</v>
      </c>
      <c r="AI468">
        <v>0</v>
      </c>
      <c r="AJ468">
        <v>100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33</v>
      </c>
      <c r="AR468">
        <v>9</v>
      </c>
      <c r="AS468">
        <v>91</v>
      </c>
      <c r="AT468">
        <v>100</v>
      </c>
      <c r="AU468">
        <v>9</v>
      </c>
      <c r="AV468">
        <v>100</v>
      </c>
      <c r="AW468">
        <v>1</v>
      </c>
      <c r="AX468">
        <v>1</v>
      </c>
      <c r="AY468">
        <v>1</v>
      </c>
      <c r="AZ468">
        <v>1</v>
      </c>
      <c r="BA468">
        <v>0</v>
      </c>
      <c r="BB468">
        <v>1</v>
      </c>
      <c r="BC468">
        <v>0</v>
      </c>
      <c r="BD468">
        <v>0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1</v>
      </c>
      <c r="BK468">
        <v>0</v>
      </c>
      <c r="BL468">
        <v>1</v>
      </c>
      <c r="BM468">
        <v>0</v>
      </c>
      <c r="BN468">
        <v>1</v>
      </c>
      <c r="BO468">
        <v>0</v>
      </c>
      <c r="BP468">
        <v>1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</v>
      </c>
      <c r="BZ468">
        <v>1</v>
      </c>
      <c r="CA468">
        <v>0</v>
      </c>
      <c r="CB468">
        <v>0</v>
      </c>
      <c r="CC468">
        <v>1</v>
      </c>
      <c r="CD468">
        <v>0</v>
      </c>
      <c r="CE468">
        <v>1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1</v>
      </c>
      <c r="CL468">
        <v>0</v>
      </c>
      <c r="CM468">
        <v>0</v>
      </c>
      <c r="CN468">
        <v>0</v>
      </c>
      <c r="CO468">
        <v>1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</row>
    <row r="469" spans="1:104" x14ac:dyDescent="0.25">
      <c r="A469" s="1" t="s">
        <v>2768</v>
      </c>
      <c r="B469">
        <v>1383</v>
      </c>
      <c r="C469">
        <v>6760</v>
      </c>
      <c r="D469" s="2">
        <v>43792</v>
      </c>
      <c r="E469" s="3">
        <f t="shared" si="21"/>
        <v>2019</v>
      </c>
      <c r="F469" s="3">
        <f t="shared" si="22"/>
        <v>11</v>
      </c>
      <c r="G469" s="3">
        <f t="shared" si="23"/>
        <v>7</v>
      </c>
      <c r="H469" t="s">
        <v>1871</v>
      </c>
      <c r="I469">
        <v>945</v>
      </c>
      <c r="J469" t="s">
        <v>526</v>
      </c>
      <c r="K469" t="s">
        <v>1029</v>
      </c>
      <c r="L469">
        <v>2019</v>
      </c>
      <c r="M469" t="s">
        <v>1713</v>
      </c>
      <c r="N469" t="s">
        <v>1871</v>
      </c>
      <c r="O469" t="s">
        <v>1872</v>
      </c>
      <c r="P469">
        <v>11612</v>
      </c>
      <c r="Q469" t="s">
        <v>1029</v>
      </c>
      <c r="R469">
        <v>1874</v>
      </c>
      <c r="S469" t="s">
        <v>2769</v>
      </c>
      <c r="T469" t="s">
        <v>2770</v>
      </c>
      <c r="U469">
        <v>4000</v>
      </c>
      <c r="V469" t="s">
        <v>1029</v>
      </c>
      <c r="W469">
        <v>1879</v>
      </c>
      <c r="X469">
        <v>2</v>
      </c>
      <c r="Y469">
        <v>3.5</v>
      </c>
      <c r="AA469">
        <v>-7.5</v>
      </c>
      <c r="AB469">
        <v>0</v>
      </c>
      <c r="AC469">
        <v>50</v>
      </c>
      <c r="AD469">
        <v>50</v>
      </c>
      <c r="AE469">
        <v>0</v>
      </c>
      <c r="AF469">
        <v>100</v>
      </c>
      <c r="AG469">
        <v>0</v>
      </c>
      <c r="AH469">
        <v>100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100</v>
      </c>
      <c r="AU469">
        <v>47</v>
      </c>
      <c r="AV469">
        <v>100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1</v>
      </c>
      <c r="BR469">
        <v>1</v>
      </c>
      <c r="BS469">
        <v>0</v>
      </c>
      <c r="BT469">
        <v>1</v>
      </c>
      <c r="BU469">
        <v>1</v>
      </c>
      <c r="BV469">
        <v>0</v>
      </c>
      <c r="BW469">
        <v>0</v>
      </c>
      <c r="BX469">
        <v>0</v>
      </c>
      <c r="BY469">
        <v>7</v>
      </c>
      <c r="BZ469">
        <v>7</v>
      </c>
      <c r="CA469">
        <v>0</v>
      </c>
      <c r="CB469">
        <v>0</v>
      </c>
      <c r="CC469">
        <v>0</v>
      </c>
      <c r="CD469">
        <v>1</v>
      </c>
      <c r="CE469">
        <v>0</v>
      </c>
      <c r="CF469">
        <v>1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7</v>
      </c>
      <c r="CM469">
        <v>0</v>
      </c>
      <c r="CN469">
        <v>0</v>
      </c>
      <c r="CO469">
        <v>0</v>
      </c>
      <c r="CP469">
        <v>7</v>
      </c>
      <c r="CQ469">
        <v>0</v>
      </c>
      <c r="CR469">
        <v>0</v>
      </c>
      <c r="CS469">
        <v>1</v>
      </c>
      <c r="CT469">
        <v>1</v>
      </c>
      <c r="CU469">
        <v>0</v>
      </c>
      <c r="CV469">
        <v>0</v>
      </c>
      <c r="CW469">
        <v>0</v>
      </c>
      <c r="CX469">
        <v>1</v>
      </c>
      <c r="CY469">
        <v>1</v>
      </c>
      <c r="CZ469">
        <v>0</v>
      </c>
    </row>
    <row r="470" spans="1:104" x14ac:dyDescent="0.25">
      <c r="A470" s="1" t="s">
        <v>2771</v>
      </c>
      <c r="B470">
        <v>1077</v>
      </c>
      <c r="C470">
        <v>596</v>
      </c>
      <c r="D470" s="2">
        <v>43779</v>
      </c>
      <c r="E470" s="3">
        <f t="shared" si="21"/>
        <v>2019</v>
      </c>
      <c r="F470" s="3">
        <f t="shared" si="22"/>
        <v>11</v>
      </c>
      <c r="G470" s="3">
        <f t="shared" si="23"/>
        <v>1</v>
      </c>
      <c r="H470" t="s">
        <v>2129</v>
      </c>
      <c r="I470">
        <v>511</v>
      </c>
      <c r="J470" t="s">
        <v>320</v>
      </c>
      <c r="K470" t="s">
        <v>279</v>
      </c>
      <c r="L470">
        <v>2019</v>
      </c>
      <c r="M470" t="s">
        <v>173</v>
      </c>
      <c r="N470" t="s">
        <v>2129</v>
      </c>
      <c r="O470" t="s">
        <v>2130</v>
      </c>
      <c r="P470">
        <v>20048</v>
      </c>
      <c r="Q470" t="s">
        <v>279</v>
      </c>
      <c r="R470">
        <v>2008</v>
      </c>
      <c r="S470" t="s">
        <v>2772</v>
      </c>
      <c r="T470" t="s">
        <v>2773</v>
      </c>
      <c r="U470">
        <v>68134</v>
      </c>
      <c r="V470" t="s">
        <v>279</v>
      </c>
      <c r="W470">
        <v>1925</v>
      </c>
      <c r="X470">
        <v>2</v>
      </c>
      <c r="Z470">
        <v>-1.5</v>
      </c>
      <c r="AA470">
        <v>-3.5</v>
      </c>
      <c r="AB470">
        <v>10</v>
      </c>
      <c r="AC470">
        <v>45</v>
      </c>
      <c r="AD470">
        <v>45</v>
      </c>
      <c r="AE470">
        <v>33</v>
      </c>
      <c r="AF470">
        <v>67</v>
      </c>
      <c r="AG470">
        <v>25</v>
      </c>
      <c r="AH470">
        <v>75</v>
      </c>
      <c r="AI470">
        <v>40</v>
      </c>
      <c r="AJ470">
        <v>60</v>
      </c>
      <c r="AK470">
        <v>18</v>
      </c>
      <c r="AL470">
        <v>82</v>
      </c>
      <c r="AM470">
        <v>50</v>
      </c>
      <c r="AN470">
        <v>50</v>
      </c>
      <c r="AO470">
        <v>50</v>
      </c>
      <c r="AP470">
        <v>50</v>
      </c>
      <c r="AQ470">
        <v>33</v>
      </c>
      <c r="AR470">
        <v>67</v>
      </c>
      <c r="AS470">
        <v>0</v>
      </c>
      <c r="AT470">
        <v>67</v>
      </c>
      <c r="AU470">
        <v>100</v>
      </c>
      <c r="AV470">
        <v>33</v>
      </c>
      <c r="AW470">
        <v>4</v>
      </c>
      <c r="AX470">
        <v>0.8</v>
      </c>
      <c r="AY470">
        <v>6</v>
      </c>
      <c r="AZ470">
        <v>1.2</v>
      </c>
      <c r="BA470">
        <v>7</v>
      </c>
      <c r="BB470">
        <v>8</v>
      </c>
      <c r="BC470">
        <v>2</v>
      </c>
      <c r="BD470">
        <v>3</v>
      </c>
      <c r="BE470">
        <v>3</v>
      </c>
      <c r="BF470">
        <v>1</v>
      </c>
      <c r="BG470">
        <v>2</v>
      </c>
      <c r="BH470">
        <v>4</v>
      </c>
      <c r="BI470">
        <v>9</v>
      </c>
      <c r="BJ470">
        <v>8</v>
      </c>
      <c r="BK470">
        <v>9</v>
      </c>
      <c r="BL470">
        <v>11</v>
      </c>
      <c r="BM470">
        <v>1.3</v>
      </c>
      <c r="BN470">
        <v>1</v>
      </c>
      <c r="BO470">
        <v>1.3</v>
      </c>
      <c r="BP470">
        <v>1.4</v>
      </c>
      <c r="BQ470">
        <v>4</v>
      </c>
      <c r="BR470">
        <v>4</v>
      </c>
      <c r="BS470">
        <v>1</v>
      </c>
      <c r="BT470">
        <v>1</v>
      </c>
      <c r="BU470">
        <v>1</v>
      </c>
      <c r="BV470">
        <v>0</v>
      </c>
      <c r="BW470">
        <v>2</v>
      </c>
      <c r="BX470">
        <v>3</v>
      </c>
      <c r="BY470">
        <v>12</v>
      </c>
      <c r="BZ470">
        <v>2.4</v>
      </c>
      <c r="CA470">
        <v>4</v>
      </c>
      <c r="CB470">
        <v>0.8</v>
      </c>
      <c r="CC470">
        <v>7</v>
      </c>
      <c r="CD470">
        <v>8</v>
      </c>
      <c r="CE470">
        <v>4</v>
      </c>
      <c r="CF470">
        <v>6</v>
      </c>
      <c r="CG470">
        <v>3</v>
      </c>
      <c r="CH470">
        <v>0</v>
      </c>
      <c r="CI470">
        <v>0</v>
      </c>
      <c r="CJ470">
        <v>2</v>
      </c>
      <c r="CK470">
        <v>18</v>
      </c>
      <c r="CL470">
        <v>12</v>
      </c>
      <c r="CM470">
        <v>5</v>
      </c>
      <c r="CN470">
        <v>3</v>
      </c>
      <c r="CO470">
        <v>2.6</v>
      </c>
      <c r="CP470">
        <v>1.5</v>
      </c>
      <c r="CQ470">
        <v>0.7</v>
      </c>
      <c r="CR470">
        <v>0.4</v>
      </c>
      <c r="CS470">
        <v>4</v>
      </c>
      <c r="CT470">
        <v>4</v>
      </c>
      <c r="CU470">
        <v>3</v>
      </c>
      <c r="CV470">
        <v>2</v>
      </c>
      <c r="CW470">
        <v>0</v>
      </c>
      <c r="CX470">
        <v>1</v>
      </c>
      <c r="CY470">
        <v>1</v>
      </c>
      <c r="CZ470">
        <v>1</v>
      </c>
    </row>
    <row r="471" spans="1:104" x14ac:dyDescent="0.25">
      <c r="A471" s="1" t="s">
        <v>2774</v>
      </c>
      <c r="B471">
        <v>2936</v>
      </c>
      <c r="C471">
        <v>2944</v>
      </c>
      <c r="D471" s="2">
        <v>44083</v>
      </c>
      <c r="E471" s="3">
        <f t="shared" si="21"/>
        <v>2020</v>
      </c>
      <c r="F471" s="3">
        <f t="shared" si="22"/>
        <v>9</v>
      </c>
      <c r="G471" s="3">
        <f t="shared" si="23"/>
        <v>4</v>
      </c>
      <c r="H471" t="s">
        <v>2775</v>
      </c>
      <c r="I471">
        <v>901</v>
      </c>
      <c r="J471" t="s">
        <v>501</v>
      </c>
      <c r="K471" t="s">
        <v>502</v>
      </c>
      <c r="L471">
        <v>2019</v>
      </c>
      <c r="M471" t="s">
        <v>313</v>
      </c>
      <c r="N471" t="s">
        <v>2776</v>
      </c>
      <c r="O471" t="s">
        <v>2777</v>
      </c>
      <c r="P471">
        <v>2000</v>
      </c>
      <c r="Q471" t="s">
        <v>502</v>
      </c>
      <c r="R471">
        <v>1956</v>
      </c>
      <c r="S471" t="s">
        <v>2778</v>
      </c>
      <c r="T471" t="s">
        <v>2779</v>
      </c>
      <c r="U471">
        <v>7000</v>
      </c>
      <c r="V471" t="s">
        <v>502</v>
      </c>
      <c r="X471" t="s">
        <v>125</v>
      </c>
      <c r="Z471">
        <v>-1.5</v>
      </c>
      <c r="AA471">
        <v>-1.5</v>
      </c>
      <c r="AB471">
        <v>10</v>
      </c>
      <c r="AC471">
        <v>45</v>
      </c>
      <c r="AD471">
        <v>45</v>
      </c>
      <c r="AE471">
        <v>0</v>
      </c>
      <c r="AF471">
        <v>100</v>
      </c>
      <c r="AG471">
        <v>29</v>
      </c>
      <c r="AH471">
        <v>71</v>
      </c>
      <c r="AI471">
        <v>41</v>
      </c>
      <c r="AJ471">
        <v>59</v>
      </c>
      <c r="AK471">
        <v>58</v>
      </c>
      <c r="AL471">
        <v>42</v>
      </c>
      <c r="AM471">
        <v>62</v>
      </c>
      <c r="AN471">
        <v>38</v>
      </c>
      <c r="AO471">
        <v>69</v>
      </c>
      <c r="AP471">
        <v>31</v>
      </c>
      <c r="AQ471">
        <v>0</v>
      </c>
      <c r="AR471">
        <v>20</v>
      </c>
      <c r="AS471">
        <v>0</v>
      </c>
      <c r="AT471">
        <v>33</v>
      </c>
      <c r="AU471">
        <v>50</v>
      </c>
      <c r="AV471">
        <v>30</v>
      </c>
      <c r="AW471">
        <v>2</v>
      </c>
      <c r="AX471">
        <v>0.4</v>
      </c>
      <c r="AY471">
        <v>10</v>
      </c>
      <c r="AZ471">
        <v>2</v>
      </c>
      <c r="BA471">
        <v>14</v>
      </c>
      <c r="BB471">
        <v>15</v>
      </c>
      <c r="BC471">
        <v>7</v>
      </c>
      <c r="BD471">
        <v>2</v>
      </c>
      <c r="BE471">
        <v>2</v>
      </c>
      <c r="BF471">
        <v>3</v>
      </c>
      <c r="BG471">
        <v>5</v>
      </c>
      <c r="BH471">
        <v>10</v>
      </c>
      <c r="BI471">
        <v>18</v>
      </c>
      <c r="BJ471">
        <v>14</v>
      </c>
      <c r="BK471">
        <v>18</v>
      </c>
      <c r="BL471">
        <v>22</v>
      </c>
      <c r="BM471">
        <v>1.3</v>
      </c>
      <c r="BN471">
        <v>0.9</v>
      </c>
      <c r="BO471">
        <v>1.3</v>
      </c>
      <c r="BP471">
        <v>1.5</v>
      </c>
      <c r="BQ471">
        <v>2</v>
      </c>
      <c r="BR471">
        <v>3</v>
      </c>
      <c r="BS471">
        <v>2</v>
      </c>
      <c r="BT471">
        <v>0</v>
      </c>
      <c r="BU471">
        <v>0</v>
      </c>
      <c r="BV471">
        <v>2</v>
      </c>
      <c r="BW471">
        <v>0</v>
      </c>
      <c r="BX471">
        <v>1</v>
      </c>
      <c r="BY471">
        <v>5</v>
      </c>
      <c r="BZ471">
        <v>1</v>
      </c>
      <c r="CA471">
        <v>7</v>
      </c>
      <c r="CB471">
        <v>1.4</v>
      </c>
      <c r="CC471">
        <v>15</v>
      </c>
      <c r="CD471">
        <v>14</v>
      </c>
      <c r="CE471">
        <v>6</v>
      </c>
      <c r="CF471">
        <v>2</v>
      </c>
      <c r="CG471">
        <v>4</v>
      </c>
      <c r="CH471">
        <v>4</v>
      </c>
      <c r="CI471">
        <v>5</v>
      </c>
      <c r="CJ471">
        <v>8</v>
      </c>
      <c r="CK471">
        <v>21</v>
      </c>
      <c r="CL471">
        <v>13</v>
      </c>
      <c r="CM471">
        <v>20</v>
      </c>
      <c r="CN471">
        <v>23</v>
      </c>
      <c r="CO471">
        <v>1.4</v>
      </c>
      <c r="CP471">
        <v>0.9</v>
      </c>
      <c r="CQ471">
        <v>1.3</v>
      </c>
      <c r="CR471">
        <v>1.6</v>
      </c>
      <c r="CS471">
        <v>3</v>
      </c>
      <c r="CT471">
        <v>2</v>
      </c>
      <c r="CU471">
        <v>1</v>
      </c>
      <c r="CV471">
        <v>0</v>
      </c>
      <c r="CW471">
        <v>2</v>
      </c>
      <c r="CX471">
        <v>0</v>
      </c>
      <c r="CY471">
        <v>0</v>
      </c>
      <c r="CZ471">
        <v>2</v>
      </c>
    </row>
    <row r="472" spans="1:104" x14ac:dyDescent="0.25">
      <c r="A472" s="1" t="s">
        <v>2780</v>
      </c>
      <c r="B472">
        <v>7231</v>
      </c>
      <c r="C472">
        <v>7262</v>
      </c>
      <c r="D472" s="2">
        <v>43708</v>
      </c>
      <c r="E472" s="3">
        <f t="shared" si="21"/>
        <v>2019</v>
      </c>
      <c r="F472" s="3">
        <f t="shared" si="22"/>
        <v>8</v>
      </c>
      <c r="G472" s="3">
        <f t="shared" si="23"/>
        <v>7</v>
      </c>
      <c r="H472" t="s">
        <v>2781</v>
      </c>
      <c r="I472">
        <v>1175</v>
      </c>
      <c r="J472" t="s">
        <v>1646</v>
      </c>
      <c r="K472" t="s">
        <v>241</v>
      </c>
      <c r="L472">
        <v>2019</v>
      </c>
      <c r="M472" t="s">
        <v>2782</v>
      </c>
      <c r="N472" t="s">
        <v>1650</v>
      </c>
      <c r="O472" t="s">
        <v>1651</v>
      </c>
      <c r="P472">
        <v>4050</v>
      </c>
      <c r="Q472" t="s">
        <v>241</v>
      </c>
      <c r="R472">
        <v>1894</v>
      </c>
      <c r="S472" t="s">
        <v>2783</v>
      </c>
      <c r="T472" t="s">
        <v>1125</v>
      </c>
      <c r="U472">
        <v>2000</v>
      </c>
      <c r="V472" t="s">
        <v>241</v>
      </c>
      <c r="W472">
        <v>1946</v>
      </c>
      <c r="X472" t="s">
        <v>109</v>
      </c>
      <c r="Z472">
        <v>-2.5</v>
      </c>
      <c r="AA472">
        <v>-3.5</v>
      </c>
      <c r="AB472">
        <v>45</v>
      </c>
      <c r="AC472">
        <v>45</v>
      </c>
      <c r="AD472">
        <v>10</v>
      </c>
      <c r="AE472">
        <v>42</v>
      </c>
      <c r="AF472">
        <v>58</v>
      </c>
      <c r="AG472">
        <v>18</v>
      </c>
      <c r="AH472">
        <v>82</v>
      </c>
      <c r="AI472">
        <v>100</v>
      </c>
      <c r="AJ472">
        <v>0</v>
      </c>
      <c r="AK472">
        <v>100</v>
      </c>
      <c r="AL472">
        <v>0</v>
      </c>
      <c r="AM472">
        <v>50</v>
      </c>
      <c r="AN472">
        <v>50</v>
      </c>
      <c r="AO472">
        <v>44</v>
      </c>
      <c r="AP472">
        <v>56</v>
      </c>
      <c r="AQ472">
        <v>56</v>
      </c>
      <c r="AR472">
        <v>25</v>
      </c>
      <c r="AS472">
        <v>100</v>
      </c>
      <c r="AT472">
        <v>78</v>
      </c>
      <c r="AU472">
        <v>100</v>
      </c>
      <c r="AV472">
        <v>38</v>
      </c>
      <c r="AW472">
        <v>2</v>
      </c>
      <c r="AX472">
        <v>0.7</v>
      </c>
      <c r="AY472">
        <v>0</v>
      </c>
      <c r="AZ472">
        <v>0</v>
      </c>
      <c r="BA472">
        <v>1</v>
      </c>
      <c r="BB472">
        <v>2</v>
      </c>
      <c r="BC472">
        <v>1</v>
      </c>
      <c r="BD472">
        <v>0</v>
      </c>
      <c r="BE472">
        <v>0</v>
      </c>
      <c r="BF472">
        <v>2</v>
      </c>
      <c r="BG472">
        <v>0</v>
      </c>
      <c r="BH472">
        <v>0</v>
      </c>
      <c r="BI472">
        <v>2</v>
      </c>
      <c r="BJ472">
        <v>0</v>
      </c>
      <c r="BK472">
        <v>0</v>
      </c>
      <c r="BL472">
        <v>0</v>
      </c>
      <c r="BM472">
        <v>2</v>
      </c>
      <c r="BN472">
        <v>0</v>
      </c>
      <c r="BO472">
        <v>0</v>
      </c>
      <c r="BP472">
        <v>0</v>
      </c>
      <c r="BQ472">
        <v>2</v>
      </c>
      <c r="BR472">
        <v>2</v>
      </c>
      <c r="BS472">
        <v>1</v>
      </c>
      <c r="BT472">
        <v>2</v>
      </c>
      <c r="BU472">
        <v>0</v>
      </c>
      <c r="BV472">
        <v>0</v>
      </c>
      <c r="BW472">
        <v>1</v>
      </c>
      <c r="BX472">
        <v>0</v>
      </c>
      <c r="BY472">
        <v>9</v>
      </c>
      <c r="BZ472">
        <v>3</v>
      </c>
      <c r="CA472">
        <v>5</v>
      </c>
      <c r="CB472">
        <v>1.7</v>
      </c>
      <c r="CC472">
        <v>2</v>
      </c>
      <c r="CD472">
        <v>1</v>
      </c>
      <c r="CE472">
        <v>1</v>
      </c>
      <c r="CF472">
        <v>1</v>
      </c>
      <c r="CG472">
        <v>1</v>
      </c>
      <c r="CH472">
        <v>0</v>
      </c>
      <c r="CI472">
        <v>0</v>
      </c>
      <c r="CJ472">
        <v>0</v>
      </c>
      <c r="CK472">
        <v>6</v>
      </c>
      <c r="CL472">
        <v>3</v>
      </c>
      <c r="CM472">
        <v>3</v>
      </c>
      <c r="CN472">
        <v>2</v>
      </c>
      <c r="CO472">
        <v>3</v>
      </c>
      <c r="CP472">
        <v>3</v>
      </c>
      <c r="CQ472">
        <v>1.5</v>
      </c>
      <c r="CR472">
        <v>2</v>
      </c>
      <c r="CS472">
        <v>2</v>
      </c>
      <c r="CT472">
        <v>2</v>
      </c>
      <c r="CU472">
        <v>0</v>
      </c>
      <c r="CV472">
        <v>1</v>
      </c>
      <c r="CW472">
        <v>0</v>
      </c>
      <c r="CX472">
        <v>0</v>
      </c>
      <c r="CY472">
        <v>2</v>
      </c>
      <c r="CZ472">
        <v>1</v>
      </c>
    </row>
    <row r="473" spans="1:104" x14ac:dyDescent="0.25">
      <c r="A473" s="1" t="s">
        <v>2784</v>
      </c>
      <c r="B473">
        <v>536</v>
      </c>
      <c r="C473">
        <v>541</v>
      </c>
      <c r="D473" s="2">
        <v>43730</v>
      </c>
      <c r="E473" s="3">
        <f t="shared" si="21"/>
        <v>2019</v>
      </c>
      <c r="F473" s="3">
        <f t="shared" si="22"/>
        <v>9</v>
      </c>
      <c r="G473" s="3">
        <f t="shared" si="23"/>
        <v>1</v>
      </c>
      <c r="H473" t="s">
        <v>2785</v>
      </c>
      <c r="I473">
        <v>775</v>
      </c>
      <c r="J473" t="s">
        <v>344</v>
      </c>
      <c r="K473" t="s">
        <v>380</v>
      </c>
      <c r="L473">
        <v>2019</v>
      </c>
      <c r="M473" t="s">
        <v>591</v>
      </c>
      <c r="N473" t="s">
        <v>2785</v>
      </c>
      <c r="O473" t="s">
        <v>2786</v>
      </c>
      <c r="P473">
        <v>48649</v>
      </c>
      <c r="Q473" t="s">
        <v>380</v>
      </c>
      <c r="R473">
        <v>1890</v>
      </c>
      <c r="S473" t="s">
        <v>2787</v>
      </c>
      <c r="T473" t="s">
        <v>888</v>
      </c>
      <c r="U473">
        <v>85454</v>
      </c>
      <c r="V473" t="s">
        <v>380</v>
      </c>
      <c r="W473">
        <v>1902</v>
      </c>
      <c r="X473" t="s">
        <v>125</v>
      </c>
      <c r="Z473">
        <v>-2.5</v>
      </c>
      <c r="AA473">
        <v>-3.5</v>
      </c>
      <c r="AB473">
        <v>10</v>
      </c>
      <c r="AC473">
        <v>45</v>
      </c>
      <c r="AD473">
        <v>45</v>
      </c>
      <c r="AE473">
        <v>56</v>
      </c>
      <c r="AF473">
        <v>44</v>
      </c>
      <c r="AG473">
        <v>36</v>
      </c>
      <c r="AH473">
        <v>64</v>
      </c>
      <c r="AI473">
        <v>86</v>
      </c>
      <c r="AJ473">
        <v>14</v>
      </c>
      <c r="AK473">
        <v>34</v>
      </c>
      <c r="AL473">
        <v>66</v>
      </c>
      <c r="AM473">
        <v>40</v>
      </c>
      <c r="AN473">
        <v>60</v>
      </c>
      <c r="AO473">
        <v>35</v>
      </c>
      <c r="AP473">
        <v>65</v>
      </c>
      <c r="AQ473">
        <v>83</v>
      </c>
      <c r="AR473">
        <v>31</v>
      </c>
      <c r="AS473">
        <v>94</v>
      </c>
      <c r="AT473">
        <v>67</v>
      </c>
      <c r="AU473">
        <v>56</v>
      </c>
      <c r="AV473">
        <v>63</v>
      </c>
      <c r="AW473">
        <v>5</v>
      </c>
      <c r="AX473">
        <v>1.3</v>
      </c>
      <c r="AY473">
        <v>1</v>
      </c>
      <c r="AZ473">
        <v>0.3</v>
      </c>
      <c r="BA473">
        <v>1</v>
      </c>
      <c r="BB473">
        <v>3</v>
      </c>
      <c r="BC473">
        <v>0</v>
      </c>
      <c r="BD473">
        <v>3</v>
      </c>
      <c r="BE473">
        <v>1</v>
      </c>
      <c r="BF473">
        <v>0</v>
      </c>
      <c r="BG473">
        <v>0</v>
      </c>
      <c r="BH473">
        <v>0</v>
      </c>
      <c r="BI473">
        <v>1</v>
      </c>
      <c r="BJ473">
        <v>4</v>
      </c>
      <c r="BK473">
        <v>1</v>
      </c>
      <c r="BL473">
        <v>0</v>
      </c>
      <c r="BM473">
        <v>1</v>
      </c>
      <c r="BN473">
        <v>1.3</v>
      </c>
      <c r="BO473">
        <v>1</v>
      </c>
      <c r="BP473">
        <v>0</v>
      </c>
      <c r="BQ473">
        <v>10</v>
      </c>
      <c r="BR473">
        <v>11</v>
      </c>
      <c r="BS473">
        <v>6</v>
      </c>
      <c r="BT473">
        <v>0</v>
      </c>
      <c r="BU473">
        <v>0</v>
      </c>
      <c r="BV473">
        <v>0</v>
      </c>
      <c r="BW473">
        <v>4</v>
      </c>
      <c r="BX473">
        <v>11</v>
      </c>
      <c r="BY473">
        <v>9</v>
      </c>
      <c r="BZ473">
        <v>2.2999999999999998</v>
      </c>
      <c r="CA473">
        <v>6</v>
      </c>
      <c r="CB473">
        <v>1.5</v>
      </c>
      <c r="CC473">
        <v>2</v>
      </c>
      <c r="CD473">
        <v>2</v>
      </c>
      <c r="CE473">
        <v>1</v>
      </c>
      <c r="CF473">
        <v>1</v>
      </c>
      <c r="CG473">
        <v>1</v>
      </c>
      <c r="CH473">
        <v>1</v>
      </c>
      <c r="CI473">
        <v>0</v>
      </c>
      <c r="CJ473">
        <v>0</v>
      </c>
      <c r="CK473">
        <v>4</v>
      </c>
      <c r="CL473">
        <v>5</v>
      </c>
      <c r="CM473">
        <v>3</v>
      </c>
      <c r="CN473">
        <v>3</v>
      </c>
      <c r="CO473">
        <v>2</v>
      </c>
      <c r="CP473">
        <v>2.5</v>
      </c>
      <c r="CQ473">
        <v>1.5</v>
      </c>
      <c r="CR473">
        <v>1.5</v>
      </c>
      <c r="CS473">
        <v>11</v>
      </c>
      <c r="CT473">
        <v>10</v>
      </c>
      <c r="CU473">
        <v>11</v>
      </c>
      <c r="CV473">
        <v>4</v>
      </c>
      <c r="CW473">
        <v>0</v>
      </c>
      <c r="CX473">
        <v>0</v>
      </c>
      <c r="CY473">
        <v>0</v>
      </c>
      <c r="CZ473">
        <v>6</v>
      </c>
    </row>
    <row r="474" spans="1:104" x14ac:dyDescent="0.25">
      <c r="A474" s="1" t="s">
        <v>2788</v>
      </c>
      <c r="B474">
        <v>33</v>
      </c>
      <c r="C474">
        <v>573</v>
      </c>
      <c r="D474" s="2">
        <v>43776</v>
      </c>
      <c r="E474" s="3">
        <f t="shared" si="21"/>
        <v>2019</v>
      </c>
      <c r="F474" s="3">
        <f t="shared" si="22"/>
        <v>11</v>
      </c>
      <c r="G474" s="3">
        <f t="shared" si="23"/>
        <v>5</v>
      </c>
      <c r="H474" t="s">
        <v>2789</v>
      </c>
      <c r="I474">
        <v>514</v>
      </c>
      <c r="J474" t="s">
        <v>2670</v>
      </c>
      <c r="K474" t="s">
        <v>129</v>
      </c>
      <c r="L474">
        <v>2019</v>
      </c>
      <c r="M474" t="s">
        <v>613</v>
      </c>
      <c r="N474" t="s">
        <v>2789</v>
      </c>
      <c r="O474" t="s">
        <v>2790</v>
      </c>
      <c r="P474">
        <v>76212</v>
      </c>
      <c r="Q474" t="s">
        <v>241</v>
      </c>
      <c r="R474">
        <v>1878</v>
      </c>
      <c r="S474" t="s">
        <v>2791</v>
      </c>
      <c r="T474" t="s">
        <v>444</v>
      </c>
      <c r="U474">
        <v>32710</v>
      </c>
      <c r="V474" t="s">
        <v>445</v>
      </c>
      <c r="W474">
        <v>1945</v>
      </c>
      <c r="X474" t="s">
        <v>109</v>
      </c>
      <c r="Y474">
        <v>-3.5</v>
      </c>
      <c r="Z474">
        <v>-1.5</v>
      </c>
      <c r="AA474">
        <v>-2.5</v>
      </c>
      <c r="AB474">
        <v>45</v>
      </c>
      <c r="AC474">
        <v>45</v>
      </c>
      <c r="AD474">
        <v>10</v>
      </c>
      <c r="AE474">
        <v>47</v>
      </c>
      <c r="AF474">
        <v>53</v>
      </c>
      <c r="AG474">
        <v>22</v>
      </c>
      <c r="AH474">
        <v>78</v>
      </c>
      <c r="AI474">
        <v>100</v>
      </c>
      <c r="AJ474">
        <v>0</v>
      </c>
      <c r="AK474">
        <v>0</v>
      </c>
      <c r="AL474">
        <v>0</v>
      </c>
      <c r="AM474">
        <v>100</v>
      </c>
      <c r="AN474">
        <v>0</v>
      </c>
      <c r="AO474">
        <v>100</v>
      </c>
      <c r="AP474">
        <v>0</v>
      </c>
      <c r="AQ474">
        <v>78</v>
      </c>
      <c r="AR474">
        <v>12</v>
      </c>
      <c r="AS474">
        <v>100</v>
      </c>
      <c r="AT474">
        <v>53</v>
      </c>
      <c r="AU474">
        <v>41</v>
      </c>
      <c r="AV474">
        <v>65</v>
      </c>
      <c r="AW474">
        <v>2</v>
      </c>
      <c r="AX474">
        <v>0.7</v>
      </c>
      <c r="AY474">
        <v>0</v>
      </c>
      <c r="AZ474">
        <v>0</v>
      </c>
      <c r="BA474">
        <v>1</v>
      </c>
      <c r="BB474">
        <v>2</v>
      </c>
      <c r="BC474">
        <v>1</v>
      </c>
      <c r="BD474">
        <v>1</v>
      </c>
      <c r="BE474">
        <v>0</v>
      </c>
      <c r="BF474">
        <v>1</v>
      </c>
      <c r="BG474">
        <v>0</v>
      </c>
      <c r="BH474">
        <v>0</v>
      </c>
      <c r="BI474">
        <v>1</v>
      </c>
      <c r="BJ474">
        <v>1</v>
      </c>
      <c r="BK474">
        <v>0</v>
      </c>
      <c r="BL474">
        <v>0</v>
      </c>
      <c r="BM474">
        <v>1</v>
      </c>
      <c r="BN474">
        <v>0.5</v>
      </c>
      <c r="BO474">
        <v>0</v>
      </c>
      <c r="BP474">
        <v>0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7</v>
      </c>
      <c r="BZ474">
        <v>1.4</v>
      </c>
      <c r="CA474">
        <v>6</v>
      </c>
      <c r="CB474">
        <v>1.2</v>
      </c>
      <c r="CC474">
        <v>5</v>
      </c>
      <c r="CD474">
        <v>4</v>
      </c>
      <c r="CE474">
        <v>3</v>
      </c>
      <c r="CF474">
        <v>2</v>
      </c>
      <c r="CG474">
        <v>1</v>
      </c>
      <c r="CH474">
        <v>1</v>
      </c>
      <c r="CI474">
        <v>1</v>
      </c>
      <c r="CJ474">
        <v>1</v>
      </c>
      <c r="CK474">
        <v>10</v>
      </c>
      <c r="CL474">
        <v>4</v>
      </c>
      <c r="CM474">
        <v>5</v>
      </c>
      <c r="CN474">
        <v>3</v>
      </c>
      <c r="CO474">
        <v>2</v>
      </c>
      <c r="CP474">
        <v>1</v>
      </c>
      <c r="CQ474">
        <v>1</v>
      </c>
      <c r="CR474">
        <v>0.8</v>
      </c>
      <c r="CS474">
        <v>1</v>
      </c>
      <c r="CT474">
        <v>1</v>
      </c>
      <c r="CU474">
        <v>0</v>
      </c>
      <c r="CV474">
        <v>0</v>
      </c>
      <c r="CW474">
        <v>0</v>
      </c>
      <c r="CX474">
        <v>0</v>
      </c>
      <c r="CY474">
        <v>1</v>
      </c>
      <c r="CZ474">
        <v>1</v>
      </c>
    </row>
    <row r="475" spans="1:104" x14ac:dyDescent="0.25">
      <c r="A475" s="1" t="s">
        <v>2792</v>
      </c>
      <c r="B475">
        <v>9513</v>
      </c>
      <c r="C475">
        <v>9511</v>
      </c>
      <c r="D475" s="2">
        <v>43779</v>
      </c>
      <c r="E475" s="3">
        <f t="shared" si="21"/>
        <v>2019</v>
      </c>
      <c r="F475" s="3">
        <f t="shared" si="22"/>
        <v>11</v>
      </c>
      <c r="G475" s="3">
        <f t="shared" si="23"/>
        <v>1</v>
      </c>
      <c r="H475" t="s">
        <v>2793</v>
      </c>
      <c r="I475">
        <v>1258</v>
      </c>
      <c r="J475" t="s">
        <v>2794</v>
      </c>
      <c r="K475" t="s">
        <v>338</v>
      </c>
      <c r="L475">
        <v>2019</v>
      </c>
      <c r="M475" t="s">
        <v>780</v>
      </c>
      <c r="N475" t="s">
        <v>2795</v>
      </c>
      <c r="O475" t="s">
        <v>2796</v>
      </c>
      <c r="P475">
        <v>5000</v>
      </c>
      <c r="Q475" t="s">
        <v>338</v>
      </c>
      <c r="S475" t="s">
        <v>2797</v>
      </c>
      <c r="T475" t="s">
        <v>2798</v>
      </c>
      <c r="U475">
        <v>5000</v>
      </c>
      <c r="V475" t="s">
        <v>338</v>
      </c>
      <c r="X475" t="s">
        <v>109</v>
      </c>
      <c r="Z475">
        <v>-2.5</v>
      </c>
      <c r="AA475">
        <v>-1.5</v>
      </c>
      <c r="AB475">
        <v>45</v>
      </c>
      <c r="AC475">
        <v>45</v>
      </c>
      <c r="AD475">
        <v>10</v>
      </c>
      <c r="AE475">
        <v>100</v>
      </c>
      <c r="AF475">
        <v>0</v>
      </c>
      <c r="AG475">
        <v>73</v>
      </c>
      <c r="AH475">
        <v>27</v>
      </c>
      <c r="AI475">
        <v>55</v>
      </c>
      <c r="AJ475">
        <v>45</v>
      </c>
      <c r="AK475">
        <v>73</v>
      </c>
      <c r="AL475">
        <v>27</v>
      </c>
      <c r="AM475">
        <v>0</v>
      </c>
      <c r="AN475">
        <v>0</v>
      </c>
      <c r="AO475">
        <v>0</v>
      </c>
      <c r="AP475">
        <v>0</v>
      </c>
      <c r="AQ475">
        <v>60</v>
      </c>
      <c r="AR475">
        <v>92</v>
      </c>
      <c r="AS475">
        <v>25</v>
      </c>
      <c r="AT475">
        <v>0</v>
      </c>
      <c r="AU475">
        <v>33</v>
      </c>
      <c r="AV475">
        <v>8</v>
      </c>
      <c r="AW475">
        <v>11</v>
      </c>
      <c r="AX475">
        <v>2.2000000000000002</v>
      </c>
      <c r="AY475">
        <v>9</v>
      </c>
      <c r="AZ475">
        <v>1.8</v>
      </c>
      <c r="BA475">
        <v>4</v>
      </c>
      <c r="BB475">
        <v>5</v>
      </c>
      <c r="BC475">
        <v>1</v>
      </c>
      <c r="BD475">
        <v>2</v>
      </c>
      <c r="BE475">
        <v>2</v>
      </c>
      <c r="BF475">
        <v>1</v>
      </c>
      <c r="BG475">
        <v>1</v>
      </c>
      <c r="BH475">
        <v>2</v>
      </c>
      <c r="BI475">
        <v>5</v>
      </c>
      <c r="BJ475">
        <v>10</v>
      </c>
      <c r="BK475">
        <v>5</v>
      </c>
      <c r="BL475">
        <v>10</v>
      </c>
      <c r="BM475">
        <v>1.3</v>
      </c>
      <c r="BN475">
        <v>2</v>
      </c>
      <c r="BO475">
        <v>1.3</v>
      </c>
      <c r="BP475">
        <v>2</v>
      </c>
      <c r="BQ475">
        <v>1</v>
      </c>
      <c r="BR475">
        <v>0</v>
      </c>
      <c r="BS475">
        <v>1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4</v>
      </c>
      <c r="BZ475">
        <v>0.8</v>
      </c>
      <c r="CA475">
        <v>11</v>
      </c>
      <c r="CB475">
        <v>2.2000000000000002</v>
      </c>
      <c r="CC475">
        <v>5</v>
      </c>
      <c r="CD475">
        <v>5</v>
      </c>
      <c r="CE475">
        <v>0</v>
      </c>
      <c r="CF475">
        <v>0</v>
      </c>
      <c r="CG475">
        <v>1</v>
      </c>
      <c r="CH475">
        <v>1</v>
      </c>
      <c r="CI475">
        <v>4</v>
      </c>
      <c r="CJ475">
        <v>4</v>
      </c>
      <c r="CK475">
        <v>5</v>
      </c>
      <c r="CL475">
        <v>2</v>
      </c>
      <c r="CM475">
        <v>10</v>
      </c>
      <c r="CN475">
        <v>7</v>
      </c>
      <c r="CO475">
        <v>1</v>
      </c>
      <c r="CP475">
        <v>0.4</v>
      </c>
      <c r="CQ475">
        <v>2</v>
      </c>
      <c r="CR475">
        <v>1.4</v>
      </c>
      <c r="CS475">
        <v>0</v>
      </c>
      <c r="CT475">
        <v>1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1</v>
      </c>
    </row>
    <row r="476" spans="1:104" x14ac:dyDescent="0.25">
      <c r="A476" s="1" t="s">
        <v>2799</v>
      </c>
      <c r="B476">
        <v>9754</v>
      </c>
      <c r="C476">
        <v>9743</v>
      </c>
      <c r="D476" s="2">
        <v>43709</v>
      </c>
      <c r="E476" s="3">
        <f t="shared" si="21"/>
        <v>2019</v>
      </c>
      <c r="F476" s="3">
        <f t="shared" si="22"/>
        <v>9</v>
      </c>
      <c r="G476" s="3">
        <f t="shared" si="23"/>
        <v>1</v>
      </c>
      <c r="H476" t="s">
        <v>2800</v>
      </c>
      <c r="I476">
        <v>1277</v>
      </c>
      <c r="J476" t="s">
        <v>1632</v>
      </c>
      <c r="K476" t="s">
        <v>380</v>
      </c>
      <c r="L476">
        <v>2019</v>
      </c>
      <c r="M476" t="s">
        <v>2801</v>
      </c>
      <c r="N476" t="s">
        <v>2800</v>
      </c>
      <c r="O476" t="s">
        <v>2802</v>
      </c>
      <c r="P476">
        <v>2000</v>
      </c>
      <c r="Q476" t="s">
        <v>380</v>
      </c>
      <c r="S476" t="s">
        <v>2803</v>
      </c>
      <c r="T476" t="s">
        <v>2804</v>
      </c>
      <c r="U476">
        <v>4500</v>
      </c>
      <c r="V476" t="s">
        <v>380</v>
      </c>
      <c r="X476">
        <v>2</v>
      </c>
      <c r="AA476">
        <v>-3.5</v>
      </c>
      <c r="AB476">
        <v>10</v>
      </c>
      <c r="AC476">
        <v>45</v>
      </c>
      <c r="AD476">
        <v>45</v>
      </c>
      <c r="AE476">
        <v>0</v>
      </c>
      <c r="AF476">
        <v>100</v>
      </c>
      <c r="AG476">
        <v>0</v>
      </c>
      <c r="AH476">
        <v>100</v>
      </c>
      <c r="AI476">
        <v>50</v>
      </c>
      <c r="AJ476">
        <v>50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90</v>
      </c>
      <c r="AT476">
        <v>100</v>
      </c>
      <c r="AU476">
        <v>30</v>
      </c>
      <c r="AV476">
        <v>90</v>
      </c>
      <c r="AW476">
        <v>0</v>
      </c>
      <c r="AX476">
        <v>0</v>
      </c>
      <c r="AY476">
        <v>1</v>
      </c>
      <c r="AZ476">
        <v>1</v>
      </c>
      <c r="BA476">
        <v>0</v>
      </c>
      <c r="BB476">
        <v>1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1</v>
      </c>
      <c r="BI476">
        <v>0</v>
      </c>
      <c r="BJ476">
        <v>0</v>
      </c>
      <c r="BK476">
        <v>0</v>
      </c>
      <c r="BL476">
        <v>1</v>
      </c>
      <c r="BM476">
        <v>0</v>
      </c>
      <c r="BN476">
        <v>0</v>
      </c>
      <c r="BO476">
        <v>0</v>
      </c>
      <c r="BP476">
        <v>1</v>
      </c>
      <c r="BQ476">
        <v>1</v>
      </c>
      <c r="BR476">
        <v>1</v>
      </c>
      <c r="BS476">
        <v>1</v>
      </c>
      <c r="BT476">
        <v>0</v>
      </c>
      <c r="BU476">
        <v>0</v>
      </c>
      <c r="BV476">
        <v>0</v>
      </c>
      <c r="BW476">
        <v>0</v>
      </c>
      <c r="BX476">
        <v>1</v>
      </c>
      <c r="BY476">
        <v>3</v>
      </c>
      <c r="BZ476">
        <v>3</v>
      </c>
      <c r="CA476">
        <v>1</v>
      </c>
      <c r="CB476">
        <v>1</v>
      </c>
      <c r="CC476">
        <v>1</v>
      </c>
      <c r="CD476">
        <v>0</v>
      </c>
      <c r="CE476">
        <v>1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3</v>
      </c>
      <c r="CL476">
        <v>0</v>
      </c>
      <c r="CM476">
        <v>1</v>
      </c>
      <c r="CN476">
        <v>0</v>
      </c>
      <c r="CO476">
        <v>3</v>
      </c>
      <c r="CP476">
        <v>0</v>
      </c>
      <c r="CQ476">
        <v>1</v>
      </c>
      <c r="CR476">
        <v>0</v>
      </c>
      <c r="CS476">
        <v>1</v>
      </c>
      <c r="CT476">
        <v>1</v>
      </c>
      <c r="CU476">
        <v>1</v>
      </c>
      <c r="CV476">
        <v>0</v>
      </c>
      <c r="CW476">
        <v>0</v>
      </c>
      <c r="CX476">
        <v>0</v>
      </c>
      <c r="CY476">
        <v>0</v>
      </c>
      <c r="CZ476">
        <v>1</v>
      </c>
    </row>
    <row r="477" spans="1:104" x14ac:dyDescent="0.25">
      <c r="A477" s="1" t="s">
        <v>2805</v>
      </c>
      <c r="B477">
        <v>3511</v>
      </c>
      <c r="C477">
        <v>3508</v>
      </c>
      <c r="D477" s="2">
        <v>43779</v>
      </c>
      <c r="E477" s="3">
        <f t="shared" si="21"/>
        <v>2019</v>
      </c>
      <c r="F477" s="3">
        <f t="shared" si="22"/>
        <v>11</v>
      </c>
      <c r="G477" s="3">
        <f t="shared" si="23"/>
        <v>1</v>
      </c>
      <c r="H477" t="s">
        <v>2806</v>
      </c>
      <c r="I477">
        <v>457</v>
      </c>
      <c r="J477" t="s">
        <v>2807</v>
      </c>
      <c r="K477" t="s">
        <v>305</v>
      </c>
      <c r="L477">
        <v>2019</v>
      </c>
      <c r="M477" t="s">
        <v>2808</v>
      </c>
      <c r="N477" t="s">
        <v>2809</v>
      </c>
      <c r="O477" t="s">
        <v>2810</v>
      </c>
      <c r="P477">
        <v>12000</v>
      </c>
      <c r="Q477" t="s">
        <v>305</v>
      </c>
      <c r="R477">
        <v>2016</v>
      </c>
      <c r="S477" t="s">
        <v>2811</v>
      </c>
      <c r="T477" t="s">
        <v>307</v>
      </c>
      <c r="U477">
        <v>2000</v>
      </c>
      <c r="V477" t="s">
        <v>305</v>
      </c>
      <c r="X477" t="s">
        <v>109</v>
      </c>
      <c r="Z477">
        <v>-3.5</v>
      </c>
      <c r="AA477">
        <v>-2.5</v>
      </c>
      <c r="AB477">
        <v>35</v>
      </c>
      <c r="AC477">
        <v>35</v>
      </c>
      <c r="AD477">
        <v>30</v>
      </c>
      <c r="AE477">
        <v>45</v>
      </c>
      <c r="AF477">
        <v>55</v>
      </c>
      <c r="AG477">
        <v>56</v>
      </c>
      <c r="AH477">
        <v>44</v>
      </c>
      <c r="AI477">
        <v>44</v>
      </c>
      <c r="AJ477">
        <v>56</v>
      </c>
      <c r="AK477">
        <v>64</v>
      </c>
      <c r="AL477">
        <v>36</v>
      </c>
      <c r="AM477">
        <v>38</v>
      </c>
      <c r="AN477">
        <v>62</v>
      </c>
      <c r="AO477">
        <v>50</v>
      </c>
      <c r="AP477">
        <v>50</v>
      </c>
      <c r="AQ477">
        <v>60</v>
      </c>
      <c r="AR477">
        <v>100</v>
      </c>
      <c r="AS477">
        <v>55</v>
      </c>
      <c r="AT477">
        <v>73</v>
      </c>
      <c r="AU477">
        <v>100</v>
      </c>
      <c r="AV477">
        <v>64</v>
      </c>
      <c r="AW477">
        <v>14</v>
      </c>
      <c r="AX477">
        <v>2.8</v>
      </c>
      <c r="AY477">
        <v>5</v>
      </c>
      <c r="AZ477">
        <v>1</v>
      </c>
      <c r="BA477">
        <v>16</v>
      </c>
      <c r="BB477">
        <v>17</v>
      </c>
      <c r="BC477">
        <v>11</v>
      </c>
      <c r="BD477">
        <v>5</v>
      </c>
      <c r="BE477">
        <v>3</v>
      </c>
      <c r="BF477">
        <v>3</v>
      </c>
      <c r="BG477">
        <v>2</v>
      </c>
      <c r="BH477">
        <v>9</v>
      </c>
      <c r="BI477">
        <v>41</v>
      </c>
      <c r="BJ477">
        <v>25</v>
      </c>
      <c r="BK477">
        <v>7</v>
      </c>
      <c r="BL477">
        <v>29</v>
      </c>
      <c r="BM477">
        <v>2.6</v>
      </c>
      <c r="BN477">
        <v>1.5</v>
      </c>
      <c r="BO477">
        <v>0.4</v>
      </c>
      <c r="BP477">
        <v>1.7</v>
      </c>
      <c r="BQ477">
        <v>5</v>
      </c>
      <c r="BR477">
        <v>4</v>
      </c>
      <c r="BS477">
        <v>2</v>
      </c>
      <c r="BT477">
        <v>0</v>
      </c>
      <c r="BU477">
        <v>2</v>
      </c>
      <c r="BV477">
        <v>2</v>
      </c>
      <c r="BW477">
        <v>1</v>
      </c>
      <c r="BX477">
        <v>2</v>
      </c>
      <c r="BY477">
        <v>11</v>
      </c>
      <c r="BZ477">
        <v>2.2000000000000002</v>
      </c>
      <c r="CA477">
        <v>4</v>
      </c>
      <c r="CB477">
        <v>0.8</v>
      </c>
      <c r="CC477">
        <v>17</v>
      </c>
      <c r="CD477">
        <v>16</v>
      </c>
      <c r="CE477">
        <v>14</v>
      </c>
      <c r="CF477">
        <v>11</v>
      </c>
      <c r="CG477">
        <v>2</v>
      </c>
      <c r="CH477">
        <v>4</v>
      </c>
      <c r="CI477">
        <v>1</v>
      </c>
      <c r="CJ477">
        <v>1</v>
      </c>
      <c r="CK477">
        <v>52</v>
      </c>
      <c r="CL477">
        <v>34</v>
      </c>
      <c r="CM477">
        <v>17</v>
      </c>
      <c r="CN477">
        <v>14</v>
      </c>
      <c r="CO477">
        <v>3.1</v>
      </c>
      <c r="CP477">
        <v>2.1</v>
      </c>
      <c r="CQ477">
        <v>1</v>
      </c>
      <c r="CR477">
        <v>0.9</v>
      </c>
      <c r="CS477">
        <v>4</v>
      </c>
      <c r="CT477">
        <v>5</v>
      </c>
      <c r="CU477">
        <v>2</v>
      </c>
      <c r="CV477">
        <v>1</v>
      </c>
      <c r="CW477">
        <v>2</v>
      </c>
      <c r="CX477">
        <v>2</v>
      </c>
      <c r="CY477">
        <v>0</v>
      </c>
      <c r="CZ477">
        <v>2</v>
      </c>
    </row>
    <row r="478" spans="1:104" x14ac:dyDescent="0.25">
      <c r="A478" s="1" t="s">
        <v>2812</v>
      </c>
      <c r="B478">
        <v>3625</v>
      </c>
      <c r="C478">
        <v>3630</v>
      </c>
      <c r="D478" s="2">
        <v>43744</v>
      </c>
      <c r="E478" s="3">
        <f t="shared" si="21"/>
        <v>2019</v>
      </c>
      <c r="F478" s="3">
        <f t="shared" si="22"/>
        <v>10</v>
      </c>
      <c r="G478" s="3">
        <f t="shared" si="23"/>
        <v>1</v>
      </c>
      <c r="H478" t="s">
        <v>2813</v>
      </c>
      <c r="I478">
        <v>715</v>
      </c>
      <c r="J478" t="s">
        <v>2814</v>
      </c>
      <c r="K478" t="s">
        <v>1570</v>
      </c>
      <c r="L478">
        <v>2019</v>
      </c>
      <c r="M478" t="s">
        <v>272</v>
      </c>
      <c r="N478" t="s">
        <v>2813</v>
      </c>
      <c r="O478" t="s">
        <v>2815</v>
      </c>
      <c r="P478">
        <v>1900</v>
      </c>
      <c r="Q478" t="s">
        <v>1570</v>
      </c>
      <c r="R478">
        <v>2013</v>
      </c>
      <c r="S478" t="s">
        <v>2816</v>
      </c>
      <c r="T478" t="s">
        <v>2817</v>
      </c>
      <c r="U478">
        <v>5103</v>
      </c>
      <c r="V478" t="s">
        <v>1570</v>
      </c>
      <c r="W478">
        <v>2013</v>
      </c>
      <c r="X478" t="s">
        <v>125</v>
      </c>
      <c r="Y478">
        <v>-3.5</v>
      </c>
      <c r="Z478">
        <v>-1.5</v>
      </c>
      <c r="AA478">
        <v>-1.5</v>
      </c>
      <c r="AB478">
        <v>10</v>
      </c>
      <c r="AC478">
        <v>45</v>
      </c>
      <c r="AD478">
        <v>45</v>
      </c>
      <c r="AE478">
        <v>40</v>
      </c>
      <c r="AF478">
        <v>60</v>
      </c>
      <c r="AG478">
        <v>53</v>
      </c>
      <c r="AH478">
        <v>47</v>
      </c>
      <c r="AI478">
        <v>0</v>
      </c>
      <c r="AJ478">
        <v>100</v>
      </c>
      <c r="AK478">
        <v>25</v>
      </c>
      <c r="AL478">
        <v>75</v>
      </c>
      <c r="AM478">
        <v>38</v>
      </c>
      <c r="AN478">
        <v>62</v>
      </c>
      <c r="AO478">
        <v>38</v>
      </c>
      <c r="AP478">
        <v>62</v>
      </c>
      <c r="AQ478">
        <v>67</v>
      </c>
      <c r="AR478">
        <v>73</v>
      </c>
      <c r="AS478">
        <v>64</v>
      </c>
      <c r="AT478">
        <v>100</v>
      </c>
      <c r="AU478">
        <v>64</v>
      </c>
      <c r="AV478">
        <v>100</v>
      </c>
      <c r="AW478">
        <v>8</v>
      </c>
      <c r="AX478">
        <v>1.6</v>
      </c>
      <c r="AY478">
        <v>4</v>
      </c>
      <c r="AZ478">
        <v>0.8</v>
      </c>
      <c r="BA478">
        <v>5</v>
      </c>
      <c r="BB478">
        <v>6</v>
      </c>
      <c r="BC478">
        <v>3</v>
      </c>
      <c r="BD478">
        <v>3</v>
      </c>
      <c r="BE478">
        <v>2</v>
      </c>
      <c r="BF478">
        <v>1</v>
      </c>
      <c r="BG478">
        <v>0</v>
      </c>
      <c r="BH478">
        <v>2</v>
      </c>
      <c r="BI478">
        <v>7</v>
      </c>
      <c r="BJ478">
        <v>8</v>
      </c>
      <c r="BK478">
        <v>3</v>
      </c>
      <c r="BL478">
        <v>4</v>
      </c>
      <c r="BM478">
        <v>1.4</v>
      </c>
      <c r="BN478">
        <v>1.3</v>
      </c>
      <c r="BO478">
        <v>0.6</v>
      </c>
      <c r="BP478">
        <v>0.7</v>
      </c>
      <c r="BQ478">
        <v>4</v>
      </c>
      <c r="BR478">
        <v>4</v>
      </c>
      <c r="BS478">
        <v>2</v>
      </c>
      <c r="BT478">
        <v>0</v>
      </c>
      <c r="BU478">
        <v>1</v>
      </c>
      <c r="BV478">
        <v>2</v>
      </c>
      <c r="BW478">
        <v>1</v>
      </c>
      <c r="BX478">
        <v>2</v>
      </c>
      <c r="BY478">
        <v>7</v>
      </c>
      <c r="BZ478">
        <v>1.4</v>
      </c>
      <c r="CA478">
        <v>0</v>
      </c>
      <c r="CB478">
        <v>0</v>
      </c>
      <c r="CC478">
        <v>6</v>
      </c>
      <c r="CD478">
        <v>5</v>
      </c>
      <c r="CE478">
        <v>3</v>
      </c>
      <c r="CF478">
        <v>4</v>
      </c>
      <c r="CG478">
        <v>3</v>
      </c>
      <c r="CH478">
        <v>1</v>
      </c>
      <c r="CI478">
        <v>0</v>
      </c>
      <c r="CJ478">
        <v>0</v>
      </c>
      <c r="CK478">
        <v>12</v>
      </c>
      <c r="CL478">
        <v>6</v>
      </c>
      <c r="CM478">
        <v>8</v>
      </c>
      <c r="CN478">
        <v>1</v>
      </c>
      <c r="CO478">
        <v>2</v>
      </c>
      <c r="CP478">
        <v>1.2</v>
      </c>
      <c r="CQ478">
        <v>1.3</v>
      </c>
      <c r="CR478">
        <v>0.2</v>
      </c>
      <c r="CS478">
        <v>4</v>
      </c>
      <c r="CT478">
        <v>4</v>
      </c>
      <c r="CU478">
        <v>2</v>
      </c>
      <c r="CV478">
        <v>1</v>
      </c>
      <c r="CW478">
        <v>2</v>
      </c>
      <c r="CX478">
        <v>1</v>
      </c>
      <c r="CY478">
        <v>0</v>
      </c>
      <c r="CZ478">
        <v>2</v>
      </c>
    </row>
    <row r="479" spans="1:104" x14ac:dyDescent="0.25">
      <c r="A479" s="1" t="s">
        <v>2818</v>
      </c>
      <c r="B479">
        <v>577</v>
      </c>
      <c r="C479">
        <v>3325</v>
      </c>
      <c r="D479" s="2">
        <v>44010</v>
      </c>
      <c r="E479" s="3">
        <f t="shared" si="21"/>
        <v>2020</v>
      </c>
      <c r="F479" s="3">
        <f t="shared" si="22"/>
        <v>6</v>
      </c>
      <c r="G479" s="3">
        <f t="shared" si="23"/>
        <v>1</v>
      </c>
      <c r="H479" t="s">
        <v>2819</v>
      </c>
      <c r="I479">
        <v>907</v>
      </c>
      <c r="J479" t="s">
        <v>2207</v>
      </c>
      <c r="K479" t="s">
        <v>2208</v>
      </c>
      <c r="L479">
        <v>2019</v>
      </c>
      <c r="M479" t="s">
        <v>742</v>
      </c>
      <c r="N479" t="s">
        <v>2819</v>
      </c>
      <c r="O479" t="s">
        <v>2820</v>
      </c>
      <c r="P479">
        <v>12342</v>
      </c>
      <c r="Q479" t="s">
        <v>2208</v>
      </c>
      <c r="R479">
        <v>1930</v>
      </c>
      <c r="S479" t="s">
        <v>2821</v>
      </c>
      <c r="T479" t="s">
        <v>2822</v>
      </c>
      <c r="U479">
        <v>3360</v>
      </c>
      <c r="V479" t="s">
        <v>2208</v>
      </c>
      <c r="W479">
        <v>1972</v>
      </c>
      <c r="X479" t="s">
        <v>109</v>
      </c>
      <c r="Z479">
        <v>-2.5</v>
      </c>
      <c r="AA479">
        <v>-2.5</v>
      </c>
      <c r="AB479">
        <v>45</v>
      </c>
      <c r="AC479">
        <v>45</v>
      </c>
      <c r="AD479">
        <v>10</v>
      </c>
      <c r="AE479">
        <v>53</v>
      </c>
      <c r="AF479">
        <v>47</v>
      </c>
      <c r="AG479">
        <v>63</v>
      </c>
      <c r="AH479">
        <v>38</v>
      </c>
      <c r="AI479">
        <v>46</v>
      </c>
      <c r="AJ479">
        <v>54</v>
      </c>
      <c r="AK479">
        <v>64</v>
      </c>
      <c r="AL479">
        <v>36</v>
      </c>
      <c r="AM479">
        <v>71</v>
      </c>
      <c r="AN479">
        <v>29</v>
      </c>
      <c r="AO479">
        <v>69</v>
      </c>
      <c r="AP479">
        <v>31</v>
      </c>
      <c r="AQ479">
        <v>60</v>
      </c>
      <c r="AR479">
        <v>59</v>
      </c>
      <c r="AS479">
        <v>59</v>
      </c>
      <c r="AT479">
        <v>53</v>
      </c>
      <c r="AU479">
        <v>35</v>
      </c>
      <c r="AV479">
        <v>65</v>
      </c>
      <c r="AW479">
        <v>10</v>
      </c>
      <c r="AX479">
        <v>2</v>
      </c>
      <c r="AY479">
        <v>7</v>
      </c>
      <c r="AZ479">
        <v>1.4</v>
      </c>
      <c r="BA479">
        <v>15</v>
      </c>
      <c r="BB479">
        <v>15</v>
      </c>
      <c r="BC479">
        <v>10</v>
      </c>
      <c r="BD479">
        <v>5</v>
      </c>
      <c r="BE479">
        <v>3</v>
      </c>
      <c r="BF479">
        <v>5</v>
      </c>
      <c r="BG479">
        <v>2</v>
      </c>
      <c r="BH479">
        <v>5</v>
      </c>
      <c r="BI479">
        <v>28</v>
      </c>
      <c r="BJ479">
        <v>20</v>
      </c>
      <c r="BK479">
        <v>12</v>
      </c>
      <c r="BL479">
        <v>15</v>
      </c>
      <c r="BM479">
        <v>1.9</v>
      </c>
      <c r="BN479">
        <v>1.3</v>
      </c>
      <c r="BO479">
        <v>0.8</v>
      </c>
      <c r="BP479">
        <v>1</v>
      </c>
      <c r="BQ479">
        <v>6</v>
      </c>
      <c r="BR479">
        <v>7</v>
      </c>
      <c r="BS479">
        <v>5</v>
      </c>
      <c r="BT479">
        <v>2</v>
      </c>
      <c r="BU479">
        <v>1</v>
      </c>
      <c r="BV479">
        <v>3</v>
      </c>
      <c r="BW479">
        <v>0</v>
      </c>
      <c r="BX479">
        <v>2</v>
      </c>
      <c r="BY479">
        <v>6</v>
      </c>
      <c r="BZ479">
        <v>1.2</v>
      </c>
      <c r="CA479">
        <v>6</v>
      </c>
      <c r="CB479">
        <v>1.2</v>
      </c>
      <c r="CC479">
        <v>15</v>
      </c>
      <c r="CD479">
        <v>15</v>
      </c>
      <c r="CE479">
        <v>8</v>
      </c>
      <c r="CF479">
        <v>2</v>
      </c>
      <c r="CG479">
        <v>5</v>
      </c>
      <c r="CH479">
        <v>8</v>
      </c>
      <c r="CI479">
        <v>2</v>
      </c>
      <c r="CJ479">
        <v>5</v>
      </c>
      <c r="CK479">
        <v>22</v>
      </c>
      <c r="CL479">
        <v>17</v>
      </c>
      <c r="CM479">
        <v>12</v>
      </c>
      <c r="CN479">
        <v>18</v>
      </c>
      <c r="CO479">
        <v>1.5</v>
      </c>
      <c r="CP479">
        <v>1.1000000000000001</v>
      </c>
      <c r="CQ479">
        <v>0.8</v>
      </c>
      <c r="CR479">
        <v>1.2</v>
      </c>
      <c r="CS479">
        <v>7</v>
      </c>
      <c r="CT479">
        <v>6</v>
      </c>
      <c r="CU479">
        <v>2</v>
      </c>
      <c r="CV479">
        <v>0</v>
      </c>
      <c r="CW479">
        <v>3</v>
      </c>
      <c r="CX479">
        <v>1</v>
      </c>
      <c r="CY479">
        <v>2</v>
      </c>
      <c r="CZ479">
        <v>5</v>
      </c>
    </row>
    <row r="480" spans="1:104" x14ac:dyDescent="0.25">
      <c r="A480" s="1" t="s">
        <v>2823</v>
      </c>
      <c r="B480">
        <v>2433</v>
      </c>
      <c r="C480">
        <v>391</v>
      </c>
      <c r="D480" s="2">
        <v>43680</v>
      </c>
      <c r="E480" s="3">
        <f t="shared" si="21"/>
        <v>2019</v>
      </c>
      <c r="F480" s="3">
        <f t="shared" si="22"/>
        <v>8</v>
      </c>
      <c r="G480" s="3">
        <f t="shared" si="23"/>
        <v>7</v>
      </c>
      <c r="H480" t="s">
        <v>2824</v>
      </c>
      <c r="I480">
        <v>1403</v>
      </c>
      <c r="J480" t="s">
        <v>2825</v>
      </c>
      <c r="K480" t="s">
        <v>217</v>
      </c>
      <c r="L480">
        <v>2019</v>
      </c>
      <c r="M480" t="s">
        <v>1042</v>
      </c>
      <c r="N480" t="s">
        <v>2824</v>
      </c>
      <c r="O480" t="s">
        <v>1734</v>
      </c>
      <c r="P480">
        <v>1500</v>
      </c>
      <c r="Q480" t="s">
        <v>217</v>
      </c>
      <c r="S480" t="s">
        <v>1424</v>
      </c>
      <c r="T480" t="s">
        <v>1732</v>
      </c>
      <c r="U480">
        <v>4312</v>
      </c>
      <c r="V480" t="s">
        <v>217</v>
      </c>
      <c r="X480">
        <v>1</v>
      </c>
      <c r="Y480">
        <v>2.5</v>
      </c>
      <c r="Z480">
        <v>-6.5</v>
      </c>
      <c r="AA480">
        <v>-3.5</v>
      </c>
      <c r="AB480">
        <v>35</v>
      </c>
      <c r="AC480">
        <v>35</v>
      </c>
      <c r="AD480">
        <v>30</v>
      </c>
      <c r="AE480">
        <v>50</v>
      </c>
      <c r="AF480">
        <v>50</v>
      </c>
      <c r="AG480">
        <v>67</v>
      </c>
      <c r="AH480">
        <v>33</v>
      </c>
      <c r="AI480">
        <v>100</v>
      </c>
      <c r="AJ480">
        <v>0</v>
      </c>
      <c r="AK480">
        <v>0</v>
      </c>
      <c r="AL480">
        <v>0</v>
      </c>
      <c r="AM480">
        <v>0</v>
      </c>
      <c r="AN480">
        <v>100</v>
      </c>
      <c r="AO480">
        <v>33</v>
      </c>
      <c r="AP480">
        <v>67</v>
      </c>
      <c r="AQ480">
        <v>100</v>
      </c>
      <c r="AR480">
        <v>21</v>
      </c>
      <c r="AS480">
        <v>100</v>
      </c>
      <c r="AT480">
        <v>100</v>
      </c>
      <c r="AU480">
        <v>10</v>
      </c>
      <c r="AV480">
        <v>97</v>
      </c>
      <c r="AW480">
        <v>6</v>
      </c>
      <c r="AX480">
        <v>6</v>
      </c>
      <c r="AY480">
        <v>0</v>
      </c>
      <c r="AZ480">
        <v>0</v>
      </c>
      <c r="BA480">
        <v>0</v>
      </c>
      <c r="BB480">
        <v>1</v>
      </c>
      <c r="BC480">
        <v>0</v>
      </c>
      <c r="BD480">
        <v>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6</v>
      </c>
      <c r="BK480">
        <v>0</v>
      </c>
      <c r="BL480">
        <v>0</v>
      </c>
      <c r="BM480">
        <v>0</v>
      </c>
      <c r="BN480">
        <v>6</v>
      </c>
      <c r="BO480">
        <v>0</v>
      </c>
      <c r="BP480">
        <v>0</v>
      </c>
      <c r="BQ480">
        <v>2</v>
      </c>
      <c r="BR480">
        <v>2</v>
      </c>
      <c r="BS480">
        <v>0</v>
      </c>
      <c r="BT480">
        <v>1</v>
      </c>
      <c r="BU480">
        <v>0</v>
      </c>
      <c r="BV480">
        <v>0</v>
      </c>
      <c r="BW480">
        <v>2</v>
      </c>
      <c r="BX480">
        <v>1</v>
      </c>
      <c r="BY480">
        <v>3</v>
      </c>
      <c r="BZ480">
        <v>3</v>
      </c>
      <c r="CA480">
        <v>1</v>
      </c>
      <c r="CB480">
        <v>1</v>
      </c>
      <c r="CC480">
        <v>0</v>
      </c>
      <c r="CD480">
        <v>1</v>
      </c>
      <c r="CE480">
        <v>0</v>
      </c>
      <c r="CF480">
        <v>1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3</v>
      </c>
      <c r="CM480">
        <v>0</v>
      </c>
      <c r="CN480">
        <v>1</v>
      </c>
      <c r="CO480">
        <v>0</v>
      </c>
      <c r="CP480">
        <v>3</v>
      </c>
      <c r="CQ480">
        <v>0</v>
      </c>
      <c r="CR480">
        <v>1</v>
      </c>
      <c r="CS480">
        <v>2</v>
      </c>
      <c r="CT480">
        <v>2</v>
      </c>
      <c r="CU480">
        <v>1</v>
      </c>
      <c r="CV480">
        <v>2</v>
      </c>
      <c r="CW480">
        <v>0</v>
      </c>
      <c r="CX480">
        <v>0</v>
      </c>
      <c r="CY480">
        <v>1</v>
      </c>
      <c r="CZ480">
        <v>0</v>
      </c>
    </row>
    <row r="481" spans="1:104" x14ac:dyDescent="0.25">
      <c r="A481" s="1" t="s">
        <v>2826</v>
      </c>
      <c r="B481">
        <v>2155</v>
      </c>
      <c r="C481">
        <v>2142</v>
      </c>
      <c r="D481" s="2">
        <v>44058</v>
      </c>
      <c r="E481" s="3">
        <f t="shared" si="21"/>
        <v>2020</v>
      </c>
      <c r="F481" s="3">
        <f t="shared" si="22"/>
        <v>8</v>
      </c>
      <c r="G481" s="3">
        <f t="shared" si="23"/>
        <v>7</v>
      </c>
      <c r="H481" t="s">
        <v>2827</v>
      </c>
      <c r="I481">
        <v>1384</v>
      </c>
      <c r="J481" t="s">
        <v>2828</v>
      </c>
      <c r="K481" t="s">
        <v>495</v>
      </c>
      <c r="L481">
        <v>2020</v>
      </c>
      <c r="M481" t="s">
        <v>2829</v>
      </c>
      <c r="N481" t="s">
        <v>2827</v>
      </c>
      <c r="O481" t="s">
        <v>2830</v>
      </c>
      <c r="P481">
        <v>5000</v>
      </c>
      <c r="Q481" t="s">
        <v>495</v>
      </c>
      <c r="R481">
        <v>2010</v>
      </c>
      <c r="S481" t="s">
        <v>2831</v>
      </c>
      <c r="T481" t="s">
        <v>2832</v>
      </c>
      <c r="U481">
        <v>10133</v>
      </c>
      <c r="V481" t="s">
        <v>495</v>
      </c>
      <c r="W481">
        <v>1926</v>
      </c>
      <c r="X481" t="s">
        <v>109</v>
      </c>
      <c r="Z481">
        <v>-2.5</v>
      </c>
      <c r="AA481">
        <v>-2.5</v>
      </c>
      <c r="AB481">
        <v>35</v>
      </c>
      <c r="AC481">
        <v>35</v>
      </c>
      <c r="AD481">
        <v>30</v>
      </c>
      <c r="AE481">
        <v>41</v>
      </c>
      <c r="AF481">
        <v>59</v>
      </c>
      <c r="AG481">
        <v>33</v>
      </c>
      <c r="AH481">
        <v>67</v>
      </c>
      <c r="AI481">
        <v>71</v>
      </c>
      <c r="AJ481">
        <v>29</v>
      </c>
      <c r="AK481">
        <v>74</v>
      </c>
      <c r="AL481">
        <v>26</v>
      </c>
      <c r="AM481">
        <v>50</v>
      </c>
      <c r="AN481">
        <v>50</v>
      </c>
      <c r="AO481">
        <v>50</v>
      </c>
      <c r="AP481">
        <v>50</v>
      </c>
      <c r="AQ481">
        <v>60</v>
      </c>
      <c r="AR481">
        <v>54</v>
      </c>
      <c r="AS481">
        <v>85</v>
      </c>
      <c r="AT481">
        <v>87</v>
      </c>
      <c r="AU481">
        <v>100</v>
      </c>
      <c r="AV481">
        <v>62</v>
      </c>
      <c r="AW481">
        <v>7</v>
      </c>
      <c r="AX481">
        <v>1.4</v>
      </c>
      <c r="AY481">
        <v>2</v>
      </c>
      <c r="AZ481">
        <v>0.4</v>
      </c>
      <c r="BA481">
        <v>2</v>
      </c>
      <c r="BB481">
        <v>3</v>
      </c>
      <c r="BC481">
        <v>1</v>
      </c>
      <c r="BD481">
        <v>2</v>
      </c>
      <c r="BE481">
        <v>0</v>
      </c>
      <c r="BF481">
        <v>0</v>
      </c>
      <c r="BG481">
        <v>1</v>
      </c>
      <c r="BH481">
        <v>1</v>
      </c>
      <c r="BI481">
        <v>4</v>
      </c>
      <c r="BJ481">
        <v>3</v>
      </c>
      <c r="BK481">
        <v>1</v>
      </c>
      <c r="BL481">
        <v>1</v>
      </c>
      <c r="BM481">
        <v>2</v>
      </c>
      <c r="BN481">
        <v>1</v>
      </c>
      <c r="BO481">
        <v>0.5</v>
      </c>
      <c r="BP481">
        <v>0.3</v>
      </c>
      <c r="BQ481">
        <v>2</v>
      </c>
      <c r="BR481">
        <v>1</v>
      </c>
      <c r="BS481">
        <v>1</v>
      </c>
      <c r="BT481">
        <v>0</v>
      </c>
      <c r="BU481">
        <v>1</v>
      </c>
      <c r="BV481">
        <v>0</v>
      </c>
      <c r="BW481">
        <v>0</v>
      </c>
      <c r="BX481">
        <v>1</v>
      </c>
      <c r="BY481">
        <v>14</v>
      </c>
      <c r="BZ481">
        <v>2.8</v>
      </c>
      <c r="CA481">
        <v>5</v>
      </c>
      <c r="CB481">
        <v>1</v>
      </c>
      <c r="CC481">
        <v>3</v>
      </c>
      <c r="CD481">
        <v>2</v>
      </c>
      <c r="CE481">
        <v>3</v>
      </c>
      <c r="CF481">
        <v>1</v>
      </c>
      <c r="CG481">
        <v>0</v>
      </c>
      <c r="CH481">
        <v>1</v>
      </c>
      <c r="CI481">
        <v>0</v>
      </c>
      <c r="CJ481">
        <v>0</v>
      </c>
      <c r="CK481">
        <v>10</v>
      </c>
      <c r="CL481">
        <v>4</v>
      </c>
      <c r="CM481">
        <v>2</v>
      </c>
      <c r="CN481">
        <v>3</v>
      </c>
      <c r="CO481">
        <v>3.3</v>
      </c>
      <c r="CP481">
        <v>2</v>
      </c>
      <c r="CQ481">
        <v>0.7</v>
      </c>
      <c r="CR481">
        <v>1.5</v>
      </c>
      <c r="CS481">
        <v>1</v>
      </c>
      <c r="CT481">
        <v>2</v>
      </c>
      <c r="CU481">
        <v>1</v>
      </c>
      <c r="CV481">
        <v>0</v>
      </c>
      <c r="CW481">
        <v>0</v>
      </c>
      <c r="CX481">
        <v>1</v>
      </c>
      <c r="CY481">
        <v>0</v>
      </c>
      <c r="CZ481">
        <v>1</v>
      </c>
    </row>
    <row r="482" spans="1:104" x14ac:dyDescent="0.25">
      <c r="A482" s="1" t="s">
        <v>2833</v>
      </c>
      <c r="B482">
        <v>4718</v>
      </c>
      <c r="C482">
        <v>6357</v>
      </c>
      <c r="D482" s="2">
        <v>43709</v>
      </c>
      <c r="E482" s="3">
        <f t="shared" si="21"/>
        <v>2019</v>
      </c>
      <c r="F482" s="3">
        <f t="shared" si="22"/>
        <v>9</v>
      </c>
      <c r="G482" s="3">
        <f t="shared" si="23"/>
        <v>1</v>
      </c>
      <c r="H482" t="s">
        <v>2834</v>
      </c>
      <c r="I482">
        <v>1290</v>
      </c>
      <c r="J482" t="s">
        <v>1289</v>
      </c>
      <c r="K482" t="s">
        <v>140</v>
      </c>
      <c r="L482">
        <v>2019</v>
      </c>
      <c r="M482" t="s">
        <v>2835</v>
      </c>
      <c r="N482" t="s">
        <v>2836</v>
      </c>
      <c r="O482" t="s">
        <v>1294</v>
      </c>
      <c r="P482">
        <v>1500</v>
      </c>
      <c r="Q482" t="s">
        <v>140</v>
      </c>
      <c r="R482">
        <v>1938</v>
      </c>
      <c r="S482" t="s">
        <v>2837</v>
      </c>
      <c r="T482" t="s">
        <v>2838</v>
      </c>
      <c r="U482">
        <v>4600</v>
      </c>
      <c r="V482" t="s">
        <v>140</v>
      </c>
      <c r="W482">
        <v>1912</v>
      </c>
      <c r="X482" t="s">
        <v>109</v>
      </c>
      <c r="Y482">
        <v>-2.5</v>
      </c>
      <c r="Z482">
        <v>-1.5</v>
      </c>
      <c r="AA482">
        <v>-1.5</v>
      </c>
      <c r="AB482">
        <v>45</v>
      </c>
      <c r="AC482">
        <v>45</v>
      </c>
      <c r="AD482">
        <v>10</v>
      </c>
      <c r="AE482">
        <v>60</v>
      </c>
      <c r="AF482">
        <v>40</v>
      </c>
      <c r="AG482">
        <v>50</v>
      </c>
      <c r="AH482">
        <v>50</v>
      </c>
      <c r="AI482">
        <v>50</v>
      </c>
      <c r="AJ482">
        <v>50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50</v>
      </c>
      <c r="AR482">
        <v>10</v>
      </c>
      <c r="AS482">
        <v>90</v>
      </c>
      <c r="AT482">
        <v>33</v>
      </c>
      <c r="AU482">
        <v>10</v>
      </c>
      <c r="AV482">
        <v>90</v>
      </c>
      <c r="AW482">
        <v>1</v>
      </c>
      <c r="AX482">
        <v>0.5</v>
      </c>
      <c r="AY482">
        <v>1</v>
      </c>
      <c r="AZ482">
        <v>0.5</v>
      </c>
      <c r="BA482">
        <v>1</v>
      </c>
      <c r="BB482">
        <v>1</v>
      </c>
      <c r="BC482">
        <v>1</v>
      </c>
      <c r="BD482">
        <v>0</v>
      </c>
      <c r="BE482">
        <v>0</v>
      </c>
      <c r="BF482">
        <v>0</v>
      </c>
      <c r="BG482">
        <v>0</v>
      </c>
      <c r="BH482">
        <v>1</v>
      </c>
      <c r="BI482">
        <v>1</v>
      </c>
      <c r="BJ482">
        <v>0</v>
      </c>
      <c r="BK482">
        <v>0</v>
      </c>
      <c r="BL482">
        <v>1</v>
      </c>
      <c r="BM482">
        <v>1</v>
      </c>
      <c r="BN482">
        <v>0</v>
      </c>
      <c r="BO482">
        <v>0</v>
      </c>
      <c r="BP482">
        <v>1</v>
      </c>
      <c r="BQ482">
        <v>1</v>
      </c>
      <c r="BR482">
        <v>1</v>
      </c>
      <c r="BS482">
        <v>1</v>
      </c>
      <c r="BT482">
        <v>0</v>
      </c>
      <c r="BU482">
        <v>0</v>
      </c>
      <c r="BV482">
        <v>0</v>
      </c>
      <c r="BW482">
        <v>0</v>
      </c>
      <c r="BX482">
        <v>1</v>
      </c>
      <c r="BY482">
        <v>1</v>
      </c>
      <c r="BZ482">
        <v>0.5</v>
      </c>
      <c r="CA482">
        <v>1</v>
      </c>
      <c r="CB482">
        <v>0.5</v>
      </c>
      <c r="CC482">
        <v>1</v>
      </c>
      <c r="CD482">
        <v>1</v>
      </c>
      <c r="CE482">
        <v>0</v>
      </c>
      <c r="CF482">
        <v>0</v>
      </c>
      <c r="CG482">
        <v>1</v>
      </c>
      <c r="CH482">
        <v>1</v>
      </c>
      <c r="CI482">
        <v>0</v>
      </c>
      <c r="CJ482">
        <v>0</v>
      </c>
      <c r="CK482">
        <v>1</v>
      </c>
      <c r="CL482">
        <v>0</v>
      </c>
      <c r="CM482">
        <v>1</v>
      </c>
      <c r="CN482">
        <v>0</v>
      </c>
      <c r="CO482">
        <v>1</v>
      </c>
      <c r="CP482">
        <v>0</v>
      </c>
      <c r="CQ482">
        <v>1</v>
      </c>
      <c r="CR482">
        <v>0</v>
      </c>
      <c r="CS482">
        <v>1</v>
      </c>
      <c r="CT482">
        <v>1</v>
      </c>
      <c r="CU482">
        <v>1</v>
      </c>
      <c r="CV482">
        <v>0</v>
      </c>
      <c r="CW482">
        <v>0</v>
      </c>
      <c r="CX482">
        <v>0</v>
      </c>
      <c r="CY482">
        <v>0</v>
      </c>
      <c r="CZ482">
        <v>1</v>
      </c>
    </row>
    <row r="483" spans="1:104" x14ac:dyDescent="0.25">
      <c r="A483" s="1" t="s">
        <v>2839</v>
      </c>
      <c r="B483">
        <v>7385</v>
      </c>
      <c r="C483">
        <v>7273</v>
      </c>
      <c r="D483" s="2">
        <v>43695</v>
      </c>
      <c r="E483" s="3">
        <f t="shared" si="21"/>
        <v>2019</v>
      </c>
      <c r="F483" s="3">
        <f t="shared" si="22"/>
        <v>8</v>
      </c>
      <c r="G483" s="3">
        <f t="shared" si="23"/>
        <v>1</v>
      </c>
      <c r="H483" t="s">
        <v>2840</v>
      </c>
      <c r="I483">
        <v>1154</v>
      </c>
      <c r="J483" t="s">
        <v>2841</v>
      </c>
      <c r="K483" t="s">
        <v>121</v>
      </c>
      <c r="L483">
        <v>2019</v>
      </c>
      <c r="M483" t="s">
        <v>2842</v>
      </c>
      <c r="N483" t="s">
        <v>2840</v>
      </c>
      <c r="O483" t="s">
        <v>2843</v>
      </c>
      <c r="P483">
        <v>1500</v>
      </c>
      <c r="Q483" t="s">
        <v>121</v>
      </c>
      <c r="R483">
        <v>1926</v>
      </c>
      <c r="V483" t="s">
        <v>121</v>
      </c>
      <c r="X483" t="s">
        <v>109</v>
      </c>
      <c r="Y483">
        <v>1.5</v>
      </c>
      <c r="Z483">
        <v>-2.5</v>
      </c>
      <c r="AA483">
        <v>-1.5</v>
      </c>
      <c r="AB483">
        <v>45</v>
      </c>
      <c r="AC483">
        <v>45</v>
      </c>
      <c r="AD483">
        <v>10</v>
      </c>
      <c r="AE483">
        <v>0</v>
      </c>
      <c r="AF483">
        <v>0</v>
      </c>
      <c r="AG483">
        <v>67</v>
      </c>
      <c r="AH483">
        <v>33</v>
      </c>
      <c r="AI483">
        <v>50</v>
      </c>
      <c r="AJ483">
        <v>50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14</v>
      </c>
      <c r="AS483">
        <v>79</v>
      </c>
      <c r="AT483">
        <v>0</v>
      </c>
      <c r="AU483">
        <v>7</v>
      </c>
      <c r="AV483">
        <v>79</v>
      </c>
      <c r="AW483">
        <v>2</v>
      </c>
      <c r="AX483">
        <v>2</v>
      </c>
      <c r="AY483">
        <v>3</v>
      </c>
      <c r="AZ483">
        <v>3</v>
      </c>
      <c r="BA483">
        <v>0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2</v>
      </c>
      <c r="BK483">
        <v>0</v>
      </c>
      <c r="BL483">
        <v>3</v>
      </c>
      <c r="BM483">
        <v>0</v>
      </c>
      <c r="BN483">
        <v>2</v>
      </c>
      <c r="BO483">
        <v>0</v>
      </c>
      <c r="BP483">
        <v>3</v>
      </c>
      <c r="BQ483">
        <v>1</v>
      </c>
      <c r="BR483">
        <v>0</v>
      </c>
      <c r="BS483">
        <v>1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</v>
      </c>
      <c r="BZ483">
        <v>1</v>
      </c>
      <c r="CA483">
        <v>3</v>
      </c>
      <c r="CB483">
        <v>3</v>
      </c>
      <c r="CC483">
        <v>1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1</v>
      </c>
      <c r="CJ483">
        <v>0</v>
      </c>
      <c r="CK483">
        <v>1</v>
      </c>
      <c r="CL483">
        <v>0</v>
      </c>
      <c r="CM483">
        <v>3</v>
      </c>
      <c r="CN483">
        <v>0</v>
      </c>
      <c r="CO483">
        <v>1</v>
      </c>
      <c r="CP483">
        <v>0</v>
      </c>
      <c r="CQ483">
        <v>3</v>
      </c>
      <c r="CR483">
        <v>0</v>
      </c>
      <c r="CS483">
        <v>0</v>
      </c>
      <c r="CT483">
        <v>1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1</v>
      </c>
    </row>
    <row r="484" spans="1:104" x14ac:dyDescent="0.25">
      <c r="A484" s="1" t="s">
        <v>2844</v>
      </c>
      <c r="B484">
        <v>9446</v>
      </c>
      <c r="C484">
        <v>9449</v>
      </c>
      <c r="D484" s="2">
        <v>43800</v>
      </c>
      <c r="E484" s="3">
        <f t="shared" si="21"/>
        <v>2019</v>
      </c>
      <c r="F484" s="3">
        <f t="shared" si="22"/>
        <v>12</v>
      </c>
      <c r="G484" s="3">
        <f t="shared" si="23"/>
        <v>1</v>
      </c>
      <c r="H484" t="s">
        <v>2845</v>
      </c>
      <c r="I484">
        <v>1254</v>
      </c>
      <c r="J484" t="s">
        <v>1437</v>
      </c>
      <c r="K484" t="s">
        <v>338</v>
      </c>
      <c r="L484">
        <v>2019</v>
      </c>
      <c r="M484" t="s">
        <v>173</v>
      </c>
      <c r="N484" t="s">
        <v>1440</v>
      </c>
      <c r="O484" t="s">
        <v>1441</v>
      </c>
      <c r="P484">
        <v>2000</v>
      </c>
      <c r="Q484" t="s">
        <v>338</v>
      </c>
      <c r="R484">
        <v>2015</v>
      </c>
      <c r="S484" t="s">
        <v>2846</v>
      </c>
      <c r="T484" t="s">
        <v>2847</v>
      </c>
      <c r="U484">
        <v>500</v>
      </c>
      <c r="V484" t="s">
        <v>338</v>
      </c>
      <c r="X484" t="s">
        <v>125</v>
      </c>
      <c r="Y484">
        <v>-3.5</v>
      </c>
      <c r="Z484">
        <v>-1.5</v>
      </c>
      <c r="AA484">
        <v>-1.5</v>
      </c>
      <c r="AB484">
        <v>10</v>
      </c>
      <c r="AC484">
        <v>45</v>
      </c>
      <c r="AD484">
        <v>45</v>
      </c>
      <c r="AE484">
        <v>50</v>
      </c>
      <c r="AF484">
        <v>50</v>
      </c>
      <c r="AG484">
        <v>57</v>
      </c>
      <c r="AH484">
        <v>43</v>
      </c>
      <c r="AI484">
        <v>40</v>
      </c>
      <c r="AJ484">
        <v>60</v>
      </c>
      <c r="AK484">
        <v>45</v>
      </c>
      <c r="AL484">
        <v>55</v>
      </c>
      <c r="AM484">
        <v>0</v>
      </c>
      <c r="AN484">
        <v>0</v>
      </c>
      <c r="AO484">
        <v>0</v>
      </c>
      <c r="AP484">
        <v>0</v>
      </c>
      <c r="AQ484">
        <v>27</v>
      </c>
      <c r="AR484">
        <v>40</v>
      </c>
      <c r="AS484">
        <v>40</v>
      </c>
      <c r="AT484">
        <v>27</v>
      </c>
      <c r="AU484">
        <v>30</v>
      </c>
      <c r="AV484">
        <v>60</v>
      </c>
      <c r="AW484">
        <v>4</v>
      </c>
      <c r="AX484">
        <v>0.8</v>
      </c>
      <c r="AY484">
        <v>6</v>
      </c>
      <c r="AZ484">
        <v>1.2</v>
      </c>
      <c r="BA484">
        <v>6</v>
      </c>
      <c r="BB484">
        <v>8</v>
      </c>
      <c r="BC484">
        <v>0</v>
      </c>
      <c r="BD484">
        <v>1</v>
      </c>
      <c r="BE484">
        <v>3</v>
      </c>
      <c r="BF484">
        <v>3</v>
      </c>
      <c r="BG484">
        <v>3</v>
      </c>
      <c r="BH484">
        <v>4</v>
      </c>
      <c r="BI484">
        <v>2</v>
      </c>
      <c r="BJ484">
        <v>6</v>
      </c>
      <c r="BK484">
        <v>7</v>
      </c>
      <c r="BL484">
        <v>10</v>
      </c>
      <c r="BM484">
        <v>0.3</v>
      </c>
      <c r="BN484">
        <v>0.8</v>
      </c>
      <c r="BO484">
        <v>1.2</v>
      </c>
      <c r="BP484">
        <v>1.3</v>
      </c>
      <c r="BQ484">
        <v>1</v>
      </c>
      <c r="BR484">
        <v>0</v>
      </c>
      <c r="BS484">
        <v>0</v>
      </c>
      <c r="BT484">
        <v>0</v>
      </c>
      <c r="BU484">
        <v>1</v>
      </c>
      <c r="BV484">
        <v>0</v>
      </c>
      <c r="BW484">
        <v>0</v>
      </c>
      <c r="BX484">
        <v>0</v>
      </c>
      <c r="BY484">
        <v>3</v>
      </c>
      <c r="BZ484">
        <v>0.6</v>
      </c>
      <c r="CA484">
        <v>4</v>
      </c>
      <c r="CB484">
        <v>0.8</v>
      </c>
      <c r="CC484">
        <v>8</v>
      </c>
      <c r="CD484">
        <v>7</v>
      </c>
      <c r="CE484">
        <v>1</v>
      </c>
      <c r="CF484">
        <v>0</v>
      </c>
      <c r="CG484">
        <v>3</v>
      </c>
      <c r="CH484">
        <v>3</v>
      </c>
      <c r="CI484">
        <v>4</v>
      </c>
      <c r="CJ484">
        <v>4</v>
      </c>
      <c r="CK484">
        <v>5</v>
      </c>
      <c r="CL484">
        <v>3</v>
      </c>
      <c r="CM484">
        <v>9</v>
      </c>
      <c r="CN484">
        <v>9</v>
      </c>
      <c r="CO484">
        <v>0.6</v>
      </c>
      <c r="CP484">
        <v>0.4</v>
      </c>
      <c r="CQ484">
        <v>1.1000000000000001</v>
      </c>
      <c r="CR484">
        <v>1.3</v>
      </c>
      <c r="CS484">
        <v>0</v>
      </c>
      <c r="CT484">
        <v>1</v>
      </c>
      <c r="CU484">
        <v>0</v>
      </c>
      <c r="CV484">
        <v>0</v>
      </c>
      <c r="CW484">
        <v>0</v>
      </c>
      <c r="CX484">
        <v>1</v>
      </c>
      <c r="CY484">
        <v>0</v>
      </c>
      <c r="CZ484">
        <v>0</v>
      </c>
    </row>
    <row r="485" spans="1:104" x14ac:dyDescent="0.25">
      <c r="A485" s="1" t="s">
        <v>2848</v>
      </c>
      <c r="B485">
        <v>4917</v>
      </c>
      <c r="C485">
        <v>4913</v>
      </c>
      <c r="D485" s="2">
        <v>43744</v>
      </c>
      <c r="E485" s="3">
        <f t="shared" si="21"/>
        <v>2019</v>
      </c>
      <c r="F485" s="3">
        <f t="shared" si="22"/>
        <v>10</v>
      </c>
      <c r="G485" s="3">
        <f t="shared" si="23"/>
        <v>1</v>
      </c>
      <c r="H485" t="s">
        <v>2849</v>
      </c>
      <c r="I485">
        <v>790</v>
      </c>
      <c r="J485" t="s">
        <v>854</v>
      </c>
      <c r="K485" t="s">
        <v>855</v>
      </c>
      <c r="L485">
        <v>2019</v>
      </c>
      <c r="M485" t="s">
        <v>598</v>
      </c>
      <c r="N485" t="s">
        <v>2850</v>
      </c>
      <c r="O485" t="s">
        <v>2851</v>
      </c>
      <c r="P485">
        <v>2250</v>
      </c>
      <c r="Q485" t="s">
        <v>855</v>
      </c>
      <c r="R485">
        <v>2012</v>
      </c>
      <c r="S485" t="s">
        <v>2852</v>
      </c>
      <c r="T485" t="s">
        <v>857</v>
      </c>
      <c r="U485">
        <v>48500</v>
      </c>
      <c r="V485" t="s">
        <v>855</v>
      </c>
      <c r="W485">
        <v>1977</v>
      </c>
      <c r="X485" t="s">
        <v>125</v>
      </c>
      <c r="Z485">
        <v>-2.5</v>
      </c>
      <c r="AA485">
        <v>-2.5</v>
      </c>
      <c r="AB485">
        <v>0</v>
      </c>
      <c r="AC485">
        <v>50</v>
      </c>
      <c r="AD485">
        <v>50</v>
      </c>
      <c r="AE485">
        <v>40</v>
      </c>
      <c r="AF485">
        <v>60</v>
      </c>
      <c r="AG485">
        <v>40</v>
      </c>
      <c r="AH485">
        <v>60</v>
      </c>
      <c r="AI485">
        <v>22</v>
      </c>
      <c r="AJ485">
        <v>78</v>
      </c>
      <c r="AK485">
        <v>0</v>
      </c>
      <c r="AL485">
        <v>0</v>
      </c>
      <c r="AM485">
        <v>7</v>
      </c>
      <c r="AN485">
        <v>93</v>
      </c>
      <c r="AO485">
        <v>0</v>
      </c>
      <c r="AP485">
        <v>100</v>
      </c>
      <c r="AQ485">
        <v>53</v>
      </c>
      <c r="AR485">
        <v>60</v>
      </c>
      <c r="AS485">
        <v>30</v>
      </c>
      <c r="AT485">
        <v>80</v>
      </c>
      <c r="AU485">
        <v>90</v>
      </c>
      <c r="AV485">
        <v>80</v>
      </c>
      <c r="AW485">
        <v>6</v>
      </c>
      <c r="AX485">
        <v>1.2</v>
      </c>
      <c r="AY485">
        <v>7</v>
      </c>
      <c r="AZ485">
        <v>1.4</v>
      </c>
      <c r="BA485">
        <v>2</v>
      </c>
      <c r="BB485">
        <v>3</v>
      </c>
      <c r="BC485">
        <v>0</v>
      </c>
      <c r="BD485">
        <v>2</v>
      </c>
      <c r="BE485">
        <v>2</v>
      </c>
      <c r="BF485">
        <v>0</v>
      </c>
      <c r="BG485">
        <v>0</v>
      </c>
      <c r="BH485">
        <v>1</v>
      </c>
      <c r="BI485">
        <v>2</v>
      </c>
      <c r="BJ485">
        <v>4</v>
      </c>
      <c r="BK485">
        <v>2</v>
      </c>
      <c r="BL485">
        <v>5</v>
      </c>
      <c r="BM485">
        <v>1</v>
      </c>
      <c r="BN485">
        <v>1.3</v>
      </c>
      <c r="BO485">
        <v>1</v>
      </c>
      <c r="BP485">
        <v>1.7</v>
      </c>
      <c r="BQ485">
        <v>3</v>
      </c>
      <c r="BR485">
        <v>4</v>
      </c>
      <c r="BS485">
        <v>0</v>
      </c>
      <c r="BT485">
        <v>0</v>
      </c>
      <c r="BU485">
        <v>0</v>
      </c>
      <c r="BV485">
        <v>0</v>
      </c>
      <c r="BW485">
        <v>3</v>
      </c>
      <c r="BX485">
        <v>4</v>
      </c>
      <c r="BY485">
        <v>9</v>
      </c>
      <c r="BZ485">
        <v>1.8</v>
      </c>
      <c r="CA485">
        <v>2</v>
      </c>
      <c r="CB485">
        <v>0.4</v>
      </c>
      <c r="CC485">
        <v>2</v>
      </c>
      <c r="CD485">
        <v>3</v>
      </c>
      <c r="CE485">
        <v>2</v>
      </c>
      <c r="CF485">
        <v>2</v>
      </c>
      <c r="CG485">
        <v>0</v>
      </c>
      <c r="CH485">
        <v>0</v>
      </c>
      <c r="CI485">
        <v>0</v>
      </c>
      <c r="CJ485">
        <v>1</v>
      </c>
      <c r="CK485">
        <v>4</v>
      </c>
      <c r="CL485">
        <v>5</v>
      </c>
      <c r="CM485">
        <v>0</v>
      </c>
      <c r="CN485">
        <v>2</v>
      </c>
      <c r="CO485">
        <v>2</v>
      </c>
      <c r="CP485">
        <v>1.7</v>
      </c>
      <c r="CQ485">
        <v>0</v>
      </c>
      <c r="CR485">
        <v>0.7</v>
      </c>
      <c r="CS485">
        <v>4</v>
      </c>
      <c r="CT485">
        <v>3</v>
      </c>
      <c r="CU485">
        <v>4</v>
      </c>
      <c r="CV485">
        <v>3</v>
      </c>
      <c r="CW485">
        <v>0</v>
      </c>
      <c r="CX485">
        <v>0</v>
      </c>
      <c r="CY485">
        <v>0</v>
      </c>
      <c r="CZ485">
        <v>0</v>
      </c>
    </row>
    <row r="486" spans="1:104" x14ac:dyDescent="0.25">
      <c r="A486" s="1" t="s">
        <v>2853</v>
      </c>
      <c r="B486">
        <v>133</v>
      </c>
      <c r="C486">
        <v>7780</v>
      </c>
      <c r="D486" s="2">
        <v>44014</v>
      </c>
      <c r="E486" s="3">
        <f t="shared" si="21"/>
        <v>2020</v>
      </c>
      <c r="F486" s="3">
        <f t="shared" si="22"/>
        <v>7</v>
      </c>
      <c r="G486" s="3">
        <f t="shared" si="23"/>
        <v>5</v>
      </c>
      <c r="H486" t="s">
        <v>2854</v>
      </c>
      <c r="I486">
        <v>2269</v>
      </c>
      <c r="J486" t="s">
        <v>953</v>
      </c>
      <c r="K486" t="s">
        <v>264</v>
      </c>
      <c r="L486">
        <v>2020</v>
      </c>
      <c r="M486" t="s">
        <v>2855</v>
      </c>
      <c r="N486" t="s">
        <v>2854</v>
      </c>
      <c r="O486" t="s">
        <v>2856</v>
      </c>
      <c r="P486">
        <v>22076</v>
      </c>
      <c r="Q486" t="s">
        <v>264</v>
      </c>
      <c r="R486">
        <v>1898</v>
      </c>
      <c r="S486" t="s">
        <v>2857</v>
      </c>
      <c r="T486" t="s">
        <v>2856</v>
      </c>
      <c r="U486">
        <v>3314</v>
      </c>
      <c r="V486" t="s">
        <v>264</v>
      </c>
      <c r="W486">
        <v>1914</v>
      </c>
      <c r="X486" t="s">
        <v>109</v>
      </c>
      <c r="Z486">
        <v>-2.5</v>
      </c>
      <c r="AA486">
        <v>-2.5</v>
      </c>
      <c r="AB486">
        <v>45</v>
      </c>
      <c r="AC486">
        <v>45</v>
      </c>
      <c r="AD486">
        <v>10</v>
      </c>
      <c r="AE486">
        <v>57</v>
      </c>
      <c r="AF486">
        <v>43</v>
      </c>
      <c r="AG486">
        <v>54</v>
      </c>
      <c r="AH486">
        <v>46</v>
      </c>
      <c r="AI486">
        <v>63</v>
      </c>
      <c r="AJ486">
        <v>38</v>
      </c>
      <c r="AK486">
        <v>45</v>
      </c>
      <c r="AL486">
        <v>55</v>
      </c>
      <c r="AM486">
        <v>0</v>
      </c>
      <c r="AN486">
        <v>0</v>
      </c>
      <c r="AO486">
        <v>0</v>
      </c>
      <c r="AP486">
        <v>0</v>
      </c>
      <c r="AQ486">
        <v>53</v>
      </c>
      <c r="AR486">
        <v>100</v>
      </c>
      <c r="AS486">
        <v>0</v>
      </c>
      <c r="AT486">
        <v>40</v>
      </c>
      <c r="AU486">
        <v>100</v>
      </c>
      <c r="AV486">
        <v>0</v>
      </c>
      <c r="AW486">
        <v>7</v>
      </c>
      <c r="AX486">
        <v>1.4</v>
      </c>
      <c r="AY486">
        <v>6</v>
      </c>
      <c r="AZ486">
        <v>1.2</v>
      </c>
      <c r="BA486">
        <v>5</v>
      </c>
      <c r="BB486">
        <v>5</v>
      </c>
      <c r="BC486">
        <v>1</v>
      </c>
      <c r="BD486">
        <v>2</v>
      </c>
      <c r="BE486">
        <v>1</v>
      </c>
      <c r="BF486">
        <v>2</v>
      </c>
      <c r="BG486">
        <v>3</v>
      </c>
      <c r="BH486">
        <v>1</v>
      </c>
      <c r="BI486">
        <v>3</v>
      </c>
      <c r="BJ486">
        <v>5</v>
      </c>
      <c r="BK486">
        <v>5</v>
      </c>
      <c r="BL486">
        <v>4</v>
      </c>
      <c r="BM486">
        <v>0.6</v>
      </c>
      <c r="BN486">
        <v>1</v>
      </c>
      <c r="BO486">
        <v>1</v>
      </c>
      <c r="BP486">
        <v>0.8</v>
      </c>
      <c r="BQ486">
        <v>1</v>
      </c>
      <c r="BR486">
        <v>0</v>
      </c>
      <c r="BS486">
        <v>1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6</v>
      </c>
      <c r="BZ486">
        <v>1.2</v>
      </c>
      <c r="CA486">
        <v>10</v>
      </c>
      <c r="CB486">
        <v>2</v>
      </c>
      <c r="CC486">
        <v>5</v>
      </c>
      <c r="CD486">
        <v>5</v>
      </c>
      <c r="CE486">
        <v>3</v>
      </c>
      <c r="CF486">
        <v>2</v>
      </c>
      <c r="CG486">
        <v>1</v>
      </c>
      <c r="CH486">
        <v>0</v>
      </c>
      <c r="CI486">
        <v>1</v>
      </c>
      <c r="CJ486">
        <v>3</v>
      </c>
      <c r="CK486">
        <v>5</v>
      </c>
      <c r="CL486">
        <v>6</v>
      </c>
      <c r="CM486">
        <v>3</v>
      </c>
      <c r="CN486">
        <v>10</v>
      </c>
      <c r="CO486">
        <v>1</v>
      </c>
      <c r="CP486">
        <v>1.2</v>
      </c>
      <c r="CQ486">
        <v>0.6</v>
      </c>
      <c r="CR486">
        <v>2</v>
      </c>
      <c r="CS486">
        <v>0</v>
      </c>
      <c r="CT486">
        <v>1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1</v>
      </c>
    </row>
    <row r="487" spans="1:104" x14ac:dyDescent="0.25">
      <c r="A487" s="1" t="s">
        <v>2858</v>
      </c>
      <c r="B487">
        <v>301</v>
      </c>
      <c r="C487">
        <v>306</v>
      </c>
      <c r="D487" s="2">
        <v>43779</v>
      </c>
      <c r="E487" s="3">
        <f t="shared" si="21"/>
        <v>2019</v>
      </c>
      <c r="F487" s="3">
        <f t="shared" si="22"/>
        <v>11</v>
      </c>
      <c r="G487" s="3">
        <f t="shared" si="23"/>
        <v>1</v>
      </c>
      <c r="H487" t="s">
        <v>2859</v>
      </c>
      <c r="I487">
        <v>284</v>
      </c>
      <c r="J487" t="s">
        <v>2860</v>
      </c>
      <c r="K487" t="s">
        <v>149</v>
      </c>
      <c r="L487">
        <v>2019</v>
      </c>
      <c r="M487" t="s">
        <v>242</v>
      </c>
      <c r="N487" t="s">
        <v>2861</v>
      </c>
      <c r="O487" t="s">
        <v>2862</v>
      </c>
      <c r="P487">
        <v>19470</v>
      </c>
      <c r="Q487" t="s">
        <v>149</v>
      </c>
      <c r="R487">
        <v>1946</v>
      </c>
      <c r="S487" t="s">
        <v>2863</v>
      </c>
      <c r="T487" t="s">
        <v>2864</v>
      </c>
      <c r="U487">
        <v>48955</v>
      </c>
      <c r="V487" t="s">
        <v>149</v>
      </c>
      <c r="W487">
        <v>1969</v>
      </c>
      <c r="X487" t="s">
        <v>125</v>
      </c>
      <c r="Z487">
        <v>-2.5</v>
      </c>
      <c r="AA487">
        <v>-2.5</v>
      </c>
      <c r="AB487">
        <v>10</v>
      </c>
      <c r="AC487">
        <v>45</v>
      </c>
      <c r="AD487">
        <v>45</v>
      </c>
      <c r="AE487">
        <v>50</v>
      </c>
      <c r="AF487">
        <v>50</v>
      </c>
      <c r="AG487">
        <v>44</v>
      </c>
      <c r="AH487">
        <v>56</v>
      </c>
      <c r="AI487">
        <v>42</v>
      </c>
      <c r="AJ487">
        <v>58</v>
      </c>
      <c r="AK487">
        <v>45</v>
      </c>
      <c r="AL487">
        <v>55</v>
      </c>
      <c r="AM487">
        <v>38</v>
      </c>
      <c r="AN487">
        <v>62</v>
      </c>
      <c r="AO487">
        <v>47</v>
      </c>
      <c r="AP487">
        <v>53</v>
      </c>
      <c r="AQ487">
        <v>40</v>
      </c>
      <c r="AR487">
        <v>78</v>
      </c>
      <c r="AS487">
        <v>0</v>
      </c>
      <c r="AT487">
        <v>40</v>
      </c>
      <c r="AU487">
        <v>100</v>
      </c>
      <c r="AV487">
        <v>11</v>
      </c>
      <c r="AW487">
        <v>7</v>
      </c>
      <c r="AX487">
        <v>1.4</v>
      </c>
      <c r="AY487">
        <v>11</v>
      </c>
      <c r="AZ487">
        <v>2.2000000000000002</v>
      </c>
      <c r="BA487">
        <v>19</v>
      </c>
      <c r="BB487">
        <v>20</v>
      </c>
      <c r="BC487">
        <v>6</v>
      </c>
      <c r="BD487">
        <v>4</v>
      </c>
      <c r="BE487">
        <v>4</v>
      </c>
      <c r="BF487">
        <v>8</v>
      </c>
      <c r="BG487">
        <v>9</v>
      </c>
      <c r="BH487">
        <v>8</v>
      </c>
      <c r="BI487">
        <v>26</v>
      </c>
      <c r="BJ487">
        <v>20</v>
      </c>
      <c r="BK487">
        <v>37</v>
      </c>
      <c r="BL487">
        <v>25</v>
      </c>
      <c r="BM487">
        <v>1.4</v>
      </c>
      <c r="BN487">
        <v>1</v>
      </c>
      <c r="BO487">
        <v>1.9</v>
      </c>
      <c r="BP487">
        <v>1.3</v>
      </c>
      <c r="BQ487">
        <v>10</v>
      </c>
      <c r="BR487">
        <v>8</v>
      </c>
      <c r="BS487">
        <v>3</v>
      </c>
      <c r="BT487">
        <v>0</v>
      </c>
      <c r="BU487">
        <v>5</v>
      </c>
      <c r="BV487">
        <v>4</v>
      </c>
      <c r="BW487">
        <v>2</v>
      </c>
      <c r="BX487">
        <v>4</v>
      </c>
      <c r="BY487">
        <v>9</v>
      </c>
      <c r="BZ487">
        <v>1.8</v>
      </c>
      <c r="CA487">
        <v>8</v>
      </c>
      <c r="CB487">
        <v>1.6</v>
      </c>
      <c r="CC487">
        <v>19</v>
      </c>
      <c r="CD487">
        <v>20</v>
      </c>
      <c r="CE487">
        <v>8</v>
      </c>
      <c r="CF487">
        <v>5</v>
      </c>
      <c r="CG487">
        <v>7</v>
      </c>
      <c r="CH487">
        <v>5</v>
      </c>
      <c r="CI487">
        <v>4</v>
      </c>
      <c r="CJ487">
        <v>10</v>
      </c>
      <c r="CK487">
        <v>31</v>
      </c>
      <c r="CL487">
        <v>22</v>
      </c>
      <c r="CM487">
        <v>25</v>
      </c>
      <c r="CN487">
        <v>31</v>
      </c>
      <c r="CO487">
        <v>1.6</v>
      </c>
      <c r="CP487">
        <v>1.1000000000000001</v>
      </c>
      <c r="CQ487">
        <v>1.3</v>
      </c>
      <c r="CR487">
        <v>1.6</v>
      </c>
      <c r="CS487">
        <v>8</v>
      </c>
      <c r="CT487">
        <v>10</v>
      </c>
      <c r="CU487">
        <v>4</v>
      </c>
      <c r="CV487">
        <v>2</v>
      </c>
      <c r="CW487">
        <v>4</v>
      </c>
      <c r="CX487">
        <v>5</v>
      </c>
      <c r="CY487">
        <v>0</v>
      </c>
      <c r="CZ487">
        <v>3</v>
      </c>
    </row>
    <row r="488" spans="1:104" x14ac:dyDescent="0.25">
      <c r="A488" s="1" t="s">
        <v>2865</v>
      </c>
      <c r="B488">
        <v>4492</v>
      </c>
      <c r="C488">
        <v>4480</v>
      </c>
      <c r="D488" s="2">
        <v>44084</v>
      </c>
      <c r="E488" s="3">
        <f t="shared" si="21"/>
        <v>2020</v>
      </c>
      <c r="F488" s="3">
        <f t="shared" si="22"/>
        <v>9</v>
      </c>
      <c r="G488" s="3">
        <f t="shared" si="23"/>
        <v>5</v>
      </c>
      <c r="H488" t="s">
        <v>2866</v>
      </c>
      <c r="I488">
        <v>2770</v>
      </c>
      <c r="J488" t="s">
        <v>2867</v>
      </c>
      <c r="K488" t="s">
        <v>194</v>
      </c>
      <c r="L488">
        <v>2020</v>
      </c>
      <c r="M488" t="s">
        <v>209</v>
      </c>
      <c r="N488" t="s">
        <v>2868</v>
      </c>
      <c r="O488" t="s">
        <v>2869</v>
      </c>
      <c r="P488">
        <v>5000</v>
      </c>
      <c r="Q488" t="s">
        <v>194</v>
      </c>
      <c r="R488">
        <v>1963</v>
      </c>
      <c r="S488" t="s">
        <v>196</v>
      </c>
      <c r="T488" t="s">
        <v>197</v>
      </c>
      <c r="U488">
        <v>2500</v>
      </c>
      <c r="V488" t="s">
        <v>194</v>
      </c>
      <c r="X488" t="s">
        <v>109</v>
      </c>
      <c r="Y488">
        <v>-3.5</v>
      </c>
      <c r="Z488">
        <v>-2.5</v>
      </c>
      <c r="AA488">
        <v>-1.5</v>
      </c>
      <c r="AB488">
        <v>45</v>
      </c>
      <c r="AC488">
        <v>45</v>
      </c>
      <c r="AD488">
        <v>10</v>
      </c>
      <c r="AE488">
        <v>100</v>
      </c>
      <c r="AF488">
        <v>0</v>
      </c>
      <c r="AG488">
        <v>67</v>
      </c>
      <c r="AH488">
        <v>33</v>
      </c>
      <c r="AI488">
        <v>100</v>
      </c>
      <c r="AJ488">
        <v>0</v>
      </c>
      <c r="AK488">
        <v>100</v>
      </c>
      <c r="AL488">
        <v>0</v>
      </c>
      <c r="AM488">
        <v>20</v>
      </c>
      <c r="AN488">
        <v>80</v>
      </c>
      <c r="AO488">
        <v>33</v>
      </c>
      <c r="AP488">
        <v>67</v>
      </c>
      <c r="AQ488">
        <v>100</v>
      </c>
      <c r="AR488">
        <v>15</v>
      </c>
      <c r="AS488">
        <v>100</v>
      </c>
      <c r="AT488">
        <v>0</v>
      </c>
      <c r="AU488">
        <v>8</v>
      </c>
      <c r="AV488">
        <v>85</v>
      </c>
      <c r="AW488">
        <v>2</v>
      </c>
      <c r="AX488">
        <v>1</v>
      </c>
      <c r="AY488">
        <v>0</v>
      </c>
      <c r="AZ488">
        <v>0</v>
      </c>
      <c r="BA488">
        <v>1</v>
      </c>
      <c r="BB488">
        <v>1</v>
      </c>
      <c r="BC488">
        <v>1</v>
      </c>
      <c r="BD488">
        <v>1</v>
      </c>
      <c r="BE488">
        <v>0</v>
      </c>
      <c r="BF488">
        <v>0</v>
      </c>
      <c r="BG488">
        <v>0</v>
      </c>
      <c r="BH488">
        <v>0</v>
      </c>
      <c r="BI488">
        <v>1</v>
      </c>
      <c r="BJ488">
        <v>1</v>
      </c>
      <c r="BK488">
        <v>0</v>
      </c>
      <c r="BL488">
        <v>0</v>
      </c>
      <c r="BM488">
        <v>1</v>
      </c>
      <c r="BN488">
        <v>1</v>
      </c>
      <c r="BO488">
        <v>0</v>
      </c>
      <c r="BP488">
        <v>0</v>
      </c>
      <c r="BQ488">
        <v>1</v>
      </c>
      <c r="BR488">
        <v>1</v>
      </c>
      <c r="BS488">
        <v>0</v>
      </c>
      <c r="BT488">
        <v>0</v>
      </c>
      <c r="BU488">
        <v>1</v>
      </c>
      <c r="BV488">
        <v>0</v>
      </c>
      <c r="BW488">
        <v>0</v>
      </c>
      <c r="BX488">
        <v>1</v>
      </c>
      <c r="BY488">
        <v>1</v>
      </c>
      <c r="BZ488">
        <v>1</v>
      </c>
      <c r="CA488">
        <v>2</v>
      </c>
      <c r="CB488">
        <v>2</v>
      </c>
      <c r="CC488">
        <v>0</v>
      </c>
      <c r="CD488">
        <v>1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1</v>
      </c>
      <c r="CK488">
        <v>0</v>
      </c>
      <c r="CL488">
        <v>1</v>
      </c>
      <c r="CM488">
        <v>0</v>
      </c>
      <c r="CN488">
        <v>2</v>
      </c>
      <c r="CO488">
        <v>0</v>
      </c>
      <c r="CP488">
        <v>1</v>
      </c>
      <c r="CQ488">
        <v>0</v>
      </c>
      <c r="CR488">
        <v>2</v>
      </c>
      <c r="CS488">
        <v>1</v>
      </c>
      <c r="CT488">
        <v>1</v>
      </c>
      <c r="CU488">
        <v>1</v>
      </c>
      <c r="CV488">
        <v>0</v>
      </c>
      <c r="CW488">
        <v>0</v>
      </c>
      <c r="CX488">
        <v>1</v>
      </c>
      <c r="CY488">
        <v>0</v>
      </c>
      <c r="CZ488">
        <v>0</v>
      </c>
    </row>
    <row r="489" spans="1:104" x14ac:dyDescent="0.25">
      <c r="A489" s="1" t="s">
        <v>2870</v>
      </c>
      <c r="B489">
        <v>12716</v>
      </c>
      <c r="C489">
        <v>12714</v>
      </c>
      <c r="D489" s="2">
        <v>43779</v>
      </c>
      <c r="E489" s="3">
        <f t="shared" si="21"/>
        <v>2019</v>
      </c>
      <c r="F489" s="3">
        <f t="shared" si="22"/>
        <v>11</v>
      </c>
      <c r="G489" s="3">
        <f t="shared" si="23"/>
        <v>1</v>
      </c>
      <c r="H489" t="s">
        <v>2871</v>
      </c>
      <c r="I489">
        <v>2246</v>
      </c>
      <c r="J489" t="s">
        <v>2872</v>
      </c>
      <c r="K489" t="s">
        <v>442</v>
      </c>
      <c r="L489">
        <v>2019</v>
      </c>
      <c r="M489" t="s">
        <v>735</v>
      </c>
      <c r="N489" t="s">
        <v>2871</v>
      </c>
      <c r="O489" t="s">
        <v>2873</v>
      </c>
      <c r="P489">
        <v>1600</v>
      </c>
      <c r="Q489" t="s">
        <v>442</v>
      </c>
      <c r="S489" t="s">
        <v>2874</v>
      </c>
      <c r="T489" t="s">
        <v>2875</v>
      </c>
      <c r="U489">
        <v>4670</v>
      </c>
      <c r="V489" t="s">
        <v>442</v>
      </c>
      <c r="W489">
        <v>1906</v>
      </c>
      <c r="X489" t="s">
        <v>109</v>
      </c>
      <c r="Z489">
        <v>-2.5</v>
      </c>
      <c r="AA489">
        <v>-2.5</v>
      </c>
      <c r="AB489">
        <v>35</v>
      </c>
      <c r="AC489">
        <v>35</v>
      </c>
      <c r="AD489">
        <v>30</v>
      </c>
      <c r="AE489">
        <v>67</v>
      </c>
      <c r="AF489">
        <v>33</v>
      </c>
      <c r="AG489">
        <v>64</v>
      </c>
      <c r="AH489">
        <v>36</v>
      </c>
      <c r="AI489">
        <v>46</v>
      </c>
      <c r="AJ489">
        <v>54</v>
      </c>
      <c r="AK489">
        <v>53</v>
      </c>
      <c r="AL489">
        <v>47</v>
      </c>
      <c r="AM489">
        <v>0</v>
      </c>
      <c r="AN489">
        <v>100</v>
      </c>
      <c r="AO489">
        <v>0</v>
      </c>
      <c r="AP489">
        <v>100</v>
      </c>
      <c r="AQ489">
        <v>27</v>
      </c>
      <c r="AR489">
        <v>53</v>
      </c>
      <c r="AS489">
        <v>24</v>
      </c>
      <c r="AT489">
        <v>13</v>
      </c>
      <c r="AU489">
        <v>29</v>
      </c>
      <c r="AV489">
        <v>35</v>
      </c>
      <c r="AW489">
        <v>9</v>
      </c>
      <c r="AX489">
        <v>1.8</v>
      </c>
      <c r="AY489">
        <v>13</v>
      </c>
      <c r="AZ489">
        <v>2.6</v>
      </c>
      <c r="BA489">
        <v>7</v>
      </c>
      <c r="BB489">
        <v>6</v>
      </c>
      <c r="BC489">
        <v>3</v>
      </c>
      <c r="BD489">
        <v>1</v>
      </c>
      <c r="BE489">
        <v>2</v>
      </c>
      <c r="BF489">
        <v>1</v>
      </c>
      <c r="BG489">
        <v>2</v>
      </c>
      <c r="BH489">
        <v>4</v>
      </c>
      <c r="BI489">
        <v>13</v>
      </c>
      <c r="BJ489">
        <v>5</v>
      </c>
      <c r="BK489">
        <v>11</v>
      </c>
      <c r="BL489">
        <v>12</v>
      </c>
      <c r="BM489">
        <v>1.9</v>
      </c>
      <c r="BN489">
        <v>0.8</v>
      </c>
      <c r="BO489">
        <v>1.6</v>
      </c>
      <c r="BP489">
        <v>2</v>
      </c>
      <c r="BQ489">
        <v>1</v>
      </c>
      <c r="BR489">
        <v>2</v>
      </c>
      <c r="BS489">
        <v>1</v>
      </c>
      <c r="BT489">
        <v>0</v>
      </c>
      <c r="BU489">
        <v>0</v>
      </c>
      <c r="BV489">
        <v>0</v>
      </c>
      <c r="BW489">
        <v>0</v>
      </c>
      <c r="BX489">
        <v>2</v>
      </c>
      <c r="BY489">
        <v>5</v>
      </c>
      <c r="BZ489">
        <v>1</v>
      </c>
      <c r="CA489">
        <v>11</v>
      </c>
      <c r="CB489">
        <v>2.2000000000000002</v>
      </c>
      <c r="CC489">
        <v>7</v>
      </c>
      <c r="CD489">
        <v>6</v>
      </c>
      <c r="CE489">
        <v>1</v>
      </c>
      <c r="CF489">
        <v>2</v>
      </c>
      <c r="CG489">
        <v>3</v>
      </c>
      <c r="CH489">
        <v>0</v>
      </c>
      <c r="CI489">
        <v>3</v>
      </c>
      <c r="CJ489">
        <v>4</v>
      </c>
      <c r="CK489">
        <v>9</v>
      </c>
      <c r="CL489">
        <v>10</v>
      </c>
      <c r="CM489">
        <v>10</v>
      </c>
      <c r="CN489">
        <v>11</v>
      </c>
      <c r="CO489">
        <v>1.3</v>
      </c>
      <c r="CP489">
        <v>1.7</v>
      </c>
      <c r="CQ489">
        <v>1.4</v>
      </c>
      <c r="CR489">
        <v>1.8</v>
      </c>
      <c r="CS489">
        <v>2</v>
      </c>
      <c r="CT489">
        <v>1</v>
      </c>
      <c r="CU489">
        <v>2</v>
      </c>
      <c r="CV489">
        <v>0</v>
      </c>
      <c r="CW489">
        <v>0</v>
      </c>
      <c r="CX489">
        <v>0</v>
      </c>
      <c r="CY489">
        <v>0</v>
      </c>
      <c r="CZ489">
        <v>1</v>
      </c>
    </row>
    <row r="490" spans="1:104" x14ac:dyDescent="0.25">
      <c r="A490" s="1" t="s">
        <v>2876</v>
      </c>
      <c r="B490">
        <v>4505</v>
      </c>
      <c r="C490">
        <v>4497</v>
      </c>
      <c r="D490" s="2">
        <v>43680</v>
      </c>
      <c r="E490" s="3">
        <f t="shared" si="21"/>
        <v>2019</v>
      </c>
      <c r="F490" s="3">
        <f t="shared" si="22"/>
        <v>8</v>
      </c>
      <c r="G490" s="3">
        <f t="shared" si="23"/>
        <v>7</v>
      </c>
      <c r="H490" t="s">
        <v>2877</v>
      </c>
      <c r="I490">
        <v>888</v>
      </c>
      <c r="J490" t="s">
        <v>2878</v>
      </c>
      <c r="K490" t="s">
        <v>194</v>
      </c>
      <c r="L490">
        <v>2019</v>
      </c>
      <c r="M490" t="s">
        <v>2879</v>
      </c>
      <c r="N490" t="s">
        <v>2877</v>
      </c>
      <c r="O490" t="s">
        <v>2880</v>
      </c>
      <c r="P490">
        <v>24000</v>
      </c>
      <c r="Q490" t="s">
        <v>194</v>
      </c>
      <c r="R490">
        <v>1934</v>
      </c>
      <c r="S490" t="s">
        <v>2881</v>
      </c>
      <c r="T490" t="s">
        <v>2882</v>
      </c>
      <c r="U490">
        <v>1000</v>
      </c>
      <c r="V490" t="s">
        <v>194</v>
      </c>
      <c r="W490">
        <v>1928</v>
      </c>
      <c r="X490" t="s">
        <v>109</v>
      </c>
      <c r="Z490">
        <v>-2.5</v>
      </c>
      <c r="AA490">
        <v>-2.5</v>
      </c>
      <c r="AB490">
        <v>45</v>
      </c>
      <c r="AC490">
        <v>45</v>
      </c>
      <c r="AD490">
        <v>10</v>
      </c>
      <c r="AE490">
        <v>75</v>
      </c>
      <c r="AF490">
        <v>25</v>
      </c>
      <c r="AG490">
        <v>60</v>
      </c>
      <c r="AH490">
        <v>40</v>
      </c>
      <c r="AI490">
        <v>50</v>
      </c>
      <c r="AJ490">
        <v>50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50</v>
      </c>
      <c r="AR490">
        <v>19</v>
      </c>
      <c r="AS490">
        <v>88</v>
      </c>
      <c r="AT490">
        <v>33</v>
      </c>
      <c r="AU490">
        <v>13</v>
      </c>
      <c r="AV490">
        <v>88</v>
      </c>
      <c r="AW490">
        <v>3</v>
      </c>
      <c r="AX490">
        <v>1.5</v>
      </c>
      <c r="AY490">
        <v>2</v>
      </c>
      <c r="AZ490">
        <v>1</v>
      </c>
      <c r="BA490">
        <v>1</v>
      </c>
      <c r="BB490">
        <v>1</v>
      </c>
      <c r="BC490">
        <v>1</v>
      </c>
      <c r="BD490">
        <v>0</v>
      </c>
      <c r="BE490">
        <v>0</v>
      </c>
      <c r="BF490">
        <v>0</v>
      </c>
      <c r="BG490">
        <v>0</v>
      </c>
      <c r="BH490">
        <v>1</v>
      </c>
      <c r="BI490">
        <v>2</v>
      </c>
      <c r="BJ490">
        <v>1</v>
      </c>
      <c r="BK490">
        <v>0</v>
      </c>
      <c r="BL490">
        <v>2</v>
      </c>
      <c r="BM490">
        <v>2</v>
      </c>
      <c r="BN490">
        <v>1</v>
      </c>
      <c r="BO490">
        <v>0</v>
      </c>
      <c r="BP490">
        <v>2</v>
      </c>
      <c r="BQ490">
        <v>4</v>
      </c>
      <c r="BR490">
        <v>1</v>
      </c>
      <c r="BS490">
        <v>2</v>
      </c>
      <c r="BT490">
        <v>1</v>
      </c>
      <c r="BU490">
        <v>1</v>
      </c>
      <c r="BV490">
        <v>0</v>
      </c>
      <c r="BW490">
        <v>1</v>
      </c>
      <c r="BX490">
        <v>0</v>
      </c>
      <c r="BY490">
        <v>2</v>
      </c>
      <c r="BZ490">
        <v>2</v>
      </c>
      <c r="CA490">
        <v>2</v>
      </c>
      <c r="CB490">
        <v>2</v>
      </c>
      <c r="CC490">
        <v>1</v>
      </c>
      <c r="CD490">
        <v>0</v>
      </c>
      <c r="CE490">
        <v>0</v>
      </c>
      <c r="CF490">
        <v>0</v>
      </c>
      <c r="CG490">
        <v>1</v>
      </c>
      <c r="CH490">
        <v>0</v>
      </c>
      <c r="CI490">
        <v>0</v>
      </c>
      <c r="CJ490">
        <v>0</v>
      </c>
      <c r="CK490">
        <v>2</v>
      </c>
      <c r="CL490">
        <v>0</v>
      </c>
      <c r="CM490">
        <v>2</v>
      </c>
      <c r="CN490">
        <v>0</v>
      </c>
      <c r="CO490">
        <v>2</v>
      </c>
      <c r="CP490">
        <v>0</v>
      </c>
      <c r="CQ490">
        <v>2</v>
      </c>
      <c r="CR490">
        <v>0</v>
      </c>
      <c r="CS490">
        <v>1</v>
      </c>
      <c r="CT490">
        <v>4</v>
      </c>
      <c r="CU490">
        <v>0</v>
      </c>
      <c r="CV490">
        <v>1</v>
      </c>
      <c r="CW490">
        <v>0</v>
      </c>
      <c r="CX490">
        <v>1</v>
      </c>
      <c r="CY490">
        <v>1</v>
      </c>
      <c r="CZ490">
        <v>2</v>
      </c>
    </row>
    <row r="491" spans="1:104" x14ac:dyDescent="0.25">
      <c r="A491" s="1" t="s">
        <v>2883</v>
      </c>
      <c r="B491">
        <v>3334</v>
      </c>
      <c r="C491">
        <v>3322</v>
      </c>
      <c r="D491" s="2">
        <v>43778</v>
      </c>
      <c r="E491" s="3">
        <f t="shared" si="21"/>
        <v>2019</v>
      </c>
      <c r="F491" s="3">
        <f t="shared" si="22"/>
        <v>11</v>
      </c>
      <c r="G491" s="3">
        <f t="shared" si="23"/>
        <v>7</v>
      </c>
      <c r="H491" t="s">
        <v>2884</v>
      </c>
      <c r="I491">
        <v>965</v>
      </c>
      <c r="J491" t="s">
        <v>270</v>
      </c>
      <c r="K491" t="s">
        <v>2208</v>
      </c>
      <c r="L491">
        <v>2019</v>
      </c>
      <c r="M491" t="s">
        <v>828</v>
      </c>
      <c r="N491" t="s">
        <v>2884</v>
      </c>
      <c r="O491" t="s">
        <v>2885</v>
      </c>
      <c r="P491">
        <v>10700</v>
      </c>
      <c r="Q491" t="s">
        <v>2208</v>
      </c>
      <c r="R491">
        <v>1930</v>
      </c>
      <c r="S491" t="s">
        <v>2886</v>
      </c>
      <c r="T491" t="s">
        <v>2887</v>
      </c>
      <c r="U491">
        <v>8000</v>
      </c>
      <c r="V491" t="s">
        <v>2208</v>
      </c>
      <c r="W491">
        <v>1925</v>
      </c>
      <c r="X491" t="s">
        <v>109</v>
      </c>
      <c r="Z491">
        <v>-2.5</v>
      </c>
      <c r="AA491">
        <v>-2.5</v>
      </c>
      <c r="AB491">
        <v>45</v>
      </c>
      <c r="AC491">
        <v>45</v>
      </c>
      <c r="AD491">
        <v>10</v>
      </c>
      <c r="AE491">
        <v>67</v>
      </c>
      <c r="AF491">
        <v>33</v>
      </c>
      <c r="AG491">
        <v>43</v>
      </c>
      <c r="AH491">
        <v>57</v>
      </c>
      <c r="AI491">
        <v>69</v>
      </c>
      <c r="AJ491">
        <v>31</v>
      </c>
      <c r="AK491">
        <v>0</v>
      </c>
      <c r="AL491">
        <v>0</v>
      </c>
      <c r="AM491">
        <v>80</v>
      </c>
      <c r="AN491">
        <v>20</v>
      </c>
      <c r="AO491">
        <v>60</v>
      </c>
      <c r="AP491">
        <v>40</v>
      </c>
      <c r="AQ491">
        <v>67</v>
      </c>
      <c r="AR491">
        <v>75</v>
      </c>
      <c r="AS491">
        <v>50</v>
      </c>
      <c r="AT491">
        <v>33</v>
      </c>
      <c r="AU491">
        <v>100</v>
      </c>
      <c r="AV491">
        <v>0</v>
      </c>
      <c r="AW491">
        <v>6</v>
      </c>
      <c r="AX491">
        <v>1.2</v>
      </c>
      <c r="AY491">
        <v>4</v>
      </c>
      <c r="AZ491">
        <v>0.8</v>
      </c>
      <c r="BA491">
        <v>3</v>
      </c>
      <c r="BB491">
        <v>4</v>
      </c>
      <c r="BC491">
        <v>2</v>
      </c>
      <c r="BD491">
        <v>2</v>
      </c>
      <c r="BE491">
        <v>1</v>
      </c>
      <c r="BF491">
        <v>0</v>
      </c>
      <c r="BG491">
        <v>0</v>
      </c>
      <c r="BH491">
        <v>2</v>
      </c>
      <c r="BI491">
        <v>5</v>
      </c>
      <c r="BJ491">
        <v>4</v>
      </c>
      <c r="BK491">
        <v>1</v>
      </c>
      <c r="BL491">
        <v>6</v>
      </c>
      <c r="BM491">
        <v>1.7</v>
      </c>
      <c r="BN491">
        <v>1</v>
      </c>
      <c r="BO491">
        <v>0.3</v>
      </c>
      <c r="BP491">
        <v>1.5</v>
      </c>
      <c r="BQ491">
        <v>3</v>
      </c>
      <c r="BR491">
        <v>3</v>
      </c>
      <c r="BS491">
        <v>3</v>
      </c>
      <c r="BT491">
        <v>1</v>
      </c>
      <c r="BU491">
        <v>0</v>
      </c>
      <c r="BV491">
        <v>1</v>
      </c>
      <c r="BW491">
        <v>0</v>
      </c>
      <c r="BX491">
        <v>1</v>
      </c>
      <c r="BY491">
        <v>8</v>
      </c>
      <c r="BZ491">
        <v>1.6</v>
      </c>
      <c r="CA491">
        <v>9</v>
      </c>
      <c r="CB491">
        <v>1.8</v>
      </c>
      <c r="CC491">
        <v>3</v>
      </c>
      <c r="CD491">
        <v>4</v>
      </c>
      <c r="CE491">
        <v>2</v>
      </c>
      <c r="CF491">
        <v>0</v>
      </c>
      <c r="CG491">
        <v>0</v>
      </c>
      <c r="CH491">
        <v>2</v>
      </c>
      <c r="CI491">
        <v>1</v>
      </c>
      <c r="CJ491">
        <v>2</v>
      </c>
      <c r="CK491">
        <v>6</v>
      </c>
      <c r="CL491">
        <v>5</v>
      </c>
      <c r="CM491">
        <v>4</v>
      </c>
      <c r="CN491">
        <v>7</v>
      </c>
      <c r="CO491">
        <v>2</v>
      </c>
      <c r="CP491">
        <v>1.3</v>
      </c>
      <c r="CQ491">
        <v>1.3</v>
      </c>
      <c r="CR491">
        <v>1.8</v>
      </c>
      <c r="CS491">
        <v>3</v>
      </c>
      <c r="CT491">
        <v>3</v>
      </c>
      <c r="CU491">
        <v>1</v>
      </c>
      <c r="CV491">
        <v>0</v>
      </c>
      <c r="CW491">
        <v>1</v>
      </c>
      <c r="CX491">
        <v>0</v>
      </c>
      <c r="CY491">
        <v>1</v>
      </c>
      <c r="CZ491">
        <v>3</v>
      </c>
    </row>
    <row r="492" spans="1:104" x14ac:dyDescent="0.25">
      <c r="A492" s="1" t="s">
        <v>2888</v>
      </c>
      <c r="B492">
        <v>3306</v>
      </c>
      <c r="C492">
        <v>3155</v>
      </c>
      <c r="D492" s="2">
        <v>43715</v>
      </c>
      <c r="E492" s="3">
        <f t="shared" si="21"/>
        <v>2019</v>
      </c>
      <c r="F492" s="3">
        <f t="shared" si="22"/>
        <v>9</v>
      </c>
      <c r="G492" s="3">
        <f t="shared" si="23"/>
        <v>7</v>
      </c>
      <c r="H492" t="s">
        <v>2889</v>
      </c>
      <c r="I492">
        <v>1295</v>
      </c>
      <c r="J492" t="s">
        <v>1827</v>
      </c>
      <c r="K492" t="s">
        <v>158</v>
      </c>
      <c r="L492">
        <v>2019</v>
      </c>
      <c r="M492" t="s">
        <v>2890</v>
      </c>
      <c r="N492" t="s">
        <v>2889</v>
      </c>
      <c r="O492" t="s">
        <v>2891</v>
      </c>
      <c r="P492">
        <v>3100</v>
      </c>
      <c r="Q492" t="s">
        <v>158</v>
      </c>
      <c r="R492">
        <v>1909</v>
      </c>
      <c r="S492" t="s">
        <v>1830</v>
      </c>
      <c r="T492" t="s">
        <v>1831</v>
      </c>
      <c r="U492">
        <v>3200</v>
      </c>
      <c r="V492" t="s">
        <v>158</v>
      </c>
      <c r="W492">
        <v>1965</v>
      </c>
      <c r="X492">
        <v>1</v>
      </c>
      <c r="Z492">
        <v>-4.5</v>
      </c>
      <c r="AA492">
        <v>-1.5</v>
      </c>
      <c r="AB492">
        <v>35</v>
      </c>
      <c r="AC492">
        <v>35</v>
      </c>
      <c r="AD492">
        <v>30</v>
      </c>
      <c r="AE492">
        <v>55</v>
      </c>
      <c r="AF492">
        <v>45</v>
      </c>
      <c r="AG492">
        <v>85</v>
      </c>
      <c r="AH492">
        <v>15</v>
      </c>
      <c r="AI492">
        <v>0</v>
      </c>
      <c r="AJ492">
        <v>100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67</v>
      </c>
      <c r="AR492">
        <v>79</v>
      </c>
      <c r="AS492">
        <v>43</v>
      </c>
      <c r="AT492">
        <v>56</v>
      </c>
      <c r="AU492">
        <v>14</v>
      </c>
      <c r="AV492">
        <v>100</v>
      </c>
      <c r="AW492">
        <v>11</v>
      </c>
      <c r="AX492">
        <v>3.7</v>
      </c>
      <c r="AY492">
        <v>8</v>
      </c>
      <c r="AZ492">
        <v>2.7</v>
      </c>
      <c r="BA492">
        <v>1</v>
      </c>
      <c r="BB492">
        <v>2</v>
      </c>
      <c r="BC492">
        <v>1</v>
      </c>
      <c r="BD492">
        <v>1</v>
      </c>
      <c r="BE492">
        <v>0</v>
      </c>
      <c r="BF492">
        <v>0</v>
      </c>
      <c r="BG492">
        <v>0</v>
      </c>
      <c r="BH492">
        <v>1</v>
      </c>
      <c r="BI492">
        <v>5</v>
      </c>
      <c r="BJ492">
        <v>6</v>
      </c>
      <c r="BK492">
        <v>4</v>
      </c>
      <c r="BL492">
        <v>4</v>
      </c>
      <c r="BM492">
        <v>5</v>
      </c>
      <c r="BN492">
        <v>3</v>
      </c>
      <c r="BO492">
        <v>4</v>
      </c>
      <c r="BP492">
        <v>2</v>
      </c>
      <c r="BQ492">
        <v>1</v>
      </c>
      <c r="BR492">
        <v>1</v>
      </c>
      <c r="BS492">
        <v>0</v>
      </c>
      <c r="BT492">
        <v>0</v>
      </c>
      <c r="BU492">
        <v>0</v>
      </c>
      <c r="BV492">
        <v>0</v>
      </c>
      <c r="BW492">
        <v>1</v>
      </c>
      <c r="BX492">
        <v>1</v>
      </c>
      <c r="BY492">
        <v>2</v>
      </c>
      <c r="BZ492">
        <v>0.7</v>
      </c>
      <c r="CA492">
        <v>0</v>
      </c>
      <c r="CB492">
        <v>0</v>
      </c>
      <c r="CC492">
        <v>2</v>
      </c>
      <c r="CD492">
        <v>1</v>
      </c>
      <c r="CE492">
        <v>1</v>
      </c>
      <c r="CF492">
        <v>0</v>
      </c>
      <c r="CG492">
        <v>1</v>
      </c>
      <c r="CH492">
        <v>1</v>
      </c>
      <c r="CI492">
        <v>0</v>
      </c>
      <c r="CJ492">
        <v>0</v>
      </c>
      <c r="CK492">
        <v>2</v>
      </c>
      <c r="CL492">
        <v>0</v>
      </c>
      <c r="CM492">
        <v>0</v>
      </c>
      <c r="CN492">
        <v>0</v>
      </c>
      <c r="CO492">
        <v>1</v>
      </c>
      <c r="CP492">
        <v>0</v>
      </c>
      <c r="CQ492">
        <v>0</v>
      </c>
      <c r="CR492">
        <v>0</v>
      </c>
      <c r="CS492">
        <v>1</v>
      </c>
      <c r="CT492">
        <v>1</v>
      </c>
      <c r="CU492">
        <v>1</v>
      </c>
      <c r="CV492">
        <v>1</v>
      </c>
      <c r="CW492">
        <v>0</v>
      </c>
      <c r="CX492">
        <v>0</v>
      </c>
      <c r="CY492">
        <v>0</v>
      </c>
      <c r="CZ492">
        <v>0</v>
      </c>
    </row>
    <row r="493" spans="1:104" x14ac:dyDescent="0.25">
      <c r="A493" s="1" t="s">
        <v>2892</v>
      </c>
      <c r="B493">
        <v>3150</v>
      </c>
      <c r="C493">
        <v>3097</v>
      </c>
      <c r="D493" s="2">
        <v>43708</v>
      </c>
      <c r="E493" s="3">
        <f t="shared" si="21"/>
        <v>2019</v>
      </c>
      <c r="F493" s="3">
        <f t="shared" si="22"/>
        <v>8</v>
      </c>
      <c r="G493" s="3">
        <f t="shared" si="23"/>
        <v>7</v>
      </c>
      <c r="H493" t="s">
        <v>2893</v>
      </c>
      <c r="I493">
        <v>1295</v>
      </c>
      <c r="J493" t="s">
        <v>1827</v>
      </c>
      <c r="K493" t="s">
        <v>158</v>
      </c>
      <c r="L493">
        <v>2019</v>
      </c>
      <c r="M493" t="s">
        <v>2894</v>
      </c>
      <c r="N493" t="s">
        <v>2893</v>
      </c>
      <c r="O493" t="s">
        <v>2895</v>
      </c>
      <c r="P493">
        <v>4700</v>
      </c>
      <c r="Q493" t="s">
        <v>158</v>
      </c>
      <c r="R493">
        <v>1904</v>
      </c>
      <c r="S493" t="s">
        <v>2896</v>
      </c>
      <c r="T493" t="s">
        <v>2897</v>
      </c>
      <c r="U493">
        <v>12000</v>
      </c>
      <c r="V493" t="s">
        <v>158</v>
      </c>
      <c r="W493">
        <v>1921</v>
      </c>
      <c r="X493">
        <v>2</v>
      </c>
      <c r="Y493">
        <v>1.5</v>
      </c>
      <c r="Z493">
        <v>-1.5</v>
      </c>
      <c r="AA493">
        <v>-3.5</v>
      </c>
      <c r="AB493">
        <v>10</v>
      </c>
      <c r="AC493">
        <v>45</v>
      </c>
      <c r="AD493">
        <v>45</v>
      </c>
      <c r="AE493">
        <v>20</v>
      </c>
      <c r="AF493">
        <v>80</v>
      </c>
      <c r="AG493">
        <v>25</v>
      </c>
      <c r="AH493">
        <v>75</v>
      </c>
      <c r="AI493">
        <v>43</v>
      </c>
      <c r="AJ493">
        <v>57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17</v>
      </c>
      <c r="AR493">
        <v>8</v>
      </c>
      <c r="AS493">
        <v>85</v>
      </c>
      <c r="AT493">
        <v>67</v>
      </c>
      <c r="AU493">
        <v>23</v>
      </c>
      <c r="AV493">
        <v>88</v>
      </c>
      <c r="AW493">
        <v>2</v>
      </c>
      <c r="AX493">
        <v>1</v>
      </c>
      <c r="AY493">
        <v>4</v>
      </c>
      <c r="AZ493">
        <v>2</v>
      </c>
      <c r="BA493">
        <v>0</v>
      </c>
      <c r="BB493">
        <v>2</v>
      </c>
      <c r="BC493">
        <v>0</v>
      </c>
      <c r="BD493">
        <v>0</v>
      </c>
      <c r="BE493">
        <v>0</v>
      </c>
      <c r="BF493">
        <v>1</v>
      </c>
      <c r="BG493">
        <v>0</v>
      </c>
      <c r="BH493">
        <v>1</v>
      </c>
      <c r="BI493">
        <v>0</v>
      </c>
      <c r="BJ493">
        <v>2</v>
      </c>
      <c r="BK493">
        <v>0</v>
      </c>
      <c r="BL493">
        <v>4</v>
      </c>
      <c r="BM493">
        <v>0</v>
      </c>
      <c r="BN493">
        <v>1</v>
      </c>
      <c r="BO493">
        <v>0</v>
      </c>
      <c r="BP493">
        <v>2</v>
      </c>
      <c r="BQ493">
        <v>1</v>
      </c>
      <c r="BR493">
        <v>1</v>
      </c>
      <c r="BS493">
        <v>0</v>
      </c>
      <c r="BT493">
        <v>0</v>
      </c>
      <c r="BU493">
        <v>1</v>
      </c>
      <c r="BV493">
        <v>0</v>
      </c>
      <c r="BW493">
        <v>0</v>
      </c>
      <c r="BX493">
        <v>1</v>
      </c>
      <c r="BY493">
        <v>6</v>
      </c>
      <c r="BZ493">
        <v>3</v>
      </c>
      <c r="CA493">
        <v>3</v>
      </c>
      <c r="CB493">
        <v>1.5</v>
      </c>
      <c r="CC493">
        <v>1</v>
      </c>
      <c r="CD493">
        <v>1</v>
      </c>
      <c r="CE493">
        <v>0</v>
      </c>
      <c r="CF493">
        <v>1</v>
      </c>
      <c r="CG493">
        <v>1</v>
      </c>
      <c r="CH493">
        <v>0</v>
      </c>
      <c r="CI493">
        <v>0</v>
      </c>
      <c r="CJ493">
        <v>0</v>
      </c>
      <c r="CK493">
        <v>2</v>
      </c>
      <c r="CL493">
        <v>4</v>
      </c>
      <c r="CM493">
        <v>2</v>
      </c>
      <c r="CN493">
        <v>1</v>
      </c>
      <c r="CO493">
        <v>2</v>
      </c>
      <c r="CP493">
        <v>4</v>
      </c>
      <c r="CQ493">
        <v>2</v>
      </c>
      <c r="CR493">
        <v>1</v>
      </c>
      <c r="CS493">
        <v>1</v>
      </c>
      <c r="CT493">
        <v>1</v>
      </c>
      <c r="CU493">
        <v>1</v>
      </c>
      <c r="CV493">
        <v>0</v>
      </c>
      <c r="CW493">
        <v>0</v>
      </c>
      <c r="CX493">
        <v>1</v>
      </c>
      <c r="CY493">
        <v>0</v>
      </c>
      <c r="CZ493">
        <v>0</v>
      </c>
    </row>
    <row r="494" spans="1:104" x14ac:dyDescent="0.25">
      <c r="A494" s="1" t="s">
        <v>2898</v>
      </c>
      <c r="B494">
        <v>271</v>
      </c>
      <c r="C494">
        <v>2113</v>
      </c>
      <c r="D494" s="2">
        <v>44002</v>
      </c>
      <c r="E494" s="3">
        <f t="shared" si="21"/>
        <v>2020</v>
      </c>
      <c r="F494" s="3">
        <f t="shared" si="22"/>
        <v>6</v>
      </c>
      <c r="G494" s="3">
        <f t="shared" si="23"/>
        <v>7</v>
      </c>
      <c r="H494" t="s">
        <v>2899</v>
      </c>
      <c r="I494">
        <v>1331</v>
      </c>
      <c r="J494" t="s">
        <v>1062</v>
      </c>
      <c r="K494" t="s">
        <v>224</v>
      </c>
      <c r="L494">
        <v>2020</v>
      </c>
      <c r="M494" t="s">
        <v>405</v>
      </c>
      <c r="N494" t="s">
        <v>2899</v>
      </c>
      <c r="O494" t="s">
        <v>226</v>
      </c>
      <c r="P494">
        <v>3333</v>
      </c>
      <c r="Q494" t="s">
        <v>224</v>
      </c>
      <c r="R494">
        <v>1899</v>
      </c>
      <c r="S494" t="s">
        <v>2900</v>
      </c>
      <c r="T494" t="s">
        <v>1063</v>
      </c>
      <c r="U494">
        <v>1452</v>
      </c>
      <c r="V494" t="s">
        <v>224</v>
      </c>
      <c r="W494">
        <v>1970</v>
      </c>
      <c r="X494" t="s">
        <v>109</v>
      </c>
      <c r="Z494">
        <v>-1.5</v>
      </c>
      <c r="AA494">
        <v>-2.5</v>
      </c>
      <c r="AB494">
        <v>35</v>
      </c>
      <c r="AC494">
        <v>35</v>
      </c>
      <c r="AD494">
        <v>30</v>
      </c>
      <c r="AE494">
        <v>100</v>
      </c>
      <c r="AF494">
        <v>0</v>
      </c>
      <c r="AG494">
        <v>33</v>
      </c>
      <c r="AH494">
        <v>67</v>
      </c>
      <c r="AI494">
        <v>100</v>
      </c>
      <c r="AJ494">
        <v>0</v>
      </c>
      <c r="AK494">
        <v>0</v>
      </c>
      <c r="AL494">
        <v>0</v>
      </c>
      <c r="AM494">
        <v>50</v>
      </c>
      <c r="AN494">
        <v>50</v>
      </c>
      <c r="AO494">
        <v>40</v>
      </c>
      <c r="AP494">
        <v>60</v>
      </c>
      <c r="AQ494">
        <v>100</v>
      </c>
      <c r="AR494">
        <v>9</v>
      </c>
      <c r="AS494">
        <v>100</v>
      </c>
      <c r="AT494">
        <v>0</v>
      </c>
      <c r="AU494">
        <v>18</v>
      </c>
      <c r="AV494">
        <v>73</v>
      </c>
      <c r="AW494">
        <v>1</v>
      </c>
      <c r="AX494">
        <v>1</v>
      </c>
      <c r="AY494">
        <v>0</v>
      </c>
      <c r="AZ494">
        <v>0</v>
      </c>
      <c r="BA494">
        <v>0</v>
      </c>
      <c r="BB494">
        <v>1</v>
      </c>
      <c r="BC494">
        <v>0</v>
      </c>
      <c r="BD494">
        <v>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0</v>
      </c>
      <c r="BL494">
        <v>0</v>
      </c>
      <c r="BM494">
        <v>0</v>
      </c>
      <c r="BN494">
        <v>1</v>
      </c>
      <c r="BO494">
        <v>0</v>
      </c>
      <c r="BP494">
        <v>0</v>
      </c>
      <c r="BQ494">
        <v>2</v>
      </c>
      <c r="BR494">
        <v>1</v>
      </c>
      <c r="BS494">
        <v>1</v>
      </c>
      <c r="BT494">
        <v>0</v>
      </c>
      <c r="BU494">
        <v>0</v>
      </c>
      <c r="BV494">
        <v>0</v>
      </c>
      <c r="BW494">
        <v>1</v>
      </c>
      <c r="BX494">
        <v>1</v>
      </c>
      <c r="BY494">
        <v>2</v>
      </c>
      <c r="BZ494">
        <v>2</v>
      </c>
      <c r="CA494">
        <v>3</v>
      </c>
      <c r="CB494">
        <v>3</v>
      </c>
      <c r="CC494">
        <v>1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1</v>
      </c>
      <c r="CJ494">
        <v>0</v>
      </c>
      <c r="CK494">
        <v>2</v>
      </c>
      <c r="CL494">
        <v>0</v>
      </c>
      <c r="CM494">
        <v>3</v>
      </c>
      <c r="CN494">
        <v>0</v>
      </c>
      <c r="CO494">
        <v>2</v>
      </c>
      <c r="CP494">
        <v>0</v>
      </c>
      <c r="CQ494">
        <v>3</v>
      </c>
      <c r="CR494">
        <v>0</v>
      </c>
      <c r="CS494">
        <v>1</v>
      </c>
      <c r="CT494">
        <v>2</v>
      </c>
      <c r="CU494">
        <v>1</v>
      </c>
      <c r="CV494">
        <v>1</v>
      </c>
      <c r="CW494">
        <v>0</v>
      </c>
      <c r="CX494">
        <v>0</v>
      </c>
      <c r="CY494">
        <v>0</v>
      </c>
      <c r="CZ494">
        <v>1</v>
      </c>
    </row>
    <row r="495" spans="1:104" x14ac:dyDescent="0.25">
      <c r="A495" s="1" t="s">
        <v>2901</v>
      </c>
      <c r="B495">
        <v>2180</v>
      </c>
      <c r="C495">
        <v>660</v>
      </c>
      <c r="D495" s="2">
        <v>43757</v>
      </c>
      <c r="E495" s="3">
        <f t="shared" si="21"/>
        <v>2019</v>
      </c>
      <c r="F495" s="3">
        <f t="shared" si="22"/>
        <v>10</v>
      </c>
      <c r="G495" s="3">
        <f t="shared" si="23"/>
        <v>7</v>
      </c>
      <c r="H495" t="s">
        <v>2902</v>
      </c>
      <c r="I495">
        <v>585</v>
      </c>
      <c r="J495" t="s">
        <v>1384</v>
      </c>
      <c r="K495" t="s">
        <v>442</v>
      </c>
      <c r="L495">
        <v>2019</v>
      </c>
      <c r="M495" t="s">
        <v>780</v>
      </c>
      <c r="N495" t="s">
        <v>2902</v>
      </c>
      <c r="O495" t="s">
        <v>2903</v>
      </c>
      <c r="P495">
        <v>14987</v>
      </c>
      <c r="Q495" t="s">
        <v>442</v>
      </c>
      <c r="R495">
        <v>1896</v>
      </c>
      <c r="S495" t="s">
        <v>2904</v>
      </c>
      <c r="T495" t="s">
        <v>2905</v>
      </c>
      <c r="U495">
        <v>7838</v>
      </c>
      <c r="V495" t="s">
        <v>2906</v>
      </c>
      <c r="W495">
        <v>1932</v>
      </c>
      <c r="X495" t="s">
        <v>109</v>
      </c>
      <c r="Y495">
        <v>1.5</v>
      </c>
      <c r="Z495">
        <v>-2.5</v>
      </c>
      <c r="AA495">
        <v>-3.5</v>
      </c>
      <c r="AB495">
        <v>45</v>
      </c>
      <c r="AC495">
        <v>45</v>
      </c>
      <c r="AD495">
        <v>10</v>
      </c>
      <c r="AE495">
        <v>50</v>
      </c>
      <c r="AF495">
        <v>50</v>
      </c>
      <c r="AG495">
        <v>37</v>
      </c>
      <c r="AH495">
        <v>63</v>
      </c>
      <c r="AI495">
        <v>63</v>
      </c>
      <c r="AJ495">
        <v>37</v>
      </c>
      <c r="AK495">
        <v>0</v>
      </c>
      <c r="AL495">
        <v>0</v>
      </c>
      <c r="AM495">
        <v>80</v>
      </c>
      <c r="AN495">
        <v>20</v>
      </c>
      <c r="AO495">
        <v>78</v>
      </c>
      <c r="AP495">
        <v>22</v>
      </c>
      <c r="AQ495">
        <v>47</v>
      </c>
      <c r="AR495">
        <v>39</v>
      </c>
      <c r="AS495">
        <v>61</v>
      </c>
      <c r="AT495">
        <v>47</v>
      </c>
      <c r="AU495">
        <v>67</v>
      </c>
      <c r="AV495">
        <v>33</v>
      </c>
      <c r="AW495">
        <v>7</v>
      </c>
      <c r="AX495">
        <v>1.4</v>
      </c>
      <c r="AY495">
        <v>7</v>
      </c>
      <c r="AZ495">
        <v>1.4</v>
      </c>
      <c r="BA495">
        <v>4</v>
      </c>
      <c r="BB495">
        <v>6</v>
      </c>
      <c r="BC495">
        <v>1</v>
      </c>
      <c r="BD495">
        <v>3</v>
      </c>
      <c r="BE495">
        <v>1</v>
      </c>
      <c r="BF495">
        <v>2</v>
      </c>
      <c r="BG495">
        <v>2</v>
      </c>
      <c r="BH495">
        <v>1</v>
      </c>
      <c r="BI495">
        <v>4</v>
      </c>
      <c r="BJ495">
        <v>9</v>
      </c>
      <c r="BK495">
        <v>11</v>
      </c>
      <c r="BL495">
        <v>6</v>
      </c>
      <c r="BM495">
        <v>1</v>
      </c>
      <c r="BN495">
        <v>1.5</v>
      </c>
      <c r="BO495">
        <v>2.8</v>
      </c>
      <c r="BP495">
        <v>1</v>
      </c>
      <c r="BQ495">
        <v>6</v>
      </c>
      <c r="BR495">
        <v>6</v>
      </c>
      <c r="BS495">
        <v>4</v>
      </c>
      <c r="BT495">
        <v>2</v>
      </c>
      <c r="BU495">
        <v>0</v>
      </c>
      <c r="BV495">
        <v>2</v>
      </c>
      <c r="BW495">
        <v>2</v>
      </c>
      <c r="BX495">
        <v>2</v>
      </c>
      <c r="BY495">
        <v>12</v>
      </c>
      <c r="BZ495">
        <v>2.4</v>
      </c>
      <c r="CA495">
        <v>12</v>
      </c>
      <c r="CB495">
        <v>2.4</v>
      </c>
      <c r="CC495">
        <v>6</v>
      </c>
      <c r="CD495">
        <v>4</v>
      </c>
      <c r="CE495">
        <v>3</v>
      </c>
      <c r="CF495">
        <v>0</v>
      </c>
      <c r="CG495">
        <v>1</v>
      </c>
      <c r="CH495">
        <v>2</v>
      </c>
      <c r="CI495">
        <v>2</v>
      </c>
      <c r="CJ495">
        <v>2</v>
      </c>
      <c r="CK495">
        <v>13</v>
      </c>
      <c r="CL495">
        <v>6</v>
      </c>
      <c r="CM495">
        <v>9</v>
      </c>
      <c r="CN495">
        <v>10</v>
      </c>
      <c r="CO495">
        <v>2.2000000000000002</v>
      </c>
      <c r="CP495">
        <v>1.5</v>
      </c>
      <c r="CQ495">
        <v>1.5</v>
      </c>
      <c r="CR495">
        <v>2.5</v>
      </c>
      <c r="CS495">
        <v>6</v>
      </c>
      <c r="CT495">
        <v>6</v>
      </c>
      <c r="CU495">
        <v>2</v>
      </c>
      <c r="CV495">
        <v>2</v>
      </c>
      <c r="CW495">
        <v>2</v>
      </c>
      <c r="CX495">
        <v>0</v>
      </c>
      <c r="CY495">
        <v>2</v>
      </c>
      <c r="CZ495">
        <v>4</v>
      </c>
    </row>
    <row r="496" spans="1:104" x14ac:dyDescent="0.25">
      <c r="A496" s="1" t="s">
        <v>2907</v>
      </c>
      <c r="B496">
        <v>9721</v>
      </c>
      <c r="C496">
        <v>9726</v>
      </c>
      <c r="D496" s="2">
        <v>43719</v>
      </c>
      <c r="E496" s="3">
        <f t="shared" si="21"/>
        <v>2019</v>
      </c>
      <c r="F496" s="3">
        <f t="shared" si="22"/>
        <v>9</v>
      </c>
      <c r="G496" s="3">
        <f t="shared" si="23"/>
        <v>4</v>
      </c>
      <c r="H496" t="s">
        <v>2908</v>
      </c>
      <c r="I496">
        <v>1276</v>
      </c>
      <c r="J496" t="s">
        <v>1576</v>
      </c>
      <c r="K496" t="s">
        <v>380</v>
      </c>
      <c r="L496">
        <v>2019</v>
      </c>
      <c r="M496" t="s">
        <v>2909</v>
      </c>
      <c r="N496" t="s">
        <v>2908</v>
      </c>
      <c r="O496" t="s">
        <v>2910</v>
      </c>
      <c r="P496">
        <v>2000</v>
      </c>
      <c r="Q496" t="s">
        <v>380</v>
      </c>
      <c r="S496" t="s">
        <v>2911</v>
      </c>
      <c r="T496" t="s">
        <v>1578</v>
      </c>
      <c r="U496">
        <v>1000</v>
      </c>
      <c r="V496" t="s">
        <v>380</v>
      </c>
      <c r="W496">
        <v>2006</v>
      </c>
      <c r="X496">
        <v>1</v>
      </c>
      <c r="Z496">
        <v>-2.5</v>
      </c>
      <c r="AB496">
        <v>45</v>
      </c>
      <c r="AC496">
        <v>45</v>
      </c>
      <c r="AD496">
        <v>10</v>
      </c>
      <c r="AE496">
        <v>100</v>
      </c>
      <c r="AF496">
        <v>0</v>
      </c>
      <c r="AG496">
        <v>100</v>
      </c>
      <c r="AH496">
        <v>0</v>
      </c>
      <c r="AI496">
        <v>40</v>
      </c>
      <c r="AJ496">
        <v>60</v>
      </c>
      <c r="AK496">
        <v>100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22</v>
      </c>
      <c r="AR496">
        <v>22</v>
      </c>
      <c r="AS496">
        <v>67</v>
      </c>
      <c r="AT496">
        <v>0</v>
      </c>
      <c r="AU496">
        <v>0</v>
      </c>
      <c r="AV496">
        <v>78</v>
      </c>
      <c r="AW496">
        <v>4</v>
      </c>
      <c r="AX496">
        <v>1.3</v>
      </c>
      <c r="AY496">
        <v>6</v>
      </c>
      <c r="AZ496">
        <v>2</v>
      </c>
      <c r="BA496">
        <v>1</v>
      </c>
      <c r="BB496">
        <v>2</v>
      </c>
      <c r="BC496">
        <v>0</v>
      </c>
      <c r="BD496">
        <v>0</v>
      </c>
      <c r="BE496">
        <v>0</v>
      </c>
      <c r="BF496">
        <v>2</v>
      </c>
      <c r="BG496">
        <v>1</v>
      </c>
      <c r="BH496">
        <v>0</v>
      </c>
      <c r="BI496">
        <v>1</v>
      </c>
      <c r="BJ496">
        <v>3</v>
      </c>
      <c r="BK496">
        <v>3</v>
      </c>
      <c r="BL496">
        <v>3</v>
      </c>
      <c r="BM496">
        <v>1</v>
      </c>
      <c r="BN496">
        <v>1.5</v>
      </c>
      <c r="BO496">
        <v>3</v>
      </c>
      <c r="BP496">
        <v>1.5</v>
      </c>
      <c r="BQ496">
        <v>1</v>
      </c>
      <c r="BR496">
        <v>1</v>
      </c>
      <c r="BS496">
        <v>0</v>
      </c>
      <c r="BT496">
        <v>0</v>
      </c>
      <c r="BU496">
        <v>1</v>
      </c>
      <c r="BV496">
        <v>0</v>
      </c>
      <c r="BW496">
        <v>0</v>
      </c>
      <c r="BX496">
        <v>1</v>
      </c>
      <c r="BY496">
        <v>0</v>
      </c>
      <c r="BZ496">
        <v>0</v>
      </c>
      <c r="CA496">
        <v>4</v>
      </c>
      <c r="CB496">
        <v>1.3</v>
      </c>
      <c r="CC496">
        <v>2</v>
      </c>
      <c r="CD496">
        <v>1</v>
      </c>
      <c r="CE496">
        <v>0</v>
      </c>
      <c r="CF496">
        <v>0</v>
      </c>
      <c r="CG496">
        <v>0</v>
      </c>
      <c r="CH496">
        <v>0</v>
      </c>
      <c r="CI496">
        <v>2</v>
      </c>
      <c r="CJ496">
        <v>1</v>
      </c>
      <c r="CK496">
        <v>0</v>
      </c>
      <c r="CL496">
        <v>0</v>
      </c>
      <c r="CM496">
        <v>2</v>
      </c>
      <c r="CN496">
        <v>2</v>
      </c>
      <c r="CO496">
        <v>0</v>
      </c>
      <c r="CP496">
        <v>0</v>
      </c>
      <c r="CQ496">
        <v>1</v>
      </c>
      <c r="CR496">
        <v>2</v>
      </c>
      <c r="CS496">
        <v>1</v>
      </c>
      <c r="CT496">
        <v>1</v>
      </c>
      <c r="CU496">
        <v>1</v>
      </c>
      <c r="CV496">
        <v>0</v>
      </c>
      <c r="CW496">
        <v>0</v>
      </c>
      <c r="CX496">
        <v>1</v>
      </c>
      <c r="CY496">
        <v>0</v>
      </c>
      <c r="CZ496">
        <v>0</v>
      </c>
    </row>
    <row r="497" spans="1:104" x14ac:dyDescent="0.25">
      <c r="A497" s="1" t="s">
        <v>2912</v>
      </c>
      <c r="B497">
        <v>1274</v>
      </c>
      <c r="C497">
        <v>6263</v>
      </c>
      <c r="D497" s="2">
        <v>43722</v>
      </c>
      <c r="E497" s="3">
        <f t="shared" si="21"/>
        <v>2019</v>
      </c>
      <c r="F497" s="3">
        <f t="shared" si="22"/>
        <v>9</v>
      </c>
      <c r="G497" s="3">
        <f t="shared" si="23"/>
        <v>7</v>
      </c>
      <c r="H497" t="s">
        <v>2913</v>
      </c>
      <c r="I497">
        <v>1189</v>
      </c>
      <c r="J497" t="s">
        <v>285</v>
      </c>
      <c r="K497" t="s">
        <v>286</v>
      </c>
      <c r="L497">
        <v>2019</v>
      </c>
      <c r="M497" t="s">
        <v>2914</v>
      </c>
      <c r="Q497" t="s">
        <v>286</v>
      </c>
      <c r="R497">
        <v>1931</v>
      </c>
      <c r="V497" t="s">
        <v>286</v>
      </c>
      <c r="W497">
        <v>1931</v>
      </c>
      <c r="X497">
        <v>1</v>
      </c>
      <c r="Z497">
        <v>-4.5</v>
      </c>
      <c r="AA497">
        <v>-2.5</v>
      </c>
      <c r="AB497">
        <v>45</v>
      </c>
      <c r="AC497">
        <v>45</v>
      </c>
      <c r="AD497">
        <v>10</v>
      </c>
      <c r="AE497">
        <v>75</v>
      </c>
      <c r="AF497">
        <v>25</v>
      </c>
      <c r="AG497">
        <v>83</v>
      </c>
      <c r="AH497">
        <v>17</v>
      </c>
      <c r="AI497">
        <v>43</v>
      </c>
      <c r="AJ497">
        <v>57</v>
      </c>
      <c r="AK497">
        <v>0</v>
      </c>
      <c r="AL497">
        <v>100</v>
      </c>
      <c r="AM497">
        <v>0</v>
      </c>
      <c r="AN497">
        <v>0</v>
      </c>
      <c r="AO497">
        <v>0</v>
      </c>
      <c r="AP497">
        <v>0</v>
      </c>
      <c r="AQ497">
        <v>100</v>
      </c>
      <c r="AR497">
        <v>48</v>
      </c>
      <c r="AS497">
        <v>81</v>
      </c>
      <c r="AT497">
        <v>33</v>
      </c>
      <c r="AU497">
        <v>10</v>
      </c>
      <c r="AV497">
        <v>86</v>
      </c>
      <c r="AW497">
        <v>10</v>
      </c>
      <c r="AX497">
        <v>3.3</v>
      </c>
      <c r="AY497">
        <v>4</v>
      </c>
      <c r="AZ497">
        <v>1.3</v>
      </c>
      <c r="BA497">
        <v>2</v>
      </c>
      <c r="BB497">
        <v>1</v>
      </c>
      <c r="BC497">
        <v>2</v>
      </c>
      <c r="BD497">
        <v>1</v>
      </c>
      <c r="BE497">
        <v>0</v>
      </c>
      <c r="BF497">
        <v>0</v>
      </c>
      <c r="BG497">
        <v>0</v>
      </c>
      <c r="BH497">
        <v>0</v>
      </c>
      <c r="BI497">
        <v>7</v>
      </c>
      <c r="BJ497">
        <v>3</v>
      </c>
      <c r="BK497">
        <v>3</v>
      </c>
      <c r="BL497">
        <v>1</v>
      </c>
      <c r="BM497">
        <v>3.5</v>
      </c>
      <c r="BN497">
        <v>3</v>
      </c>
      <c r="BO497">
        <v>1.5</v>
      </c>
      <c r="BP497">
        <v>1</v>
      </c>
      <c r="BQ497">
        <v>1</v>
      </c>
      <c r="BR497">
        <v>0</v>
      </c>
      <c r="BS497">
        <v>1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2</v>
      </c>
      <c r="BZ497">
        <v>0.7</v>
      </c>
      <c r="CA497">
        <v>3</v>
      </c>
      <c r="CB497">
        <v>1</v>
      </c>
      <c r="CC497">
        <v>2</v>
      </c>
      <c r="CD497">
        <v>1</v>
      </c>
      <c r="CE497">
        <v>0</v>
      </c>
      <c r="CF497">
        <v>1</v>
      </c>
      <c r="CG497">
        <v>0</v>
      </c>
      <c r="CH497">
        <v>0</v>
      </c>
      <c r="CI497">
        <v>2</v>
      </c>
      <c r="CJ497">
        <v>0</v>
      </c>
      <c r="CK497">
        <v>0</v>
      </c>
      <c r="CL497">
        <v>2</v>
      </c>
      <c r="CM497">
        <v>3</v>
      </c>
      <c r="CN497">
        <v>0</v>
      </c>
      <c r="CO497">
        <v>0</v>
      </c>
      <c r="CP497">
        <v>2</v>
      </c>
      <c r="CQ497">
        <v>1.5</v>
      </c>
      <c r="CR497">
        <v>0</v>
      </c>
      <c r="CS497">
        <v>0</v>
      </c>
      <c r="CT497">
        <v>1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1</v>
      </c>
    </row>
    <row r="498" spans="1:104" x14ac:dyDescent="0.25">
      <c r="A498" s="1" t="s">
        <v>2915</v>
      </c>
      <c r="B498">
        <v>3876</v>
      </c>
      <c r="C498">
        <v>3355</v>
      </c>
      <c r="D498" s="2">
        <v>43744</v>
      </c>
      <c r="E498" s="3">
        <f t="shared" si="21"/>
        <v>2019</v>
      </c>
      <c r="F498" s="3">
        <f t="shared" si="22"/>
        <v>10</v>
      </c>
      <c r="G498" s="3">
        <f t="shared" si="23"/>
        <v>1</v>
      </c>
      <c r="H498" t="s">
        <v>2916</v>
      </c>
      <c r="I498">
        <v>966</v>
      </c>
      <c r="J498" t="s">
        <v>2917</v>
      </c>
      <c r="K498" t="s">
        <v>2918</v>
      </c>
      <c r="L498">
        <v>2019</v>
      </c>
      <c r="M498" t="s">
        <v>209</v>
      </c>
      <c r="N498" t="s">
        <v>2919</v>
      </c>
      <c r="O498" t="s">
        <v>2920</v>
      </c>
      <c r="P498">
        <v>899</v>
      </c>
      <c r="Q498" t="s">
        <v>2918</v>
      </c>
      <c r="S498" t="s">
        <v>2919</v>
      </c>
      <c r="T498" t="s">
        <v>2920</v>
      </c>
      <c r="U498">
        <v>899</v>
      </c>
      <c r="V498" t="s">
        <v>2918</v>
      </c>
      <c r="X498" t="s">
        <v>109</v>
      </c>
      <c r="Z498">
        <v>-3.5</v>
      </c>
      <c r="AA498">
        <v>-2.5</v>
      </c>
      <c r="AB498">
        <v>50</v>
      </c>
      <c r="AC498">
        <v>50</v>
      </c>
      <c r="AD498">
        <v>0</v>
      </c>
      <c r="AE498">
        <v>86</v>
      </c>
      <c r="AF498">
        <v>14</v>
      </c>
      <c r="AG498">
        <v>60</v>
      </c>
      <c r="AH498">
        <v>40</v>
      </c>
      <c r="AI498">
        <v>63</v>
      </c>
      <c r="AJ498">
        <v>38</v>
      </c>
      <c r="AK498">
        <v>100</v>
      </c>
      <c r="AL498">
        <v>0</v>
      </c>
      <c r="AM498">
        <v>93</v>
      </c>
      <c r="AN498">
        <v>7</v>
      </c>
      <c r="AO498">
        <v>82</v>
      </c>
      <c r="AP498">
        <v>18</v>
      </c>
      <c r="AQ498">
        <v>100</v>
      </c>
      <c r="AR498">
        <v>18</v>
      </c>
      <c r="AS498">
        <v>91</v>
      </c>
      <c r="AT498">
        <v>17</v>
      </c>
      <c r="AU498">
        <v>12</v>
      </c>
      <c r="AV498">
        <v>85</v>
      </c>
      <c r="AW498">
        <v>6</v>
      </c>
      <c r="AX498">
        <v>3</v>
      </c>
      <c r="AY498">
        <v>3</v>
      </c>
      <c r="AZ498">
        <v>1.5</v>
      </c>
      <c r="BA498">
        <v>1</v>
      </c>
      <c r="BB498">
        <v>1</v>
      </c>
      <c r="BC498">
        <v>1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2</v>
      </c>
      <c r="BJ498">
        <v>4</v>
      </c>
      <c r="BK498">
        <v>0</v>
      </c>
      <c r="BL498">
        <v>3</v>
      </c>
      <c r="BM498">
        <v>2</v>
      </c>
      <c r="BN498">
        <v>4</v>
      </c>
      <c r="BO498">
        <v>0</v>
      </c>
      <c r="BP498">
        <v>3</v>
      </c>
      <c r="BQ498">
        <v>4</v>
      </c>
      <c r="BR498">
        <v>4</v>
      </c>
      <c r="BS498">
        <v>3</v>
      </c>
      <c r="BT498">
        <v>2</v>
      </c>
      <c r="BU498">
        <v>0</v>
      </c>
      <c r="BV498">
        <v>1</v>
      </c>
      <c r="BW498">
        <v>1</v>
      </c>
      <c r="BX498">
        <v>1</v>
      </c>
      <c r="BY498">
        <v>4</v>
      </c>
      <c r="BZ498">
        <v>2</v>
      </c>
      <c r="CA498">
        <v>5</v>
      </c>
      <c r="CB498">
        <v>2.5</v>
      </c>
      <c r="CC498">
        <v>1</v>
      </c>
      <c r="CD498">
        <v>1</v>
      </c>
      <c r="CE498">
        <v>0</v>
      </c>
      <c r="CF498">
        <v>0</v>
      </c>
      <c r="CG498">
        <v>1</v>
      </c>
      <c r="CH498">
        <v>0</v>
      </c>
      <c r="CI498">
        <v>0</v>
      </c>
      <c r="CJ498">
        <v>1</v>
      </c>
      <c r="CK498">
        <v>3</v>
      </c>
      <c r="CL498">
        <v>1</v>
      </c>
      <c r="CM498">
        <v>3</v>
      </c>
      <c r="CN498">
        <v>2</v>
      </c>
      <c r="CO498">
        <v>3</v>
      </c>
      <c r="CP498">
        <v>1</v>
      </c>
      <c r="CQ498">
        <v>3</v>
      </c>
      <c r="CR498">
        <v>2</v>
      </c>
      <c r="CS498">
        <v>4</v>
      </c>
      <c r="CT498">
        <v>4</v>
      </c>
      <c r="CU498">
        <v>1</v>
      </c>
      <c r="CV498">
        <v>1</v>
      </c>
      <c r="CW498">
        <v>1</v>
      </c>
      <c r="CX498">
        <v>0</v>
      </c>
      <c r="CY498">
        <v>2</v>
      </c>
      <c r="CZ498">
        <v>3</v>
      </c>
    </row>
    <row r="499" spans="1:104" x14ac:dyDescent="0.25">
      <c r="A499" s="1" t="s">
        <v>2921</v>
      </c>
      <c r="B499">
        <v>9752</v>
      </c>
      <c r="C499">
        <v>9739</v>
      </c>
      <c r="D499" s="2">
        <v>43800</v>
      </c>
      <c r="E499" s="3">
        <f t="shared" si="21"/>
        <v>2019</v>
      </c>
      <c r="F499" s="3">
        <f t="shared" si="22"/>
        <v>12</v>
      </c>
      <c r="G499" s="3">
        <f t="shared" si="23"/>
        <v>1</v>
      </c>
      <c r="H499" t="s">
        <v>2922</v>
      </c>
      <c r="I499">
        <v>1277</v>
      </c>
      <c r="J499" t="s">
        <v>1632</v>
      </c>
      <c r="K499" t="s">
        <v>380</v>
      </c>
      <c r="L499">
        <v>2019</v>
      </c>
      <c r="M499" t="s">
        <v>2923</v>
      </c>
      <c r="N499" t="s">
        <v>2922</v>
      </c>
      <c r="O499" t="s">
        <v>1191</v>
      </c>
      <c r="P499">
        <v>1300</v>
      </c>
      <c r="Q499" t="s">
        <v>380</v>
      </c>
      <c r="S499" t="s">
        <v>2924</v>
      </c>
      <c r="T499" t="s">
        <v>2925</v>
      </c>
      <c r="U499">
        <v>2100</v>
      </c>
      <c r="V499" t="s">
        <v>380</v>
      </c>
      <c r="W499">
        <v>1922</v>
      </c>
      <c r="X499" t="s">
        <v>125</v>
      </c>
      <c r="Z499">
        <v>-2.5</v>
      </c>
      <c r="AA499">
        <v>-2.5</v>
      </c>
      <c r="AB499">
        <v>10</v>
      </c>
      <c r="AC499">
        <v>45</v>
      </c>
      <c r="AD499">
        <v>45</v>
      </c>
      <c r="AE499">
        <v>46</v>
      </c>
      <c r="AF499">
        <v>54</v>
      </c>
      <c r="AG499">
        <v>36</v>
      </c>
      <c r="AH499">
        <v>64</v>
      </c>
      <c r="AI499">
        <v>53</v>
      </c>
      <c r="AJ499">
        <v>47</v>
      </c>
      <c r="AK499">
        <v>54</v>
      </c>
      <c r="AL499">
        <v>46</v>
      </c>
      <c r="AM499">
        <v>0</v>
      </c>
      <c r="AN499">
        <v>0</v>
      </c>
      <c r="AO499">
        <v>0</v>
      </c>
      <c r="AP499">
        <v>0</v>
      </c>
      <c r="AQ499">
        <v>40</v>
      </c>
      <c r="AR499">
        <v>50</v>
      </c>
      <c r="AS499">
        <v>30</v>
      </c>
      <c r="AT499">
        <v>47</v>
      </c>
      <c r="AU499">
        <v>90</v>
      </c>
      <c r="AV499">
        <v>20</v>
      </c>
      <c r="AW499">
        <v>5</v>
      </c>
      <c r="AX499">
        <v>1</v>
      </c>
      <c r="AY499">
        <v>7</v>
      </c>
      <c r="AZ499">
        <v>1.4</v>
      </c>
      <c r="BA499">
        <v>7</v>
      </c>
      <c r="BB499">
        <v>8</v>
      </c>
      <c r="BC499">
        <v>3</v>
      </c>
      <c r="BD499">
        <v>3</v>
      </c>
      <c r="BE499">
        <v>3</v>
      </c>
      <c r="BF499">
        <v>1</v>
      </c>
      <c r="BG499">
        <v>1</v>
      </c>
      <c r="BH499">
        <v>4</v>
      </c>
      <c r="BI499">
        <v>14</v>
      </c>
      <c r="BJ499">
        <v>12</v>
      </c>
      <c r="BK499">
        <v>11</v>
      </c>
      <c r="BL499">
        <v>8</v>
      </c>
      <c r="BM499">
        <v>2</v>
      </c>
      <c r="BN499">
        <v>1.5</v>
      </c>
      <c r="BO499">
        <v>1.6</v>
      </c>
      <c r="BP499">
        <v>1</v>
      </c>
      <c r="BQ499">
        <v>1</v>
      </c>
      <c r="BR499">
        <v>0</v>
      </c>
      <c r="BS499">
        <v>1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9</v>
      </c>
      <c r="BZ499">
        <v>1.8</v>
      </c>
      <c r="CA499">
        <v>8</v>
      </c>
      <c r="CB499">
        <v>1.6</v>
      </c>
      <c r="CC499">
        <v>8</v>
      </c>
      <c r="CD499">
        <v>7</v>
      </c>
      <c r="CE499">
        <v>4</v>
      </c>
      <c r="CF499">
        <v>2</v>
      </c>
      <c r="CG499">
        <v>0</v>
      </c>
      <c r="CH499">
        <v>2</v>
      </c>
      <c r="CI499">
        <v>4</v>
      </c>
      <c r="CJ499">
        <v>3</v>
      </c>
      <c r="CK499">
        <v>17</v>
      </c>
      <c r="CL499">
        <v>11</v>
      </c>
      <c r="CM499">
        <v>16</v>
      </c>
      <c r="CN499">
        <v>15</v>
      </c>
      <c r="CO499">
        <v>2.1</v>
      </c>
      <c r="CP499">
        <v>1.6</v>
      </c>
      <c r="CQ499">
        <v>2</v>
      </c>
      <c r="CR499">
        <v>2.1</v>
      </c>
      <c r="CS499">
        <v>0</v>
      </c>
      <c r="CT499">
        <v>1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1</v>
      </c>
    </row>
    <row r="500" spans="1:104" x14ac:dyDescent="0.25">
      <c r="A500" s="1" t="s">
        <v>2926</v>
      </c>
      <c r="B500">
        <v>3719</v>
      </c>
      <c r="C500">
        <v>628</v>
      </c>
      <c r="D500" s="2">
        <v>43996</v>
      </c>
      <c r="E500" s="3">
        <f t="shared" si="21"/>
        <v>2020</v>
      </c>
      <c r="F500" s="3">
        <f t="shared" si="22"/>
        <v>6</v>
      </c>
      <c r="G500" s="3">
        <f t="shared" si="23"/>
        <v>1</v>
      </c>
      <c r="H500" t="s">
        <v>2927</v>
      </c>
      <c r="I500">
        <v>579</v>
      </c>
      <c r="J500" t="s">
        <v>1663</v>
      </c>
      <c r="K500" t="s">
        <v>121</v>
      </c>
      <c r="L500">
        <v>2019</v>
      </c>
      <c r="M500" t="s">
        <v>313</v>
      </c>
      <c r="N500" t="s">
        <v>2927</v>
      </c>
      <c r="O500" t="s">
        <v>2928</v>
      </c>
      <c r="P500">
        <v>8121</v>
      </c>
      <c r="Q500" t="s">
        <v>121</v>
      </c>
      <c r="R500">
        <v>1927</v>
      </c>
      <c r="S500" t="s">
        <v>926</v>
      </c>
      <c r="T500" t="s">
        <v>927</v>
      </c>
      <c r="U500">
        <v>20854</v>
      </c>
      <c r="V500" t="s">
        <v>121</v>
      </c>
      <c r="W500">
        <v>1893</v>
      </c>
      <c r="X500" t="s">
        <v>125</v>
      </c>
      <c r="Z500">
        <v>-2.5</v>
      </c>
      <c r="AA500">
        <v>-2.5</v>
      </c>
      <c r="AB500">
        <v>10</v>
      </c>
      <c r="AC500">
        <v>45</v>
      </c>
      <c r="AD500">
        <v>45</v>
      </c>
      <c r="AE500">
        <v>29</v>
      </c>
      <c r="AF500">
        <v>71</v>
      </c>
      <c r="AG500">
        <v>31</v>
      </c>
      <c r="AH500">
        <v>69</v>
      </c>
      <c r="AI500">
        <v>33</v>
      </c>
      <c r="AJ500">
        <v>67</v>
      </c>
      <c r="AK500">
        <v>51</v>
      </c>
      <c r="AL500">
        <v>49</v>
      </c>
      <c r="AM500">
        <v>67</v>
      </c>
      <c r="AN500">
        <v>33</v>
      </c>
      <c r="AO500">
        <v>67</v>
      </c>
      <c r="AP500">
        <v>33</v>
      </c>
      <c r="AQ500">
        <v>33</v>
      </c>
      <c r="AR500">
        <v>38</v>
      </c>
      <c r="AS500">
        <v>54</v>
      </c>
      <c r="AT500">
        <v>80</v>
      </c>
      <c r="AU500">
        <v>85</v>
      </c>
      <c r="AV500">
        <v>77</v>
      </c>
      <c r="AW500">
        <v>5</v>
      </c>
      <c r="AX500">
        <v>1</v>
      </c>
      <c r="AY500">
        <v>6</v>
      </c>
      <c r="AZ500">
        <v>1.2</v>
      </c>
      <c r="BA500">
        <v>14</v>
      </c>
      <c r="BB500">
        <v>15</v>
      </c>
      <c r="BC500">
        <v>7</v>
      </c>
      <c r="BD500">
        <v>4</v>
      </c>
      <c r="BE500">
        <v>4</v>
      </c>
      <c r="BF500">
        <v>5</v>
      </c>
      <c r="BG500">
        <v>3</v>
      </c>
      <c r="BH500">
        <v>6</v>
      </c>
      <c r="BI500">
        <v>20</v>
      </c>
      <c r="BJ500">
        <v>15</v>
      </c>
      <c r="BK500">
        <v>10</v>
      </c>
      <c r="BL500">
        <v>23</v>
      </c>
      <c r="BM500">
        <v>1.4</v>
      </c>
      <c r="BN500">
        <v>1</v>
      </c>
      <c r="BO500">
        <v>0.7</v>
      </c>
      <c r="BP500">
        <v>1.5</v>
      </c>
      <c r="BQ500">
        <v>2</v>
      </c>
      <c r="BR500">
        <v>2</v>
      </c>
      <c r="BS500">
        <v>1</v>
      </c>
      <c r="BT500">
        <v>1</v>
      </c>
      <c r="BU500">
        <v>0</v>
      </c>
      <c r="BV500">
        <v>0</v>
      </c>
      <c r="BW500">
        <v>1</v>
      </c>
      <c r="BX500">
        <v>1</v>
      </c>
      <c r="BY500">
        <v>11</v>
      </c>
      <c r="BZ500">
        <v>2.2000000000000002</v>
      </c>
      <c r="CA500">
        <v>3</v>
      </c>
      <c r="CB500">
        <v>0.6</v>
      </c>
      <c r="CC500">
        <v>15</v>
      </c>
      <c r="CD500">
        <v>14</v>
      </c>
      <c r="CE500">
        <v>8</v>
      </c>
      <c r="CF500">
        <v>5</v>
      </c>
      <c r="CG500">
        <v>3</v>
      </c>
      <c r="CH500">
        <v>5</v>
      </c>
      <c r="CI500">
        <v>4</v>
      </c>
      <c r="CJ500">
        <v>4</v>
      </c>
      <c r="CK500">
        <v>34</v>
      </c>
      <c r="CL500">
        <v>19</v>
      </c>
      <c r="CM500">
        <v>19</v>
      </c>
      <c r="CN500">
        <v>16</v>
      </c>
      <c r="CO500">
        <v>2.2999999999999998</v>
      </c>
      <c r="CP500">
        <v>1.4</v>
      </c>
      <c r="CQ500">
        <v>1.3</v>
      </c>
      <c r="CR500">
        <v>1.1000000000000001</v>
      </c>
      <c r="CS500">
        <v>2</v>
      </c>
      <c r="CT500">
        <v>2</v>
      </c>
      <c r="CU500">
        <v>1</v>
      </c>
      <c r="CV500">
        <v>1</v>
      </c>
      <c r="CW500">
        <v>0</v>
      </c>
      <c r="CX500">
        <v>0</v>
      </c>
      <c r="CY500">
        <v>1</v>
      </c>
      <c r="CZ500">
        <v>1</v>
      </c>
    </row>
    <row r="501" spans="1:104" x14ac:dyDescent="0.25">
      <c r="A501" s="1" t="s">
        <v>2929</v>
      </c>
      <c r="B501">
        <v>4516</v>
      </c>
      <c r="C501">
        <v>4521</v>
      </c>
      <c r="D501" s="2">
        <v>43873</v>
      </c>
      <c r="E501" s="3">
        <f t="shared" si="21"/>
        <v>2020</v>
      </c>
      <c r="F501" s="3">
        <f t="shared" si="22"/>
        <v>2</v>
      </c>
      <c r="G501" s="3">
        <f t="shared" si="23"/>
        <v>4</v>
      </c>
      <c r="H501" t="s">
        <v>2930</v>
      </c>
      <c r="I501">
        <v>918</v>
      </c>
      <c r="J501" t="s">
        <v>1054</v>
      </c>
      <c r="K501" t="s">
        <v>133</v>
      </c>
      <c r="L501">
        <v>2019</v>
      </c>
      <c r="M501" t="s">
        <v>906</v>
      </c>
      <c r="N501" t="s">
        <v>2931</v>
      </c>
      <c r="O501" t="s">
        <v>2932</v>
      </c>
      <c r="P501">
        <v>35000</v>
      </c>
      <c r="Q501" t="s">
        <v>133</v>
      </c>
      <c r="R501">
        <v>2004</v>
      </c>
      <c r="S501" t="s">
        <v>131</v>
      </c>
      <c r="T501" t="s">
        <v>132</v>
      </c>
      <c r="U501">
        <v>8000</v>
      </c>
      <c r="V501" t="s">
        <v>133</v>
      </c>
      <c r="X501" t="s">
        <v>125</v>
      </c>
      <c r="Z501">
        <v>-1.5</v>
      </c>
      <c r="AA501">
        <v>-1.5</v>
      </c>
      <c r="AB501">
        <v>10</v>
      </c>
      <c r="AC501">
        <v>45</v>
      </c>
      <c r="AD501">
        <v>45</v>
      </c>
      <c r="AE501">
        <v>54</v>
      </c>
      <c r="AF501">
        <v>46</v>
      </c>
      <c r="AG501">
        <v>58</v>
      </c>
      <c r="AH501">
        <v>42</v>
      </c>
      <c r="AI501">
        <v>58</v>
      </c>
      <c r="AJ501">
        <v>42</v>
      </c>
      <c r="AK501">
        <v>44</v>
      </c>
      <c r="AL501">
        <v>56</v>
      </c>
      <c r="AM501">
        <v>15</v>
      </c>
      <c r="AN501">
        <v>85</v>
      </c>
      <c r="AO501">
        <v>20</v>
      </c>
      <c r="AP501">
        <v>80</v>
      </c>
      <c r="AQ501">
        <v>47</v>
      </c>
      <c r="AR501">
        <v>39</v>
      </c>
      <c r="AS501">
        <v>72</v>
      </c>
      <c r="AT501">
        <v>40</v>
      </c>
      <c r="AU501">
        <v>28</v>
      </c>
      <c r="AV501">
        <v>61</v>
      </c>
      <c r="AW501">
        <v>7</v>
      </c>
      <c r="AX501">
        <v>1.4</v>
      </c>
      <c r="AY501">
        <v>5</v>
      </c>
      <c r="AZ501">
        <v>1</v>
      </c>
      <c r="BA501">
        <v>6</v>
      </c>
      <c r="BB501">
        <v>9</v>
      </c>
      <c r="BC501">
        <v>2</v>
      </c>
      <c r="BD501">
        <v>2</v>
      </c>
      <c r="BE501">
        <v>2</v>
      </c>
      <c r="BF501">
        <v>3</v>
      </c>
      <c r="BG501">
        <v>2</v>
      </c>
      <c r="BH501">
        <v>4</v>
      </c>
      <c r="BI501">
        <v>7</v>
      </c>
      <c r="BJ501">
        <v>10</v>
      </c>
      <c r="BK501">
        <v>7</v>
      </c>
      <c r="BL501">
        <v>10</v>
      </c>
      <c r="BM501">
        <v>1.2</v>
      </c>
      <c r="BN501">
        <v>1.1000000000000001</v>
      </c>
      <c r="BO501">
        <v>1.2</v>
      </c>
      <c r="BP501">
        <v>1.1000000000000001</v>
      </c>
      <c r="BQ501">
        <v>3</v>
      </c>
      <c r="BR501">
        <v>3</v>
      </c>
      <c r="BS501">
        <v>0</v>
      </c>
      <c r="BT501">
        <v>0</v>
      </c>
      <c r="BU501">
        <v>1</v>
      </c>
      <c r="BV501">
        <v>1</v>
      </c>
      <c r="BW501">
        <v>2</v>
      </c>
      <c r="BX501">
        <v>2</v>
      </c>
      <c r="BY501">
        <v>5</v>
      </c>
      <c r="BZ501">
        <v>1</v>
      </c>
      <c r="CA501">
        <v>7</v>
      </c>
      <c r="CB501">
        <v>1.4</v>
      </c>
      <c r="CC501">
        <v>9</v>
      </c>
      <c r="CD501">
        <v>6</v>
      </c>
      <c r="CE501">
        <v>4</v>
      </c>
      <c r="CF501">
        <v>3</v>
      </c>
      <c r="CG501">
        <v>1</v>
      </c>
      <c r="CH501">
        <v>1</v>
      </c>
      <c r="CI501">
        <v>4</v>
      </c>
      <c r="CJ501">
        <v>2</v>
      </c>
      <c r="CK501">
        <v>8</v>
      </c>
      <c r="CL501">
        <v>4</v>
      </c>
      <c r="CM501">
        <v>11</v>
      </c>
      <c r="CN501">
        <v>3</v>
      </c>
      <c r="CO501">
        <v>0.9</v>
      </c>
      <c r="CP501">
        <v>0.7</v>
      </c>
      <c r="CQ501">
        <v>1.2</v>
      </c>
      <c r="CR501">
        <v>0.5</v>
      </c>
      <c r="CS501">
        <v>3</v>
      </c>
      <c r="CT501">
        <v>3</v>
      </c>
      <c r="CU501">
        <v>2</v>
      </c>
      <c r="CV501">
        <v>2</v>
      </c>
      <c r="CW501">
        <v>1</v>
      </c>
      <c r="CX501">
        <v>1</v>
      </c>
      <c r="CY501">
        <v>0</v>
      </c>
      <c r="CZ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DA76-BEE0-43C1-9DCE-14B724563C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Sheet2!testing_data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Jobs</dc:creator>
  <cp:lastModifiedBy>Bill Jobs</cp:lastModifiedBy>
  <dcterms:created xsi:type="dcterms:W3CDTF">2020-09-28T06:05:21Z</dcterms:created>
  <dcterms:modified xsi:type="dcterms:W3CDTF">2020-09-30T09:48:11Z</dcterms:modified>
</cp:coreProperties>
</file>