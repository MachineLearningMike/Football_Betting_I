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Clients\Thomas\Picker\Data\"/>
    </mc:Choice>
  </mc:AlternateContent>
  <xr:revisionPtr revIDLastSave="0" documentId="13_ncr:1_{A7E19C23-03FD-4D5D-9451-955BDA0A81B1}" xr6:coauthVersionLast="45" xr6:coauthVersionMax="45" xr10:uidLastSave="{00000000-0000-0000-0000-000000000000}"/>
  <bookViews>
    <workbookView xWindow="540" yWindow="30" windowWidth="27870" windowHeight="14670" xr2:uid="{00000000-000D-0000-FFFF-FFFF00000000}"/>
  </bookViews>
  <sheets>
    <sheet name="Summary of Happened Model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Q7" i="1" l="1"/>
  <c r="W7" i="1" s="1"/>
  <c r="S7" i="1"/>
  <c r="Y7" i="1"/>
  <c r="Q8" i="1"/>
  <c r="R8" i="1" s="1"/>
  <c r="S8" i="1"/>
  <c r="Y8" i="1"/>
  <c r="Q9" i="1"/>
  <c r="W9" i="1" s="1"/>
  <c r="S9" i="1"/>
  <c r="Y9" i="1"/>
  <c r="Q10" i="1"/>
  <c r="W10" i="1" s="1"/>
  <c r="X10" i="1" s="1"/>
  <c r="Z10" i="1" s="1"/>
  <c r="S10" i="1"/>
  <c r="Y10" i="1"/>
  <c r="Q11" i="1"/>
  <c r="W11" i="1" s="1"/>
  <c r="S11" i="1"/>
  <c r="Y11" i="1"/>
  <c r="Q12" i="1"/>
  <c r="R12" i="1" s="1"/>
  <c r="S12" i="1"/>
  <c r="Y12" i="1"/>
  <c r="Q13" i="1"/>
  <c r="W13" i="1" s="1"/>
  <c r="S13" i="1"/>
  <c r="Y13" i="1"/>
  <c r="Q14" i="1"/>
  <c r="R14" i="1" s="1"/>
  <c r="S14" i="1"/>
  <c r="Y14" i="1"/>
  <c r="Q15" i="1"/>
  <c r="W15" i="1" s="1"/>
  <c r="S15" i="1"/>
  <c r="Y15" i="1"/>
  <c r="Q16" i="1"/>
  <c r="W16" i="1" s="1"/>
  <c r="X16" i="1" s="1"/>
  <c r="Z16" i="1" s="1"/>
  <c r="S16" i="1"/>
  <c r="Y16" i="1"/>
  <c r="Q17" i="1"/>
  <c r="W17" i="1" s="1"/>
  <c r="S17" i="1"/>
  <c r="Y17" i="1"/>
  <c r="AD21" i="1"/>
  <c r="AC21" i="1"/>
  <c r="AC19" i="1"/>
  <c r="Y6" i="1"/>
  <c r="Q6" i="1"/>
  <c r="R6" i="1" s="1"/>
  <c r="R16" i="1" l="1"/>
  <c r="T16" i="1" s="1"/>
  <c r="U16" i="1" s="1"/>
  <c r="V16" i="1" s="1"/>
  <c r="R7" i="1"/>
  <c r="T7" i="1" s="1"/>
  <c r="U7" i="1" s="1"/>
  <c r="V7" i="1" s="1"/>
  <c r="AA7" i="1" s="1"/>
  <c r="R10" i="1"/>
  <c r="T10" i="1" s="1"/>
  <c r="U10" i="1" s="1"/>
  <c r="V10" i="1" s="1"/>
  <c r="AA10" i="1" s="1"/>
  <c r="R9" i="1"/>
  <c r="T9" i="1" s="1"/>
  <c r="U9" i="1" s="1"/>
  <c r="V9" i="1" s="1"/>
  <c r="AA9" i="1" s="1"/>
  <c r="R17" i="1"/>
  <c r="T17" i="1" s="1"/>
  <c r="U17" i="1" s="1"/>
  <c r="V17" i="1" s="1"/>
  <c r="R13" i="1"/>
  <c r="T13" i="1" s="1"/>
  <c r="U13" i="1" s="1"/>
  <c r="V13" i="1" s="1"/>
  <c r="W14" i="1"/>
  <c r="X14" i="1" s="1"/>
  <c r="Z14" i="1" s="1"/>
  <c r="R11" i="1"/>
  <c r="T11" i="1" s="1"/>
  <c r="U11" i="1" s="1"/>
  <c r="V11" i="1" s="1"/>
  <c r="T12" i="1"/>
  <c r="U12" i="1" s="1"/>
  <c r="V12" i="1" s="1"/>
  <c r="W6" i="1"/>
  <c r="T14" i="1"/>
  <c r="U14" i="1" s="1"/>
  <c r="V14" i="1" s="1"/>
  <c r="W12" i="1"/>
  <c r="X12" i="1" s="1"/>
  <c r="Z12" i="1" s="1"/>
  <c r="W8" i="1"/>
  <c r="X8" i="1" s="1"/>
  <c r="Z8" i="1" s="1"/>
  <c r="T8" i="1"/>
  <c r="U8" i="1" s="1"/>
  <c r="V8" i="1" s="1"/>
  <c r="R15" i="1"/>
  <c r="T15" i="1" s="1"/>
  <c r="U15" i="1" s="1"/>
  <c r="V15" i="1" s="1"/>
  <c r="AA15" i="1" s="1"/>
  <c r="X17" i="1"/>
  <c r="Z17" i="1" s="1"/>
  <c r="X11" i="1"/>
  <c r="Z11" i="1" s="1"/>
  <c r="X9" i="1"/>
  <c r="Z9" i="1" s="1"/>
  <c r="X7" i="1"/>
  <c r="Z7" i="1" s="1"/>
  <c r="X15" i="1"/>
  <c r="Z15" i="1" s="1"/>
  <c r="X13" i="1"/>
  <c r="Z13" i="1" s="1"/>
  <c r="AB8" i="1" l="1"/>
  <c r="AA16" i="1"/>
  <c r="AB16" i="1"/>
  <c r="AA13" i="1"/>
  <c r="AB13" i="1"/>
  <c r="AB11" i="1"/>
  <c r="AA11" i="1"/>
  <c r="AA14" i="1"/>
  <c r="R19" i="1"/>
  <c r="AA12" i="1"/>
  <c r="AB10" i="1"/>
  <c r="AB14" i="1"/>
  <c r="AA17" i="1"/>
  <c r="AB17" i="1"/>
  <c r="U19" i="1"/>
  <c r="AB12" i="1"/>
  <c r="AA8" i="1"/>
  <c r="X6" i="1"/>
  <c r="W20" i="1"/>
  <c r="AB9" i="1"/>
  <c r="AB15" i="1"/>
  <c r="AB7" i="1"/>
  <c r="Z6" i="1" l="1"/>
  <c r="X20" i="1"/>
  <c r="Z20" i="1" s="1"/>
  <c r="Z21" i="1" s="1"/>
  <c r="Z22" i="1" s="1"/>
  <c r="Z23" i="1" s="1"/>
  <c r="Z24" i="1" s="1"/>
  <c r="I3" i="1" l="1"/>
  <c r="I8" i="1" s="1"/>
  <c r="M8" i="1" s="1"/>
  <c r="I13" i="1" l="1"/>
  <c r="M13" i="1" s="1"/>
  <c r="H13" i="1"/>
  <c r="I15" i="1"/>
  <c r="M15" i="1" s="1"/>
  <c r="G13" i="1"/>
  <c r="K13" i="1" s="1"/>
  <c r="H10" i="1"/>
  <c r="I7" i="1"/>
  <c r="M7" i="1" s="1"/>
  <c r="G11" i="1"/>
  <c r="K11" i="1" s="1"/>
  <c r="G16" i="1"/>
  <c r="K16" i="1" s="1"/>
  <c r="I10" i="1"/>
  <c r="M10" i="1" s="1"/>
  <c r="I6" i="1"/>
  <c r="M6" i="1" s="1"/>
  <c r="I12" i="1"/>
  <c r="M12" i="1" s="1"/>
  <c r="G10" i="1"/>
  <c r="K10" i="1" s="1"/>
  <c r="H7" i="1"/>
  <c r="H16" i="1"/>
  <c r="H6" i="1"/>
  <c r="S6" i="1" s="1"/>
  <c r="I17" i="1"/>
  <c r="M17" i="1" s="1"/>
  <c r="I9" i="1"/>
  <c r="M9" i="1" s="1"/>
  <c r="H17" i="1"/>
  <c r="I14" i="1"/>
  <c r="M14" i="1" s="1"/>
  <c r="G12" i="1"/>
  <c r="K12" i="1" s="1"/>
  <c r="H9" i="1"/>
  <c r="G6" i="1"/>
  <c r="K6" i="1" s="1"/>
  <c r="G8" i="1"/>
  <c r="K8" i="1" s="1"/>
  <c r="H15" i="1"/>
  <c r="H12" i="1"/>
  <c r="G17" i="1"/>
  <c r="K17" i="1" s="1"/>
  <c r="H14" i="1"/>
  <c r="I11" i="1"/>
  <c r="M11" i="1" s="1"/>
  <c r="G9" i="1"/>
  <c r="K9" i="1" s="1"/>
  <c r="H8" i="1"/>
  <c r="G15" i="1"/>
  <c r="K15" i="1" s="1"/>
  <c r="G7" i="1"/>
  <c r="K7" i="1" s="1"/>
  <c r="I16" i="1"/>
  <c r="M16" i="1" s="1"/>
  <c r="G14" i="1"/>
  <c r="K14" i="1" s="1"/>
  <c r="H11" i="1"/>
  <c r="T6" i="1" l="1"/>
  <c r="U6" i="1" s="1"/>
  <c r="V6" i="1" s="1"/>
  <c r="L15" i="1"/>
  <c r="L9" i="1"/>
  <c r="L7" i="1"/>
  <c r="L10" i="1"/>
  <c r="L6" i="1"/>
  <c r="L8" i="1"/>
  <c r="L16" i="1"/>
  <c r="L11" i="1"/>
  <c r="L14" i="1"/>
  <c r="AD17" i="1"/>
  <c r="L17" i="1"/>
  <c r="L13" i="1"/>
  <c r="L12" i="1"/>
  <c r="AB6" i="1" l="1"/>
  <c r="AA6" i="1"/>
  <c r="AD16" i="1"/>
  <c r="AD15" i="1"/>
  <c r="AD19" i="1" l="1"/>
  <c r="AD23" i="1" s="1"/>
  <c r="AB19" i="1"/>
</calcChain>
</file>

<file path=xl/sharedStrings.xml><?xml version="1.0" encoding="utf-8"?>
<sst xmlns="http://schemas.openxmlformats.org/spreadsheetml/2006/main" count="40" uniqueCount="40">
  <si>
    <t>Summary of Happened Models</t>
  </si>
  <si>
    <t>1/pow(2/pi, 1/2)</t>
  </si>
  <si>
    <t>Awin</t>
  </si>
  <si>
    <t>Draw</t>
  </si>
  <si>
    <t>HWin</t>
  </si>
  <si>
    <t>U15</t>
  </si>
  <si>
    <t>O15</t>
  </si>
  <si>
    <t>O25</t>
  </si>
  <si>
    <t>U25</t>
  </si>
  <si>
    <t>1_0</t>
  </si>
  <si>
    <t>2_1</t>
  </si>
  <si>
    <t>1_1</t>
  </si>
  <si>
    <t>BO_Y</t>
  </si>
  <si>
    <t>BO_N</t>
  </si>
  <si>
    <t>2 x sigma, covering 95%</t>
  </si>
  <si>
    <t>STD</t>
  </si>
  <si>
    <t>Happ AVG</t>
  </si>
  <si>
    <t>(1).fraction
over thres</t>
  </si>
  <si>
    <t>Bookie's Prob rate</t>
  </si>
  <si>
    <t>MeanAbsError</t>
  </si>
  <si>
    <t>2STD</t>
  </si>
  <si>
    <t>2STD-1</t>
  </si>
  <si>
    <t>H.Prob</t>
  </si>
  <si>
    <t>"-1".Prob</t>
  </si>
  <si>
    <t>H.OH1</t>
  </si>
  <si>
    <t>OH-1
= H.Prob*H.frac*H.OH1
+(-1).Prob*(-1).frac*(-1)*(-1).OH1</t>
  </si>
  <si>
    <t>H.Odds</t>
  </si>
  <si>
    <t>H.Odds Rate</t>
  </si>
  <si>
    <t>Best Strategy?</t>
  </si>
  <si>
    <t>H.OH1-(2STD-1)</t>
  </si>
  <si>
    <t>H.times of STD</t>
  </si>
  <si>
    <t>H.fraction
over (2SDT-1)</t>
  </si>
  <si>
    <t>stake</t>
  </si>
  <si>
    <t>Odds.STD</t>
  </si>
  <si>
    <t>Odds.AVG</t>
  </si>
  <si>
    <t>H</t>
  </si>
  <si>
    <t>total OH1</t>
  </si>
  <si>
    <t>total 
stake/g
of
margin</t>
  </si>
  <si>
    <t>total 
profit/g
of
margin</t>
  </si>
  <si>
    <t>400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</si>
</sst>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3" fillId="0" borderId="0" xfId="0" applyNumberFormat="1" applyFont="1"/>
    <xf numFmtId="164" fontId="0" fillId="0" borderId="0" xfId="0" applyNumberFormat="1" applyAlignment="1">
      <alignment wrapText="1"/>
    </xf>
    <xf numFmtId="164" fontId="0" fillId="2" borderId="0" xfId="0" applyNumberFormat="1" applyFill="1" applyAlignment="1">
      <alignment wrapText="1"/>
    </xf>
    <xf numFmtId="164" fontId="2" fillId="0" borderId="0" xfId="0" applyNumberFormat="1" applyFont="1" applyAlignment="1">
      <alignment wrapText="1"/>
    </xf>
    <xf numFmtId="164" fontId="0" fillId="3" borderId="0" xfId="0" applyNumberFormat="1" applyFill="1" applyAlignment="1">
      <alignment wrapText="1"/>
    </xf>
    <xf numFmtId="164" fontId="0" fillId="4" borderId="0" xfId="0" applyNumberFormat="1" applyFill="1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164" fontId="3" fillId="5" borderId="0" xfId="0" applyNumberFormat="1" applyFont="1" applyFill="1"/>
    <xf numFmtId="164" fontId="4" fillId="5" borderId="1" xfId="0" applyNumberFormat="1" applyFont="1" applyFill="1" applyBorder="1" applyAlignment="1">
      <alignment horizontal="center" vertical="top"/>
    </xf>
    <xf numFmtId="164" fontId="0" fillId="5" borderId="0" xfId="0" applyNumberFormat="1" applyFill="1"/>
    <xf numFmtId="164" fontId="4" fillId="0" borderId="1" xfId="0" applyNumberFormat="1" applyFont="1" applyBorder="1" applyAlignment="1">
      <alignment horizontal="center" vertical="top"/>
    </xf>
    <xf numFmtId="164" fontId="3" fillId="2" borderId="0" xfId="0" applyNumberFormat="1" applyFont="1" applyFill="1"/>
    <xf numFmtId="164" fontId="3" fillId="3" borderId="0" xfId="0" applyNumberFormat="1" applyFont="1" applyFill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D24"/>
  <sheetViews>
    <sheetView tabSelected="1" topLeftCell="A2" zoomScale="115" zoomScaleNormal="115" workbookViewId="0">
      <selection activeCell="H20" sqref="H20"/>
    </sheetView>
  </sheetViews>
  <sheetFormatPr defaultRowHeight="15" x14ac:dyDescent="0.25"/>
  <cols>
    <col min="1" max="9" width="9.140625" style="1"/>
    <col min="10" max="10" width="15.140625" style="1" customWidth="1"/>
    <col min="11" max="14" width="9.140625" style="1"/>
    <col min="15" max="15" width="10.7109375" style="1" customWidth="1"/>
    <col min="16" max="16" width="9.140625" style="1" customWidth="1"/>
    <col min="17" max="18" width="9.140625" style="1"/>
    <col min="19" max="19" width="12.140625" style="1" customWidth="1"/>
    <col min="20" max="20" width="9.140625" style="1"/>
    <col min="21" max="21" width="14.42578125" style="1" customWidth="1"/>
    <col min="22" max="22" width="14.140625" style="1" customWidth="1"/>
    <col min="23" max="24" width="9.140625" style="1"/>
    <col min="25" max="27" width="11.28515625" style="1" customWidth="1"/>
    <col min="28" max="28" width="23.5703125" style="1" customWidth="1"/>
    <col min="29" max="30" width="14.140625" style="1" customWidth="1"/>
    <col min="31" max="16384" width="9.140625" style="1"/>
  </cols>
  <sheetData>
    <row r="2" spans="1:30" x14ac:dyDescent="0.25">
      <c r="Q2" s="1" t="s">
        <v>27</v>
      </c>
      <c r="W2" s="1" t="s">
        <v>18</v>
      </c>
    </row>
    <row r="3" spans="1:30" x14ac:dyDescent="0.25">
      <c r="B3" s="1" t="s">
        <v>0</v>
      </c>
      <c r="G3" s="1" t="s">
        <v>1</v>
      </c>
      <c r="I3" s="1">
        <f>1/POWER(2/3.141592, 1/2)</f>
        <v>1.2533140069431921</v>
      </c>
      <c r="P3" s="1" t="s">
        <v>16</v>
      </c>
      <c r="Q3" s="2">
        <v>0.4</v>
      </c>
      <c r="W3" s="2">
        <v>0.95</v>
      </c>
      <c r="AD3" s="1">
        <v>1</v>
      </c>
    </row>
    <row r="4" spans="1:30" x14ac:dyDescent="0.25">
      <c r="S4" s="3" t="s">
        <v>28</v>
      </c>
    </row>
    <row r="5" spans="1:30" s="4" customFormat="1" ht="60" x14ac:dyDescent="0.25">
      <c r="D5" s="4" t="s">
        <v>19</v>
      </c>
      <c r="H5" s="5" t="s">
        <v>15</v>
      </c>
      <c r="K5" s="6" t="s">
        <v>14</v>
      </c>
      <c r="L5" s="5" t="s">
        <v>20</v>
      </c>
      <c r="O5" s="4" t="s">
        <v>34</v>
      </c>
      <c r="P5" s="4" t="s">
        <v>33</v>
      </c>
      <c r="Q5" s="4" t="s">
        <v>26</v>
      </c>
      <c r="R5" s="7" t="s">
        <v>24</v>
      </c>
      <c r="S5" s="5" t="s">
        <v>21</v>
      </c>
      <c r="T5" s="4" t="s">
        <v>29</v>
      </c>
      <c r="U5" s="4" t="s">
        <v>30</v>
      </c>
      <c r="V5" s="7" t="s">
        <v>31</v>
      </c>
      <c r="W5" s="7" t="s">
        <v>22</v>
      </c>
      <c r="X5" s="8" t="s">
        <v>23</v>
      </c>
      <c r="Y5" s="8" t="s">
        <v>17</v>
      </c>
      <c r="Z5" s="4">
        <v>-1</v>
      </c>
      <c r="AA5" s="4" t="s">
        <v>35</v>
      </c>
      <c r="AB5" s="4" t="s">
        <v>25</v>
      </c>
      <c r="AC5" s="4" t="s">
        <v>32</v>
      </c>
    </row>
    <row r="6" spans="1:30" x14ac:dyDescent="0.25">
      <c r="A6" s="1" t="s">
        <v>4</v>
      </c>
      <c r="B6" s="9">
        <v>0</v>
      </c>
      <c r="C6" s="1">
        <v>0.98616945743560791</v>
      </c>
      <c r="D6" s="1">
        <v>1.1089519262313841</v>
      </c>
      <c r="E6" s="1">
        <v>1.063643336296082</v>
      </c>
      <c r="G6" s="1">
        <f>C6*$I$3</f>
        <v>1.2359799942236154</v>
      </c>
      <c r="H6" s="1">
        <f t="shared" ref="H6:I6" si="0">D6*$I$3</f>
        <v>1.3898649821724272</v>
      </c>
      <c r="I6" s="1">
        <f t="shared" si="0"/>
        <v>1.3330790917716677</v>
      </c>
      <c r="K6" s="1">
        <f>G6*2</f>
        <v>2.4719599884472307</v>
      </c>
      <c r="L6" s="1">
        <f t="shared" ref="L6:M6" si="1">H6*2</f>
        <v>2.7797299643448543</v>
      </c>
      <c r="M6" s="1">
        <f t="shared" si="1"/>
        <v>2.6661581835433354</v>
      </c>
      <c r="O6" s="1">
        <v>2.9838922358931312</v>
      </c>
      <c r="P6" s="3">
        <v>3.649551876329121</v>
      </c>
      <c r="Q6" s="1">
        <f>O6*$Q$3</f>
        <v>1.1935568943572525</v>
      </c>
      <c r="R6" s="1">
        <f>Q6-1</f>
        <v>0.19355689435725254</v>
      </c>
      <c r="S6" s="1">
        <f>-1+2*H6</f>
        <v>1.7797299643448543</v>
      </c>
      <c r="T6" s="1">
        <f>R6-S6</f>
        <v>-1.5861730699876018</v>
      </c>
      <c r="U6" s="1">
        <f>T6/H6</f>
        <v>-1.1412425597688889</v>
      </c>
      <c r="V6" s="1">
        <f>0.5*(1+ERF(U6/POWER(2,0.5)))</f>
        <v>0.12688449898549525</v>
      </c>
      <c r="W6" s="1">
        <f>1/Q6*$Q$3</f>
        <v>0.33513274640787505</v>
      </c>
      <c r="X6" s="1">
        <f>1-W6</f>
        <v>0.66486725359212495</v>
      </c>
      <c r="Y6" s="1">
        <f>0.5*(1-ERF(2/POWER(2,0.5)))</f>
        <v>2.2750131948179209E-2</v>
      </c>
      <c r="Z6" s="1">
        <f>X6*Y6</f>
        <v>1.512581774724437E-2</v>
      </c>
      <c r="AA6" s="1">
        <f>V6*W6</f>
        <v>4.2523150621596256E-2</v>
      </c>
      <c r="AB6" s="1">
        <f>W6*V6*R6-X6*Y6</f>
        <v>-6.8951687746425256E-3</v>
      </c>
    </row>
    <row r="7" spans="1:30" x14ac:dyDescent="0.25">
      <c r="A7" s="1" t="s">
        <v>3</v>
      </c>
      <c r="B7" s="9">
        <v>1</v>
      </c>
      <c r="C7" s="1">
        <v>1.0597397089004521</v>
      </c>
      <c r="D7" s="2">
        <v>0.97310644388198853</v>
      </c>
      <c r="E7" s="2">
        <v>0.88845694065093994</v>
      </c>
      <c r="G7" s="1">
        <f t="shared" ref="G7:G17" si="2">C7*$I$3</f>
        <v>1.3281866208788375</v>
      </c>
      <c r="H7" s="1">
        <f t="shared" ref="H7:H17" si="3">D7*$I$3</f>
        <v>1.2196079363639756</v>
      </c>
      <c r="I7" s="1">
        <f t="shared" ref="I7:I17" si="4">E7*$I$3</f>
        <v>1.1135155282837192</v>
      </c>
      <c r="K7" s="1">
        <f t="shared" ref="K7:K17" si="5">G7*2</f>
        <v>2.6563732417576751</v>
      </c>
      <c r="L7" s="1">
        <f t="shared" ref="L7:L17" si="6">H7*2</f>
        <v>2.4392158727279512</v>
      </c>
      <c r="M7" s="1">
        <f t="shared" ref="M7:M17" si="7">I7*2</f>
        <v>2.2270310565674385</v>
      </c>
      <c r="O7" s="1">
        <v>4.191081883750571</v>
      </c>
      <c r="P7" s="3">
        <v>2.3291290169496581</v>
      </c>
      <c r="Q7" s="1">
        <f t="shared" ref="Q7:Q17" si="8">O7*$Q$3</f>
        <v>1.6764327535002286</v>
      </c>
      <c r="R7" s="1">
        <f t="shared" ref="R7:R17" si="9">Q7-1</f>
        <v>0.67643275350022858</v>
      </c>
      <c r="S7" s="1">
        <f t="shared" ref="S7:S17" si="10">-1+2*H7</f>
        <v>1.4392158727279512</v>
      </c>
      <c r="T7" s="1">
        <f t="shared" ref="T7:T17" si="11">R7-S7</f>
        <v>-0.76278311922772257</v>
      </c>
      <c r="U7" s="1">
        <f t="shared" ref="U7:U17" si="12">T7/H7</f>
        <v>-0.62543305638188318</v>
      </c>
      <c r="V7" s="1">
        <f t="shared" ref="V7:V17" si="13">0.5*(1+ERF(U7/POWER(2,0.5)))</f>
        <v>0.26584343608175204</v>
      </c>
      <c r="W7" s="1">
        <f t="shared" ref="W7:W17" si="14">1/Q7*$Q$3</f>
        <v>0.23860187601610561</v>
      </c>
      <c r="X7" s="1">
        <f t="shared" ref="X7:X17" si="15">1-W7</f>
        <v>0.76139812398389439</v>
      </c>
      <c r="Y7" s="1">
        <f t="shared" ref="Y7:Y17" si="16">0.5*(1-ERF(2/POWER(2,0.5)))</f>
        <v>2.2750131948179209E-2</v>
      </c>
      <c r="Z7" s="1">
        <f t="shared" ref="Z7:Z17" si="17">X7*Y7</f>
        <v>1.7321907785729711E-2</v>
      </c>
      <c r="AA7" s="1">
        <f t="shared" ref="AA7:AA17" si="18">V7*W7</f>
        <v>6.3430742575673701E-2</v>
      </c>
      <c r="AB7" s="1">
        <f t="shared" ref="AB7:AB17" si="19">W7*V7*R7-X7*Y7</f>
        <v>2.5584724071297433E-2</v>
      </c>
    </row>
    <row r="8" spans="1:30" x14ac:dyDescent="0.25">
      <c r="A8" s="1" t="s">
        <v>2</v>
      </c>
      <c r="B8" s="9">
        <v>2</v>
      </c>
      <c r="C8" s="1">
        <v>1.076271533966064</v>
      </c>
      <c r="D8" s="1">
        <v>0.9292374849319458</v>
      </c>
      <c r="E8" s="1">
        <v>1.0417511463165281</v>
      </c>
      <c r="G8" s="1">
        <f t="shared" si="2"/>
        <v>1.3489061887939036</v>
      </c>
      <c r="H8" s="1">
        <f t="shared" si="3"/>
        <v>1.164626355641871</v>
      </c>
      <c r="I8" s="1">
        <f t="shared" si="4"/>
        <v>1.3056413034276313</v>
      </c>
      <c r="K8" s="1">
        <f t="shared" si="5"/>
        <v>2.6978123775878071</v>
      </c>
      <c r="L8" s="1">
        <f t="shared" si="6"/>
        <v>2.329252711283742</v>
      </c>
      <c r="M8" s="1">
        <f t="shared" si="7"/>
        <v>2.6112826068552626</v>
      </c>
      <c r="O8" s="1">
        <v>4.686247772592341</v>
      </c>
      <c r="P8" s="3">
        <v>5.4221279185153417</v>
      </c>
      <c r="Q8" s="1">
        <f t="shared" si="8"/>
        <v>1.8744991090369365</v>
      </c>
      <c r="R8" s="1">
        <f t="shared" si="9"/>
        <v>0.87449910903693651</v>
      </c>
      <c r="S8" s="1">
        <f t="shared" si="10"/>
        <v>1.329252711283742</v>
      </c>
      <c r="T8" s="1">
        <f t="shared" si="11"/>
        <v>-0.4547536022468055</v>
      </c>
      <c r="U8" s="1">
        <f t="shared" si="12"/>
        <v>-0.39047167363490848</v>
      </c>
      <c r="V8" s="1">
        <f t="shared" si="13"/>
        <v>0.34809389870863927</v>
      </c>
      <c r="W8" s="1">
        <f t="shared" si="14"/>
        <v>0.21339033882257136</v>
      </c>
      <c r="X8" s="1">
        <f t="shared" si="15"/>
        <v>0.7866096611774287</v>
      </c>
      <c r="Y8" s="1">
        <f t="shared" si="16"/>
        <v>2.2750131948179209E-2</v>
      </c>
      <c r="Z8" s="1">
        <f t="shared" si="17"/>
        <v>1.7895473583499043E-2</v>
      </c>
      <c r="AA8" s="1">
        <f t="shared" si="18"/>
        <v>7.4279874987506364E-2</v>
      </c>
      <c r="AB8" s="1">
        <f t="shared" si="19"/>
        <v>4.7062210912450296E-2</v>
      </c>
    </row>
    <row r="9" spans="1:30" x14ac:dyDescent="0.25">
      <c r="A9" s="1" t="s">
        <v>12</v>
      </c>
      <c r="B9" s="9">
        <v>3</v>
      </c>
      <c r="C9" s="2">
        <v>0.78587990999221802</v>
      </c>
      <c r="D9" s="2">
        <v>0.83135473728179932</v>
      </c>
      <c r="E9" s="2">
        <v>0.85394036769866943</v>
      </c>
      <c r="G9" s="2">
        <f t="shared" si="2"/>
        <v>0.98495429896850184</v>
      </c>
      <c r="H9" s="2">
        <f t="shared" si="3"/>
        <v>1.0419485369738566</v>
      </c>
      <c r="I9" s="2">
        <f t="shared" si="4"/>
        <v>1.0702554239309621</v>
      </c>
      <c r="K9" s="1">
        <f t="shared" si="5"/>
        <v>1.9699085979370037</v>
      </c>
      <c r="L9" s="1">
        <f t="shared" si="6"/>
        <v>2.0838970739477132</v>
      </c>
      <c r="M9" s="1">
        <f t="shared" si="7"/>
        <v>2.1405108478619241</v>
      </c>
      <c r="O9" s="1">
        <v>1.852196057910394</v>
      </c>
      <c r="P9" s="3">
        <v>0.32486907871149484</v>
      </c>
      <c r="Q9" s="1">
        <f t="shared" si="8"/>
        <v>0.74087842316415764</v>
      </c>
      <c r="R9" s="1">
        <f t="shared" si="9"/>
        <v>-0.25912157683584236</v>
      </c>
      <c r="S9" s="1">
        <f t="shared" si="10"/>
        <v>1.0838970739477132</v>
      </c>
      <c r="T9" s="1">
        <f t="shared" si="11"/>
        <v>-1.3430186507835555</v>
      </c>
      <c r="U9" s="1">
        <f t="shared" si="12"/>
        <v>-1.2889491209269321</v>
      </c>
      <c r="V9" s="1">
        <f t="shared" si="13"/>
        <v>9.8707887697981223E-2</v>
      </c>
      <c r="W9" s="1">
        <f t="shared" si="14"/>
        <v>0.53989964816585212</v>
      </c>
      <c r="X9" s="1">
        <f t="shared" si="15"/>
        <v>0.46010035183414788</v>
      </c>
      <c r="Y9" s="1">
        <f t="shared" si="16"/>
        <v>2.2750131948179209E-2</v>
      </c>
      <c r="Z9" s="1">
        <f t="shared" si="17"/>
        <v>1.0467343713630542E-2</v>
      </c>
      <c r="AA9" s="1">
        <f t="shared" si="18"/>
        <v>5.3292353839334505E-2</v>
      </c>
      <c r="AB9" s="1">
        <f t="shared" si="19"/>
        <v>-2.4276542473772558E-2</v>
      </c>
    </row>
    <row r="10" spans="1:30" x14ac:dyDescent="0.25">
      <c r="A10" s="1" t="s">
        <v>13</v>
      </c>
      <c r="B10" s="9">
        <v>4</v>
      </c>
      <c r="C10" s="2">
        <v>0.90140336751937866</v>
      </c>
      <c r="D10" s="2">
        <v>0.96482568979263306</v>
      </c>
      <c r="E10" s="2">
        <v>0.99463313817977905</v>
      </c>
      <c r="G10" s="1">
        <f t="shared" si="2"/>
        <v>1.1297414664177992</v>
      </c>
      <c r="H10" s="1">
        <f t="shared" si="3"/>
        <v>1.2092295512757343</v>
      </c>
      <c r="I10" s="1">
        <f t="shared" si="4"/>
        <v>1.2465876438505805</v>
      </c>
      <c r="K10" s="1">
        <f t="shared" si="5"/>
        <v>2.2594829328355983</v>
      </c>
      <c r="L10" s="1">
        <f t="shared" si="6"/>
        <v>2.4184591025514686</v>
      </c>
      <c r="M10" s="1">
        <f t="shared" si="7"/>
        <v>2.493175287701161</v>
      </c>
      <c r="O10" s="1">
        <v>1.9558355136927212</v>
      </c>
      <c r="P10" s="3">
        <v>0.29198276894454595</v>
      </c>
      <c r="Q10" s="1">
        <f t="shared" si="8"/>
        <v>0.78233420547708854</v>
      </c>
      <c r="R10" s="1">
        <f t="shared" si="9"/>
        <v>-0.21766579452291146</v>
      </c>
      <c r="S10" s="1">
        <f t="shared" si="10"/>
        <v>1.4184591025514686</v>
      </c>
      <c r="T10" s="1">
        <f t="shared" si="11"/>
        <v>-1.63612489707438</v>
      </c>
      <c r="U10" s="1">
        <f t="shared" si="12"/>
        <v>-1.3530308578286663</v>
      </c>
      <c r="V10" s="1">
        <f t="shared" si="13"/>
        <v>8.8022886236696962E-2</v>
      </c>
      <c r="W10" s="1">
        <f t="shared" si="14"/>
        <v>0.51129043981410627</v>
      </c>
      <c r="X10" s="1">
        <f t="shared" si="15"/>
        <v>0.48870956018589373</v>
      </c>
      <c r="Y10" s="1">
        <f t="shared" si="16"/>
        <v>2.2750131948179209E-2</v>
      </c>
      <c r="Z10" s="1">
        <f t="shared" si="17"/>
        <v>1.1118206978565711E-2</v>
      </c>
      <c r="AA10" s="1">
        <f t="shared" si="18"/>
        <v>4.5005260217667833E-2</v>
      </c>
      <c r="AB10" s="1">
        <f t="shared" si="19"/>
        <v>-2.091431270155476E-2</v>
      </c>
    </row>
    <row r="11" spans="1:30" s="10" customFormat="1" x14ac:dyDescent="0.25">
      <c r="A11" s="10" t="s">
        <v>6</v>
      </c>
      <c r="B11" s="11">
        <v>5</v>
      </c>
      <c r="C11" s="10">
        <v>0.37930923700332642</v>
      </c>
      <c r="D11" s="10">
        <v>0.36586987972259521</v>
      </c>
      <c r="E11" s="10">
        <v>0.34146896004676819</v>
      </c>
      <c r="G11" s="10">
        <f t="shared" si="2"/>
        <v>0.47539357969920393</v>
      </c>
      <c r="H11" s="10">
        <f t="shared" si="3"/>
        <v>0.45854984497494955</v>
      </c>
      <c r="I11" s="10">
        <f t="shared" si="4"/>
        <v>0.4279678305629398</v>
      </c>
      <c r="K11" s="10">
        <f t="shared" si="5"/>
        <v>0.95078715939840786</v>
      </c>
      <c r="L11" s="10">
        <f t="shared" si="6"/>
        <v>0.9170996899498991</v>
      </c>
      <c r="M11" s="10">
        <f t="shared" si="7"/>
        <v>0.8559356611258796</v>
      </c>
      <c r="O11" s="10">
        <v>1.2765328654570447</v>
      </c>
      <c r="P11" s="10">
        <v>0.12176215527134239</v>
      </c>
      <c r="Q11" s="12">
        <f t="shared" si="8"/>
        <v>0.51061314618281795</v>
      </c>
      <c r="R11" s="12">
        <f t="shared" si="9"/>
        <v>-0.48938685381718205</v>
      </c>
      <c r="S11" s="12">
        <f t="shared" si="10"/>
        <v>-8.29003100501009E-2</v>
      </c>
      <c r="T11" s="12">
        <f t="shared" si="11"/>
        <v>-0.40648654376708115</v>
      </c>
      <c r="U11" s="12">
        <f t="shared" si="12"/>
        <v>-0.88646097740865537</v>
      </c>
      <c r="V11" s="12">
        <f t="shared" si="13"/>
        <v>0.18768458656583809</v>
      </c>
      <c r="W11" s="12">
        <f t="shared" si="14"/>
        <v>0.78337191862425248</v>
      </c>
      <c r="X11" s="12">
        <f t="shared" si="15"/>
        <v>0.21662808137574752</v>
      </c>
      <c r="Y11" s="12">
        <f t="shared" si="16"/>
        <v>2.2750131948179209E-2</v>
      </c>
      <c r="Z11" s="12">
        <f t="shared" si="17"/>
        <v>4.9283174349791592E-3</v>
      </c>
      <c r="AA11" s="12">
        <f t="shared" si="18"/>
        <v>0.14702683467428018</v>
      </c>
      <c r="AB11" s="12">
        <f t="shared" si="19"/>
        <v>-7.6881317482924108E-2</v>
      </c>
      <c r="AC11" s="1"/>
      <c r="AD11" s="1"/>
    </row>
    <row r="12" spans="1:30" s="3" customFormat="1" x14ac:dyDescent="0.25">
      <c r="A12" s="3" t="s">
        <v>5</v>
      </c>
      <c r="B12" s="13">
        <v>6</v>
      </c>
      <c r="C12" s="14">
        <v>0.96045070886611938</v>
      </c>
      <c r="D12" s="14">
        <v>0.91707706451416016</v>
      </c>
      <c r="E12" s="14">
        <v>0.88215982913970947</v>
      </c>
      <c r="G12" s="3">
        <f t="shared" si="2"/>
        <v>1.2037463264004253</v>
      </c>
      <c r="H12" s="3">
        <f t="shared" si="3"/>
        <v>1.1493855304019422</v>
      </c>
      <c r="I12" s="3">
        <f t="shared" si="4"/>
        <v>1.105623270223411</v>
      </c>
      <c r="K12" s="3">
        <f t="shared" si="5"/>
        <v>2.4074926528008507</v>
      </c>
      <c r="L12" s="3">
        <f t="shared" si="6"/>
        <v>2.2987710608038845</v>
      </c>
      <c r="M12" s="3">
        <f t="shared" si="7"/>
        <v>2.211246540446822</v>
      </c>
      <c r="O12" s="3">
        <v>4.0664019171518087</v>
      </c>
      <c r="P12" s="3">
        <v>1.5488997911003661</v>
      </c>
      <c r="Q12" s="1">
        <f t="shared" si="8"/>
        <v>1.6265607668607236</v>
      </c>
      <c r="R12" s="1">
        <f t="shared" si="9"/>
        <v>0.62656076686072359</v>
      </c>
      <c r="S12" s="1">
        <f t="shared" si="10"/>
        <v>1.2987710608038845</v>
      </c>
      <c r="T12" s="1">
        <f t="shared" si="11"/>
        <v>-0.6722102939431609</v>
      </c>
      <c r="U12" s="1">
        <f t="shared" si="12"/>
        <v>-0.58484318460846441</v>
      </c>
      <c r="V12" s="1">
        <f t="shared" si="13"/>
        <v>0.27932658203058414</v>
      </c>
      <c r="W12" s="1">
        <f t="shared" si="14"/>
        <v>0.24591764915860073</v>
      </c>
      <c r="X12" s="1">
        <f t="shared" si="15"/>
        <v>0.7540823508413993</v>
      </c>
      <c r="Y12" s="1">
        <f t="shared" si="16"/>
        <v>2.2750131948179209E-2</v>
      </c>
      <c r="Z12" s="1">
        <f t="shared" si="17"/>
        <v>1.7155472981435001E-2</v>
      </c>
      <c r="AA12" s="1">
        <f t="shared" si="18"/>
        <v>6.8691336400468303E-2</v>
      </c>
      <c r="AB12" s="1">
        <f t="shared" si="19"/>
        <v>2.5883823430330355E-2</v>
      </c>
      <c r="AC12" s="1"/>
      <c r="AD12" s="1"/>
    </row>
    <row r="13" spans="1:30" x14ac:dyDescent="0.25">
      <c r="A13" s="1" t="s">
        <v>7</v>
      </c>
      <c r="B13" s="9">
        <v>7</v>
      </c>
      <c r="C13" s="2">
        <v>0.85148859024047852</v>
      </c>
      <c r="D13" s="2">
        <v>0.89341235160827637</v>
      </c>
      <c r="E13" s="2">
        <v>0.81434381008148193</v>
      </c>
      <c r="G13" s="1">
        <f t="shared" si="2"/>
        <v>1.0671825769007039</v>
      </c>
      <c r="H13" s="1">
        <f t="shared" si="3"/>
        <v>1.1197262142467088</v>
      </c>
      <c r="I13" s="1">
        <f t="shared" si="4"/>
        <v>1.0206285036426079</v>
      </c>
      <c r="K13" s="1">
        <f t="shared" si="5"/>
        <v>2.1343651538014079</v>
      </c>
      <c r="L13" s="1">
        <f t="shared" si="6"/>
        <v>2.2394524284934176</v>
      </c>
      <c r="M13" s="1">
        <f t="shared" si="7"/>
        <v>2.0412570072852159</v>
      </c>
      <c r="O13" s="1">
        <v>1.886689350119058</v>
      </c>
      <c r="P13" s="3">
        <v>0.37510292899650227</v>
      </c>
      <c r="Q13" s="1">
        <f t="shared" si="8"/>
        <v>0.75467574004762328</v>
      </c>
      <c r="R13" s="1">
        <f t="shared" si="9"/>
        <v>-0.24532425995237672</v>
      </c>
      <c r="S13" s="1">
        <f t="shared" si="10"/>
        <v>1.2394524284934176</v>
      </c>
      <c r="T13" s="1">
        <f t="shared" si="11"/>
        <v>-1.4847766884457942</v>
      </c>
      <c r="U13" s="1">
        <f t="shared" si="12"/>
        <v>-1.3260176189093436</v>
      </c>
      <c r="V13" s="1">
        <f t="shared" si="13"/>
        <v>9.2416930731281266E-2</v>
      </c>
      <c r="W13" s="1">
        <f t="shared" si="14"/>
        <v>0.53002896313423076</v>
      </c>
      <c r="X13" s="1">
        <f t="shared" si="15"/>
        <v>0.46997103686576924</v>
      </c>
      <c r="Y13" s="1">
        <f t="shared" si="16"/>
        <v>2.2750131948179209E-2</v>
      </c>
      <c r="Z13" s="1">
        <f t="shared" si="17"/>
        <v>1.0691903100518846E-2</v>
      </c>
      <c r="AA13" s="1">
        <f t="shared" si="18"/>
        <v>4.8983649971549033E-2</v>
      </c>
      <c r="AB13" s="1">
        <f t="shared" si="19"/>
        <v>-2.270878077955537E-2</v>
      </c>
    </row>
    <row r="14" spans="1:30" x14ac:dyDescent="0.25">
      <c r="A14" s="1" t="s">
        <v>8</v>
      </c>
      <c r="B14" s="9">
        <v>8</v>
      </c>
      <c r="C14" s="2">
        <v>0.85061150789260864</v>
      </c>
      <c r="D14" s="2">
        <v>0.93385255336761475</v>
      </c>
      <c r="E14" s="2">
        <v>0.83893901109695435</v>
      </c>
      <c r="G14" s="1">
        <f t="shared" si="2"/>
        <v>1.066083317308876</v>
      </c>
      <c r="H14" s="1">
        <f t="shared" si="3"/>
        <v>1.1704104855552964</v>
      </c>
      <c r="I14" s="1">
        <f t="shared" si="4"/>
        <v>1.051454013578883</v>
      </c>
      <c r="K14" s="1">
        <f t="shared" si="5"/>
        <v>2.1321666346177519</v>
      </c>
      <c r="L14" s="1">
        <f t="shared" si="6"/>
        <v>2.3408209711105927</v>
      </c>
      <c r="M14" s="1">
        <f t="shared" si="7"/>
        <v>2.102908027157766</v>
      </c>
      <c r="O14" s="1">
        <v>2.0854703980945843</v>
      </c>
      <c r="P14" s="3">
        <v>0.66314742186171971</v>
      </c>
      <c r="Q14" s="1">
        <f t="shared" si="8"/>
        <v>0.83418815923783374</v>
      </c>
      <c r="R14" s="1">
        <f t="shared" si="9"/>
        <v>-0.16581184076216626</v>
      </c>
      <c r="S14" s="1">
        <f t="shared" si="10"/>
        <v>1.3408209711105927</v>
      </c>
      <c r="T14" s="1">
        <f t="shared" si="11"/>
        <v>-1.506632811872759</v>
      </c>
      <c r="U14" s="1">
        <f t="shared" si="12"/>
        <v>-1.2872687236375393</v>
      </c>
      <c r="V14" s="1">
        <f t="shared" si="13"/>
        <v>9.9000320461736901E-2</v>
      </c>
      <c r="W14" s="1">
        <f t="shared" si="14"/>
        <v>0.47950812484016192</v>
      </c>
      <c r="X14" s="1">
        <f t="shared" si="15"/>
        <v>0.52049187515983808</v>
      </c>
      <c r="Y14" s="1">
        <f t="shared" si="16"/>
        <v>2.2750131948179209E-2</v>
      </c>
      <c r="Z14" s="1">
        <f t="shared" si="17"/>
        <v>1.1841258837841536E-2</v>
      </c>
      <c r="AA14" s="1">
        <f t="shared" si="18"/>
        <v>4.7471458023182575E-2</v>
      </c>
      <c r="AB14" s="1">
        <f t="shared" si="19"/>
        <v>-1.9712588676329343E-2</v>
      </c>
    </row>
    <row r="15" spans="1:30" x14ac:dyDescent="0.25">
      <c r="A15" s="1" t="s">
        <v>9</v>
      </c>
      <c r="B15" s="9">
        <v>9</v>
      </c>
      <c r="C15" s="1">
        <v>0.86949145793914795</v>
      </c>
      <c r="D15" s="15">
        <v>1.302834153175354</v>
      </c>
      <c r="E15" s="1">
        <v>0.58912122249603271</v>
      </c>
      <c r="G15" s="1">
        <f t="shared" si="2"/>
        <v>1.0897458231525914</v>
      </c>
      <c r="H15" s="16">
        <f t="shared" si="3"/>
        <v>1.6328602928986433</v>
      </c>
      <c r="I15" s="1">
        <f t="shared" si="4"/>
        <v>0.73835387994177459</v>
      </c>
      <c r="K15" s="1">
        <f t="shared" si="5"/>
        <v>2.1794916463051828</v>
      </c>
      <c r="L15" s="1">
        <f t="shared" si="6"/>
        <v>3.2657205857972866</v>
      </c>
      <c r="M15" s="1">
        <f t="shared" si="7"/>
        <v>1.4767077598835492</v>
      </c>
      <c r="O15" s="1">
        <v>10.351074929673516</v>
      </c>
      <c r="P15" s="3">
        <v>8.2757215409205909</v>
      </c>
      <c r="Q15" s="1">
        <f t="shared" si="8"/>
        <v>4.1404299718694064</v>
      </c>
      <c r="R15" s="1">
        <f t="shared" si="9"/>
        <v>3.1404299718694064</v>
      </c>
      <c r="S15" s="1">
        <f t="shared" si="10"/>
        <v>2.2657205857972866</v>
      </c>
      <c r="T15" s="1">
        <f t="shared" si="11"/>
        <v>0.87470938607211979</v>
      </c>
      <c r="U15" s="1">
        <f t="shared" si="12"/>
        <v>0.53569150396776521</v>
      </c>
      <c r="V15" s="1">
        <f t="shared" si="13"/>
        <v>0.70391411181244212</v>
      </c>
      <c r="W15" s="1">
        <f t="shared" si="14"/>
        <v>9.660832394646196E-2</v>
      </c>
      <c r="X15" s="1">
        <f t="shared" si="15"/>
        <v>0.9033916760535381</v>
      </c>
      <c r="Y15" s="1">
        <f t="shared" si="16"/>
        <v>2.2750131948179209E-2</v>
      </c>
      <c r="Z15" s="1">
        <f t="shared" si="17"/>
        <v>2.0552279831104758E-2</v>
      </c>
      <c r="AA15" s="1">
        <f t="shared" si="18"/>
        <v>6.8003962544462448E-2</v>
      </c>
      <c r="AB15" s="12">
        <f t="shared" si="19"/>
        <v>0.19300940234940964</v>
      </c>
      <c r="AC15" s="1">
        <v>0.05</v>
      </c>
      <c r="AD15" s="1">
        <f>AB15*AC15</f>
        <v>9.6504701174704825E-3</v>
      </c>
    </row>
    <row r="16" spans="1:30" x14ac:dyDescent="0.25">
      <c r="A16" s="1" t="s">
        <v>10</v>
      </c>
      <c r="B16" s="9">
        <v>10</v>
      </c>
      <c r="C16" s="1">
        <v>0.92585885524749756</v>
      </c>
      <c r="D16" s="15">
        <v>1.076352715492249</v>
      </c>
      <c r="E16" s="1">
        <v>1.2121667861938481</v>
      </c>
      <c r="G16" s="1">
        <f t="shared" si="2"/>
        <v>1.160391871734078</v>
      </c>
      <c r="H16" s="16">
        <f t="shared" si="3"/>
        <v>1.3490079347377761</v>
      </c>
      <c r="I16" s="1">
        <f t="shared" si="4"/>
        <v>1.5192256118880634</v>
      </c>
      <c r="K16" s="1">
        <f t="shared" si="5"/>
        <v>2.320783743468156</v>
      </c>
      <c r="L16" s="1">
        <f t="shared" si="6"/>
        <v>2.6980158694755523</v>
      </c>
      <c r="M16" s="1">
        <f t="shared" si="7"/>
        <v>3.0384512237761268</v>
      </c>
      <c r="O16" s="1">
        <v>11.61601738982184</v>
      </c>
      <c r="P16" s="3">
        <v>9.1391328401190304</v>
      </c>
      <c r="Q16" s="1">
        <f t="shared" si="8"/>
        <v>4.646406955928736</v>
      </c>
      <c r="R16" s="1">
        <f t="shared" si="9"/>
        <v>3.646406955928736</v>
      </c>
      <c r="S16" s="1">
        <f t="shared" si="10"/>
        <v>1.6980158694755523</v>
      </c>
      <c r="T16" s="1">
        <f t="shared" si="11"/>
        <v>1.9483910864531837</v>
      </c>
      <c r="U16" s="1">
        <f t="shared" si="12"/>
        <v>1.4443140297999191</v>
      </c>
      <c r="V16" s="1">
        <f t="shared" si="13"/>
        <v>0.92567466946884247</v>
      </c>
      <c r="W16" s="1">
        <f t="shared" si="14"/>
        <v>8.6088025391234155E-2</v>
      </c>
      <c r="X16" s="1">
        <f t="shared" si="15"/>
        <v>0.91391197460876583</v>
      </c>
      <c r="Y16" s="1">
        <f t="shared" si="16"/>
        <v>2.2750131948179209E-2</v>
      </c>
      <c r="Z16" s="1">
        <f t="shared" si="17"/>
        <v>2.079161801137043E-2</v>
      </c>
      <c r="AA16" s="1">
        <f t="shared" si="18"/>
        <v>7.9689504449255988E-2</v>
      </c>
      <c r="AB16" s="12">
        <f t="shared" si="19"/>
        <v>0.26978874532691055</v>
      </c>
      <c r="AC16" s="1">
        <v>0.05</v>
      </c>
      <c r="AD16" s="1">
        <f t="shared" ref="AD16:AD17" si="20">AB16*AC16</f>
        <v>1.3489437266345529E-2</v>
      </c>
    </row>
    <row r="17" spans="1:30" x14ac:dyDescent="0.25">
      <c r="A17" s="1" t="s">
        <v>11</v>
      </c>
      <c r="B17" s="9">
        <v>11</v>
      </c>
      <c r="C17" s="1">
        <v>1.146099925041199</v>
      </c>
      <c r="D17" s="15">
        <v>1.1178673505783081</v>
      </c>
      <c r="E17" s="1">
        <v>0.92196494340896606</v>
      </c>
      <c r="G17" s="1">
        <f t="shared" si="2"/>
        <v>1.4364230894106771</v>
      </c>
      <c r="H17" s="16">
        <f t="shared" si="3"/>
        <v>1.4010388083842693</v>
      </c>
      <c r="I17" s="1">
        <f t="shared" si="4"/>
        <v>1.1555115774850446</v>
      </c>
      <c r="K17" s="1">
        <f t="shared" si="5"/>
        <v>2.8728461788213542</v>
      </c>
      <c r="L17" s="1">
        <f t="shared" si="6"/>
        <v>2.8020776167685386</v>
      </c>
      <c r="M17" s="1">
        <f t="shared" si="7"/>
        <v>2.3110231549700893</v>
      </c>
      <c r="O17" s="1">
        <v>8.2240879645414253</v>
      </c>
      <c r="P17" s="3">
        <v>5.9954442923183704</v>
      </c>
      <c r="Q17" s="1">
        <f t="shared" si="8"/>
        <v>3.2896351858165702</v>
      </c>
      <c r="R17" s="1">
        <f t="shared" si="9"/>
        <v>2.2896351858165702</v>
      </c>
      <c r="S17" s="1">
        <f t="shared" si="10"/>
        <v>1.8020776167685386</v>
      </c>
      <c r="T17" s="1">
        <f t="shared" si="11"/>
        <v>0.4875575690480316</v>
      </c>
      <c r="U17" s="1">
        <f t="shared" si="12"/>
        <v>0.34799719046348282</v>
      </c>
      <c r="V17" s="1">
        <f t="shared" si="13"/>
        <v>0.63607885326472768</v>
      </c>
      <c r="W17" s="1">
        <f t="shared" si="14"/>
        <v>0.12159403016012851</v>
      </c>
      <c r="X17" s="1">
        <f t="shared" si="15"/>
        <v>0.87840596983987151</v>
      </c>
      <c r="Y17" s="1">
        <f t="shared" si="16"/>
        <v>2.2750131948179209E-2</v>
      </c>
      <c r="Z17" s="1">
        <f t="shared" si="17"/>
        <v>1.9983851717925404E-2</v>
      </c>
      <c r="AA17" s="1">
        <f t="shared" si="18"/>
        <v>7.7343391268091255E-2</v>
      </c>
      <c r="AB17" s="12">
        <f t="shared" si="19"/>
        <v>0.15710429831987441</v>
      </c>
      <c r="AC17" s="1">
        <v>0.05</v>
      </c>
      <c r="AD17" s="1">
        <f t="shared" si="20"/>
        <v>7.8552149159937211E-3</v>
      </c>
    </row>
    <row r="18" spans="1:30" x14ac:dyDescent="0.25">
      <c r="U18" s="16"/>
      <c r="V18" s="16"/>
    </row>
    <row r="19" spans="1:30" x14ac:dyDescent="0.25">
      <c r="R19" s="16">
        <f>SUM(R6:R18)</f>
        <v>10.070211311479374</v>
      </c>
      <c r="U19" s="1">
        <f>ERF(U17/POWER(2,0.5))</f>
        <v>0.27215770652945548</v>
      </c>
      <c r="AB19" s="1">
        <f>SUM(AB6:AB18)</f>
        <v>0.54704449352149398</v>
      </c>
      <c r="AC19" s="1">
        <f>SUM(AC6:AC18)</f>
        <v>0.15000000000000002</v>
      </c>
      <c r="AD19" s="1">
        <f>SUM(AD6:AD18)</f>
        <v>3.0995122299809733E-2</v>
      </c>
    </row>
    <row r="20" spans="1:30" ht="60" x14ac:dyDescent="0.25">
      <c r="W20" s="1">
        <f>SUM(W6:W8)</f>
        <v>0.78712496124655207</v>
      </c>
      <c r="X20" s="1">
        <f>SUM(X6:X8)</f>
        <v>2.2128750387534479</v>
      </c>
      <c r="Y20" s="1">
        <v>3</v>
      </c>
      <c r="Z20" s="1">
        <f>X20*Y20</f>
        <v>6.6386251162603438</v>
      </c>
      <c r="AB20" s="1" t="s">
        <v>36</v>
      </c>
      <c r="AC20" s="4" t="s">
        <v>37</v>
      </c>
      <c r="AD20" s="4" t="s">
        <v>38</v>
      </c>
    </row>
    <row r="21" spans="1:30" x14ac:dyDescent="0.25">
      <c r="Z21" s="1">
        <f>Z20*3/20</f>
        <v>0.99579376743905157</v>
      </c>
      <c r="AC21" s="1">
        <f>SUM(AC6:AC14)</f>
        <v>0</v>
      </c>
      <c r="AD21" s="1">
        <f>SUM(AD6:AD14)</f>
        <v>0</v>
      </c>
    </row>
    <row r="22" spans="1:30" x14ac:dyDescent="0.25">
      <c r="Z22" s="1">
        <f>Z21*0.9</f>
        <v>0.89621439069514641</v>
      </c>
    </row>
    <row r="23" spans="1:30" x14ac:dyDescent="0.25">
      <c r="Z23" s="1">
        <f>Z22*0.35</f>
        <v>0.31367503674330122</v>
      </c>
      <c r="AB23" s="1" t="s">
        <v>39</v>
      </c>
      <c r="AD23" s="1">
        <f>AD19*400</f>
        <v>12.398048919923893</v>
      </c>
    </row>
    <row r="24" spans="1:30" x14ac:dyDescent="0.25">
      <c r="Z24" s="1">
        <f>Z23*0.05</f>
        <v>1.5683751837165062E-2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9D07-C5DB-4328-9ED4-5950CEAD06D1}">
  <dimension ref="D5:O19"/>
  <sheetViews>
    <sheetView workbookViewId="0">
      <selection activeCell="D8" sqref="D8:E19"/>
    </sheetView>
  </sheetViews>
  <sheetFormatPr defaultRowHeight="15" x14ac:dyDescent="0.25"/>
  <sheetData>
    <row r="5" spans="4:15" x14ac:dyDescent="0.25">
      <c r="D5">
        <v>2.9838922358931312</v>
      </c>
      <c r="E5">
        <v>4.191081883750571</v>
      </c>
      <c r="F5">
        <v>4.686247772592341</v>
      </c>
      <c r="G5">
        <v>1.852196057910394</v>
      </c>
      <c r="H5">
        <v>1.9558355136927212</v>
      </c>
      <c r="I5">
        <v>1.2765328654570447</v>
      </c>
      <c r="J5">
        <v>4.0664019171518087</v>
      </c>
      <c r="K5">
        <v>1.886689350119058</v>
      </c>
      <c r="L5">
        <v>2.0854703980945843</v>
      </c>
      <c r="M5">
        <v>10.351074929673516</v>
      </c>
      <c r="N5">
        <v>11.61601738982184</v>
      </c>
      <c r="O5">
        <v>8.2240879645414253</v>
      </c>
    </row>
    <row r="6" spans="4:15" x14ac:dyDescent="0.25">
      <c r="D6">
        <v>3.649551876329121</v>
      </c>
      <c r="E6">
        <v>2.3291290169496581</v>
      </c>
      <c r="F6">
        <v>5.4221279185153417</v>
      </c>
      <c r="G6">
        <v>0.32486907871149484</v>
      </c>
      <c r="H6">
        <v>0.29198276894454595</v>
      </c>
      <c r="I6">
        <v>0.12176215527134239</v>
      </c>
      <c r="J6">
        <v>1.5488997911003661</v>
      </c>
      <c r="K6">
        <v>0.37510292899650227</v>
      </c>
      <c r="L6">
        <v>0.66314742186171971</v>
      </c>
      <c r="M6">
        <v>8.2757215409205909</v>
      </c>
      <c r="N6">
        <v>9.1391328401190304</v>
      </c>
      <c r="O6">
        <v>5.9954442923183704</v>
      </c>
    </row>
    <row r="8" spans="4:15" x14ac:dyDescent="0.25">
      <c r="D8">
        <v>2.9838922358931312</v>
      </c>
      <c r="E8">
        <v>3.649551876329121</v>
      </c>
    </row>
    <row r="9" spans="4:15" x14ac:dyDescent="0.25">
      <c r="D9">
        <v>4.191081883750571</v>
      </c>
      <c r="E9">
        <v>2.3291290169496581</v>
      </c>
    </row>
    <row r="10" spans="4:15" x14ac:dyDescent="0.25">
      <c r="D10">
        <v>4.686247772592341</v>
      </c>
      <c r="E10">
        <v>5.4221279185153417</v>
      </c>
    </row>
    <row r="11" spans="4:15" x14ac:dyDescent="0.25">
      <c r="D11">
        <v>1.852196057910394</v>
      </c>
      <c r="E11">
        <v>0.32486907871149484</v>
      </c>
    </row>
    <row r="12" spans="4:15" x14ac:dyDescent="0.25">
      <c r="D12">
        <v>1.9558355136927212</v>
      </c>
      <c r="E12">
        <v>0.29198276894454595</v>
      </c>
    </row>
    <row r="13" spans="4:15" x14ac:dyDescent="0.25">
      <c r="D13">
        <v>1.2765328654570447</v>
      </c>
      <c r="E13">
        <v>0.12176215527134239</v>
      </c>
    </row>
    <row r="14" spans="4:15" x14ac:dyDescent="0.25">
      <c r="D14">
        <v>4.0664019171518087</v>
      </c>
      <c r="E14">
        <v>1.5488997911003661</v>
      </c>
    </row>
    <row r="15" spans="4:15" x14ac:dyDescent="0.25">
      <c r="D15">
        <v>1.886689350119058</v>
      </c>
      <c r="E15">
        <v>0.37510292899650227</v>
      </c>
    </row>
    <row r="16" spans="4:15" x14ac:dyDescent="0.25">
      <c r="D16">
        <v>2.0854703980945843</v>
      </c>
      <c r="E16">
        <v>0.66314742186171971</v>
      </c>
    </row>
    <row r="17" spans="4:5" x14ac:dyDescent="0.25">
      <c r="D17">
        <v>10.351074929673516</v>
      </c>
      <c r="E17">
        <v>8.2757215409205909</v>
      </c>
    </row>
    <row r="18" spans="4:5" x14ac:dyDescent="0.25">
      <c r="D18">
        <v>11.61601738982184</v>
      </c>
      <c r="E18">
        <v>9.1391328401190304</v>
      </c>
    </row>
    <row r="19" spans="4:5" x14ac:dyDescent="0.25">
      <c r="D19">
        <v>8.2240879645414253</v>
      </c>
      <c r="E19">
        <v>5.9954442923183704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of Happened Models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2020-11-20T18:20:22Z</dcterms:created>
  <dcterms:modified xsi:type="dcterms:W3CDTF">2020-11-27T06:00:02Z</dcterms:modified>
</cp:coreProperties>
</file>